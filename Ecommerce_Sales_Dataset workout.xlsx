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13_ncr:1_{772F68FC-FB99-4FFA-B737-C9D94C44BFC5}" xr6:coauthVersionLast="47" xr6:coauthVersionMax="47" xr10:uidLastSave="{00000000-0000-0000-0000-000000000000}"/>
  <bookViews>
    <workbookView xWindow="-120" yWindow="-120" windowWidth="20730" windowHeight="11160" firstSheet="1" activeTab="5" xr2:uid="{00000000-000D-0000-FFFF-FFFF00000000}"/>
  </bookViews>
  <sheets>
    <sheet name="Customer_Dim" sheetId="1" r:id="rId1"/>
    <sheet name="Product_Dim" sheetId="2" r:id="rId2"/>
    <sheet name="Store_Dim" sheetId="3" r:id="rId3"/>
    <sheet name="Sales_Fact" sheetId="4" r:id="rId4"/>
    <sheet name="SHEET 1" sheetId="8" r:id="rId5"/>
    <sheet name="Sheet1" sheetId="9" r:id="rId6"/>
    <sheet name="Sheet2" sheetId="11" r:id="rId7"/>
    <sheet name="Sheet3" sheetId="12" r:id="rId8"/>
  </sheets>
  <definedNames>
    <definedName name="_xlnm._FilterDatabase" localSheetId="0" hidden="1">Customer_Dim!$A$1:$F$501</definedName>
    <definedName name="_xlnm._FilterDatabase" localSheetId="1" hidden="1">Product_Dim!$A$1:$D$101</definedName>
    <definedName name="_xlnm._FilterDatabase" localSheetId="3" hidden="1">Sales_Fact!$A$1:$P$2001</definedName>
    <definedName name="_xlnm._FilterDatabase" localSheetId="2" hidden="1">Store_Dim!$A$1:$F$21</definedName>
    <definedName name="_xlchart.v1.0" hidden="1">Sheet1!$A$34:$A$38</definedName>
    <definedName name="_xlchart.v1.1" hidden="1">Sheet1!$B$33</definedName>
    <definedName name="_xlchart.v1.2" hidden="1">Sheet1!$B$34:$B$38</definedName>
    <definedName name="_xlchart.v1.3" hidden="1">Sheet1!$A$34:$A$38</definedName>
    <definedName name="_xlchart.v1.4" hidden="1">Sheet1!$B$33</definedName>
    <definedName name="_xlchart.v1.5" hidden="1">Sheet1!$B$34:$B$38</definedName>
    <definedName name="_xlchart.v1.6" hidden="1">Sheet1!$A$34:$A$38</definedName>
    <definedName name="_xlchart.v1.7" hidden="1">Sheet1!$B$33</definedName>
    <definedName name="_xlchart.v1.8" hidden="1">Sheet1!$B$34:$B$38</definedName>
    <definedName name="Slicer_Gender">#N/A</definedName>
    <definedName name="Slicer_Gibson__Hobbs_and_Weaver">#N/A</definedName>
    <definedName name="Slicer_STORE0">#N/A</definedName>
    <definedName name="Slicer_Years__Order_Date">#N/A</definedName>
  </definedNames>
  <calcPr calcId="191029"/>
  <pivotCaches>
    <pivotCache cacheId="41" r:id="rId9"/>
    <pivotCache cacheId="43" r:id="rId10"/>
    <pivotCache cacheId="27" r:id="rId11"/>
    <pivotCache cacheId="39"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7" i="8" l="1"/>
  <c r="C49" i="12"/>
  <c r="C53" i="12"/>
  <c r="C57" i="12"/>
  <c r="C60" i="12"/>
  <c r="C50" i="12"/>
  <c r="C54" i="12"/>
  <c r="C58" i="12"/>
  <c r="C56" i="12"/>
  <c r="C51" i="12"/>
  <c r="C55" i="12"/>
  <c r="C59" i="12"/>
  <c r="C52" i="12"/>
  <c r="N2" i="4" l="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 i="4"/>
  <c r="H6" i="1"/>
  <c r="H10" i="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 i="4"/>
  <c r="C3" i="3"/>
  <c r="C4" i="3"/>
  <c r="C5" i="3"/>
  <c r="C6" i="3"/>
  <c r="C7" i="3"/>
  <c r="C8" i="3"/>
  <c r="C9" i="3"/>
  <c r="C10" i="3"/>
  <c r="C11" i="3"/>
  <c r="C12" i="3"/>
  <c r="C13" i="3"/>
  <c r="C14" i="3"/>
  <c r="C15" i="3"/>
  <c r="C16" i="3"/>
  <c r="C17" i="3"/>
  <c r="C18" i="3"/>
  <c r="C19" i="3"/>
  <c r="C20" i="3"/>
  <c r="C21" i="3"/>
  <c r="C2" i="3"/>
  <c r="F1906" i="4"/>
  <c r="F1266" i="4"/>
  <c r="F1671" i="4"/>
  <c r="F759" i="4"/>
  <c r="F1267" i="4"/>
  <c r="F760" i="4"/>
  <c r="F865" i="4"/>
  <c r="F866" i="4"/>
  <c r="F1380" i="4"/>
  <c r="F1779" i="4"/>
  <c r="F761" i="4"/>
  <c r="F867" i="4"/>
  <c r="F664" i="4"/>
  <c r="F1080" i="4"/>
  <c r="F1907" i="4"/>
  <c r="F1174" i="4"/>
  <c r="F1908" i="4"/>
  <c r="F286" i="4"/>
  <c r="F1565" i="4"/>
  <c r="F762" i="4"/>
  <c r="F665" i="4"/>
  <c r="F1268" i="4"/>
  <c r="F570" i="4"/>
  <c r="F374" i="4"/>
  <c r="F763" i="4"/>
  <c r="F189" i="4"/>
  <c r="F1269" i="4"/>
  <c r="F287" i="4"/>
  <c r="F1175" i="4"/>
  <c r="F666" i="4"/>
  <c r="F1270" i="4"/>
  <c r="F868" i="4"/>
  <c r="F375" i="4"/>
  <c r="F1672" i="4"/>
  <c r="F288" i="4"/>
  <c r="F975" i="4"/>
  <c r="F667" i="4"/>
  <c r="F376" i="4"/>
  <c r="F1673" i="4"/>
  <c r="F1482" i="4"/>
  <c r="F1674" i="4"/>
  <c r="F668" i="4"/>
  <c r="F1381" i="4"/>
  <c r="F571" i="4"/>
  <c r="F764" i="4"/>
  <c r="F1675" i="4"/>
  <c r="F1566" i="4"/>
  <c r="F765" i="4"/>
  <c r="F95" i="4"/>
  <c r="F1567" i="4"/>
  <c r="F869" i="4"/>
  <c r="F766" i="4"/>
  <c r="F1382" i="4"/>
  <c r="F1271" i="4"/>
  <c r="F474" i="4"/>
  <c r="F1483" i="4"/>
  <c r="F870" i="4"/>
  <c r="F1272" i="4"/>
  <c r="F669" i="4"/>
  <c r="F1568" i="4"/>
  <c r="F377" i="4"/>
  <c r="F871" i="4"/>
  <c r="F475" i="4"/>
  <c r="F670" i="4"/>
  <c r="F1081" i="4"/>
  <c r="F671" i="4"/>
  <c r="F672" i="4"/>
  <c r="F2" i="4"/>
  <c r="F1676" i="4"/>
  <c r="F96" i="4"/>
  <c r="F1909" i="4"/>
  <c r="F190" i="4"/>
  <c r="F3" i="4"/>
  <c r="F1383" i="4"/>
  <c r="F4" i="4"/>
  <c r="F673" i="4"/>
  <c r="F1569" i="4"/>
  <c r="F674" i="4"/>
  <c r="F976" i="4"/>
  <c r="F977" i="4"/>
  <c r="F978" i="4"/>
  <c r="F1780" i="4"/>
  <c r="F572" i="4"/>
  <c r="F979" i="4"/>
  <c r="F1781" i="4"/>
  <c r="F97" i="4"/>
  <c r="F1570" i="4"/>
  <c r="F5" i="4"/>
  <c r="F1176" i="4"/>
  <c r="F980" i="4"/>
  <c r="F1273" i="4"/>
  <c r="F1274" i="4"/>
  <c r="F1782" i="4"/>
  <c r="F1275" i="4"/>
  <c r="F1082" i="4"/>
  <c r="F476" i="4"/>
  <c r="F675" i="4"/>
  <c r="F1177" i="4"/>
  <c r="F1783" i="4"/>
  <c r="F1178" i="4"/>
  <c r="F98" i="4"/>
  <c r="F1179" i="4"/>
  <c r="F767" i="4"/>
  <c r="F981" i="4"/>
  <c r="F1784" i="4"/>
  <c r="F676" i="4"/>
  <c r="F573" i="4"/>
  <c r="F191" i="4"/>
  <c r="F768" i="4"/>
  <c r="F1785" i="4"/>
  <c r="F1910" i="4"/>
  <c r="F872" i="4"/>
  <c r="F99" i="4"/>
  <c r="F1484" i="4"/>
  <c r="F1180" i="4"/>
  <c r="F677" i="4"/>
  <c r="F1276" i="4"/>
  <c r="F1571" i="4"/>
  <c r="F378" i="4"/>
  <c r="F1677" i="4"/>
  <c r="F192" i="4"/>
  <c r="F6" i="4"/>
  <c r="F1384" i="4"/>
  <c r="F193" i="4"/>
  <c r="F379" i="4"/>
  <c r="F7" i="4"/>
  <c r="F194" i="4"/>
  <c r="F1911" i="4"/>
  <c r="F574" i="4"/>
  <c r="F1485" i="4"/>
  <c r="F1083" i="4"/>
  <c r="F1385" i="4"/>
  <c r="F678" i="4"/>
  <c r="F1572" i="4"/>
  <c r="F1084" i="4"/>
  <c r="F380" i="4"/>
  <c r="F1678" i="4"/>
  <c r="F1085" i="4"/>
  <c r="F1573" i="4"/>
  <c r="F1486" i="4"/>
  <c r="F982" i="4"/>
  <c r="F1277" i="4"/>
  <c r="F769" i="4"/>
  <c r="F679" i="4"/>
  <c r="F575" i="4"/>
  <c r="F1679" i="4"/>
  <c r="F1086" i="4"/>
  <c r="F1087" i="4"/>
  <c r="F770" i="4"/>
  <c r="F1680" i="4"/>
  <c r="F983" i="4"/>
  <c r="F1278" i="4"/>
  <c r="F1681" i="4"/>
  <c r="F100" i="4"/>
  <c r="F1912" i="4"/>
  <c r="F1386" i="4"/>
  <c r="F101" i="4"/>
  <c r="F680" i="4"/>
  <c r="F1088" i="4"/>
  <c r="F8" i="4"/>
  <c r="F1786" i="4"/>
  <c r="F9" i="4"/>
  <c r="F771" i="4"/>
  <c r="F984" i="4"/>
  <c r="F873" i="4"/>
  <c r="F289" i="4"/>
  <c r="F477" i="4"/>
  <c r="F1279" i="4"/>
  <c r="F576" i="4"/>
  <c r="F1913" i="4"/>
  <c r="F1089" i="4"/>
  <c r="F195" i="4"/>
  <c r="F772" i="4"/>
  <c r="F1181" i="4"/>
  <c r="F1787" i="4"/>
  <c r="F102" i="4"/>
  <c r="F478" i="4"/>
  <c r="F1090" i="4"/>
  <c r="F290" i="4"/>
  <c r="F291" i="4"/>
  <c r="F681" i="4"/>
  <c r="F103" i="4"/>
  <c r="F1091" i="4"/>
  <c r="F1788" i="4"/>
  <c r="F1387" i="4"/>
  <c r="F577" i="4"/>
  <c r="F381" i="4"/>
  <c r="F1487" i="4"/>
  <c r="F578" i="4"/>
  <c r="F104" i="4"/>
  <c r="F10" i="4"/>
  <c r="F105" i="4"/>
  <c r="F1182" i="4"/>
  <c r="F579" i="4"/>
  <c r="F874" i="4"/>
  <c r="F1092" i="4"/>
  <c r="F580" i="4"/>
  <c r="F773" i="4"/>
  <c r="F1789" i="4"/>
  <c r="F1280" i="4"/>
  <c r="F1488" i="4"/>
  <c r="F106" i="4"/>
  <c r="F11" i="4"/>
  <c r="F985" i="4"/>
  <c r="F774" i="4"/>
  <c r="F1574" i="4"/>
  <c r="F1093" i="4"/>
  <c r="F196" i="4"/>
  <c r="F581" i="4"/>
  <c r="F582" i="4"/>
  <c r="F986" i="4"/>
  <c r="F1281" i="4"/>
  <c r="F1282" i="4"/>
  <c r="F382" i="4"/>
  <c r="F107" i="4"/>
  <c r="F1914" i="4"/>
  <c r="F479" i="4"/>
  <c r="F12" i="4"/>
  <c r="F292" i="4"/>
  <c r="F383" i="4"/>
  <c r="F583" i="4"/>
  <c r="F1489" i="4"/>
  <c r="F682" i="4"/>
  <c r="F1790" i="4"/>
  <c r="F1575" i="4"/>
  <c r="F1576" i="4"/>
  <c r="F1388" i="4"/>
  <c r="F775" i="4"/>
  <c r="F1791" i="4"/>
  <c r="F293" i="4"/>
  <c r="F13" i="4"/>
  <c r="F987" i="4"/>
  <c r="F1792" i="4"/>
  <c r="F108" i="4"/>
  <c r="F1283" i="4"/>
  <c r="F1682" i="4"/>
  <c r="F1683" i="4"/>
  <c r="F197" i="4"/>
  <c r="F988" i="4"/>
  <c r="F683" i="4"/>
  <c r="F1793" i="4"/>
  <c r="F1490" i="4"/>
  <c r="F1094" i="4"/>
  <c r="F480" i="4"/>
  <c r="F198" i="4"/>
  <c r="F989" i="4"/>
  <c r="F1577" i="4"/>
  <c r="F584" i="4"/>
  <c r="F1794" i="4"/>
  <c r="F684" i="4"/>
  <c r="F481" i="4"/>
  <c r="F585" i="4"/>
  <c r="F199" i="4"/>
  <c r="F875" i="4"/>
  <c r="F1389" i="4"/>
  <c r="F1390" i="4"/>
  <c r="F776" i="4"/>
  <c r="F1795" i="4"/>
  <c r="F685" i="4"/>
  <c r="F1284" i="4"/>
  <c r="F1095" i="4"/>
  <c r="F1391" i="4"/>
  <c r="F1796" i="4"/>
  <c r="F1183" i="4"/>
  <c r="F1392" i="4"/>
  <c r="F586" i="4"/>
  <c r="F200" i="4"/>
  <c r="F384" i="4"/>
  <c r="F1797" i="4"/>
  <c r="F1915" i="4"/>
  <c r="F990" i="4"/>
  <c r="F385" i="4"/>
  <c r="F1684" i="4"/>
  <c r="F1393" i="4"/>
  <c r="F991" i="4"/>
  <c r="F386" i="4"/>
  <c r="F1798" i="4"/>
  <c r="F1685" i="4"/>
  <c r="F992" i="4"/>
  <c r="F1285" i="4"/>
  <c r="F294" i="4"/>
  <c r="F1799" i="4"/>
  <c r="F1578" i="4"/>
  <c r="F14" i="4"/>
  <c r="F482" i="4"/>
  <c r="F109" i="4"/>
  <c r="F587" i="4"/>
  <c r="F1286" i="4"/>
  <c r="F387" i="4"/>
  <c r="F201" i="4"/>
  <c r="F15" i="4"/>
  <c r="F388" i="4"/>
  <c r="F483" i="4"/>
  <c r="F1096" i="4"/>
  <c r="F1579" i="4"/>
  <c r="F1184" i="4"/>
  <c r="F1580" i="4"/>
  <c r="F484" i="4"/>
  <c r="F110" i="4"/>
  <c r="F588" i="4"/>
  <c r="F1800" i="4"/>
  <c r="F16" i="4"/>
  <c r="F202" i="4"/>
  <c r="F111" i="4"/>
  <c r="F777" i="4"/>
  <c r="F203" i="4"/>
  <c r="F17" i="4"/>
  <c r="F778" i="4"/>
  <c r="F1394" i="4"/>
  <c r="F389" i="4"/>
  <c r="F589" i="4"/>
  <c r="F1686" i="4"/>
  <c r="F485" i="4"/>
  <c r="F993" i="4"/>
  <c r="F994" i="4"/>
  <c r="F1581" i="4"/>
  <c r="F1185" i="4"/>
  <c r="F1801" i="4"/>
  <c r="F18" i="4"/>
  <c r="F590" i="4"/>
  <c r="F1097" i="4"/>
  <c r="F204" i="4"/>
  <c r="F779" i="4"/>
  <c r="F390" i="4"/>
  <c r="F1916" i="4"/>
  <c r="F205" i="4"/>
  <c r="F591" i="4"/>
  <c r="F391" i="4"/>
  <c r="F1582" i="4"/>
  <c r="F1287" i="4"/>
  <c r="F686" i="4"/>
  <c r="F1098" i="4"/>
  <c r="F112" i="4"/>
  <c r="F295" i="4"/>
  <c r="F876" i="4"/>
  <c r="F687" i="4"/>
  <c r="F1687" i="4"/>
  <c r="F113" i="4"/>
  <c r="F995" i="4"/>
  <c r="F877" i="4"/>
  <c r="F1802" i="4"/>
  <c r="F1395" i="4"/>
  <c r="F1186" i="4"/>
  <c r="F780" i="4"/>
  <c r="F114" i="4"/>
  <c r="F1583" i="4"/>
  <c r="F1099" i="4"/>
  <c r="F996" i="4"/>
  <c r="F592" i="4"/>
  <c r="F1688" i="4"/>
  <c r="F781" i="4"/>
  <c r="F1396" i="4"/>
  <c r="F997" i="4"/>
  <c r="F392" i="4"/>
  <c r="F1100" i="4"/>
  <c r="F1584" i="4"/>
  <c r="F1917" i="4"/>
  <c r="F206" i="4"/>
  <c r="F393" i="4"/>
  <c r="F688" i="4"/>
  <c r="F1585" i="4"/>
  <c r="F115" i="4"/>
  <c r="F1288" i="4"/>
  <c r="F689" i="4"/>
  <c r="F486" i="4"/>
  <c r="F19" i="4"/>
  <c r="F690" i="4"/>
  <c r="F878" i="4"/>
  <c r="F1187" i="4"/>
  <c r="F487" i="4"/>
  <c r="F394" i="4"/>
  <c r="F879" i="4"/>
  <c r="F691" i="4"/>
  <c r="F395" i="4"/>
  <c r="F998" i="4"/>
  <c r="F488" i="4"/>
  <c r="F1586" i="4"/>
  <c r="F1689" i="4"/>
  <c r="F999" i="4"/>
  <c r="F593" i="4"/>
  <c r="F782" i="4"/>
  <c r="F1803" i="4"/>
  <c r="F692" i="4"/>
  <c r="F1289" i="4"/>
  <c r="F489" i="4"/>
  <c r="F296" i="4"/>
  <c r="F1918" i="4"/>
  <c r="F1000" i="4"/>
  <c r="F1101" i="4"/>
  <c r="F594" i="4"/>
  <c r="F116" i="4"/>
  <c r="F1804" i="4"/>
  <c r="F1491" i="4"/>
  <c r="F1919" i="4"/>
  <c r="F1188" i="4"/>
  <c r="F1102" i="4"/>
  <c r="F880" i="4"/>
  <c r="F20" i="4"/>
  <c r="F1805" i="4"/>
  <c r="F207" i="4"/>
  <c r="F881" i="4"/>
  <c r="F1690" i="4"/>
  <c r="F1806" i="4"/>
  <c r="F1492" i="4"/>
  <c r="F1493" i="4"/>
  <c r="F1189" i="4"/>
  <c r="F1807" i="4"/>
  <c r="F1808" i="4"/>
  <c r="F1103" i="4"/>
  <c r="F595" i="4"/>
  <c r="F596" i="4"/>
  <c r="F597" i="4"/>
  <c r="F1397" i="4"/>
  <c r="F783" i="4"/>
  <c r="F1494" i="4"/>
  <c r="F21" i="4"/>
  <c r="F784" i="4"/>
  <c r="F1104" i="4"/>
  <c r="F1290" i="4"/>
  <c r="F1398" i="4"/>
  <c r="F1920" i="4"/>
  <c r="F490" i="4"/>
  <c r="F1921" i="4"/>
  <c r="F1291" i="4"/>
  <c r="F22" i="4"/>
  <c r="F208" i="4"/>
  <c r="F1399" i="4"/>
  <c r="F1400" i="4"/>
  <c r="F1691" i="4"/>
  <c r="F1292" i="4"/>
  <c r="F491" i="4"/>
  <c r="F1001" i="4"/>
  <c r="F785" i="4"/>
  <c r="F882" i="4"/>
  <c r="F883" i="4"/>
  <c r="F209" i="4"/>
  <c r="F117" i="4"/>
  <c r="F1190" i="4"/>
  <c r="F23" i="4"/>
  <c r="F118" i="4"/>
  <c r="F297" i="4"/>
  <c r="F492" i="4"/>
  <c r="F1401" i="4"/>
  <c r="F884" i="4"/>
  <c r="F1922" i="4"/>
  <c r="F1587" i="4"/>
  <c r="F1402" i="4"/>
  <c r="F1002" i="4"/>
  <c r="F1403" i="4"/>
  <c r="F1404" i="4"/>
  <c r="F598" i="4"/>
  <c r="F1105" i="4"/>
  <c r="F1923" i="4"/>
  <c r="F1191" i="4"/>
  <c r="F786" i="4"/>
  <c r="F1106" i="4"/>
  <c r="F1692" i="4"/>
  <c r="F1809" i="4"/>
  <c r="F1405" i="4"/>
  <c r="F1293" i="4"/>
  <c r="F1588" i="4"/>
  <c r="F1924" i="4"/>
  <c r="F1925" i="4"/>
  <c r="F1693" i="4"/>
  <c r="F24" i="4"/>
  <c r="F1192" i="4"/>
  <c r="F493" i="4"/>
  <c r="F494" i="4"/>
  <c r="F1294" i="4"/>
  <c r="F1926" i="4"/>
  <c r="F1810" i="4"/>
  <c r="F1927" i="4"/>
  <c r="F787" i="4"/>
  <c r="F1811" i="4"/>
  <c r="F119" i="4"/>
  <c r="F693" i="4"/>
  <c r="F298" i="4"/>
  <c r="F1295" i="4"/>
  <c r="F1406" i="4"/>
  <c r="F1694" i="4"/>
  <c r="F788" i="4"/>
  <c r="F1928" i="4"/>
  <c r="F789" i="4"/>
  <c r="F1812" i="4"/>
  <c r="F1495" i="4"/>
  <c r="F1589" i="4"/>
  <c r="F120" i="4"/>
  <c r="F1193" i="4"/>
  <c r="F1590" i="4"/>
  <c r="F885" i="4"/>
  <c r="F299" i="4"/>
  <c r="F1194" i="4"/>
  <c r="F210" i="4"/>
  <c r="F1407" i="4"/>
  <c r="F886" i="4"/>
  <c r="F211" i="4"/>
  <c r="F300" i="4"/>
  <c r="F1003" i="4"/>
  <c r="F1107" i="4"/>
  <c r="F1929" i="4"/>
  <c r="F1496" i="4"/>
  <c r="F1296" i="4"/>
  <c r="F694" i="4"/>
  <c r="F599" i="4"/>
  <c r="F1813" i="4"/>
  <c r="F212" i="4"/>
  <c r="F887" i="4"/>
  <c r="F213" i="4"/>
  <c r="F1004" i="4"/>
  <c r="F1195" i="4"/>
  <c r="F1814" i="4"/>
  <c r="F1108" i="4"/>
  <c r="F214" i="4"/>
  <c r="F790" i="4"/>
  <c r="F1408" i="4"/>
  <c r="F695" i="4"/>
  <c r="F1005" i="4"/>
  <c r="F121" i="4"/>
  <c r="F396" i="4"/>
  <c r="F122" i="4"/>
  <c r="F1297" i="4"/>
  <c r="F888" i="4"/>
  <c r="F1930" i="4"/>
  <c r="F397" i="4"/>
  <c r="F1409" i="4"/>
  <c r="F696" i="4"/>
  <c r="F1410" i="4"/>
  <c r="F1006" i="4"/>
  <c r="F1591" i="4"/>
  <c r="F889" i="4"/>
  <c r="F890" i="4"/>
  <c r="F1298" i="4"/>
  <c r="F697" i="4"/>
  <c r="F1109" i="4"/>
  <c r="F1411" i="4"/>
  <c r="F600" i="4"/>
  <c r="F1110" i="4"/>
  <c r="F495" i="4"/>
  <c r="F1931" i="4"/>
  <c r="F891" i="4"/>
  <c r="F123" i="4"/>
  <c r="F215" i="4"/>
  <c r="F1497" i="4"/>
  <c r="F698" i="4"/>
  <c r="F1111" i="4"/>
  <c r="F1592" i="4"/>
  <c r="F301" i="4"/>
  <c r="F496" i="4"/>
  <c r="F25" i="4"/>
  <c r="F1932" i="4"/>
  <c r="F302" i="4"/>
  <c r="F1933" i="4"/>
  <c r="F1593" i="4"/>
  <c r="F1815" i="4"/>
  <c r="F1816" i="4"/>
  <c r="F303" i="4"/>
  <c r="F699" i="4"/>
  <c r="F1412" i="4"/>
  <c r="F892" i="4"/>
  <c r="F1413" i="4"/>
  <c r="F1934" i="4"/>
  <c r="F1695" i="4"/>
  <c r="F1696" i="4"/>
  <c r="F791" i="4"/>
  <c r="F1299" i="4"/>
  <c r="F1594" i="4"/>
  <c r="F1498" i="4"/>
  <c r="F304" i="4"/>
  <c r="F792" i="4"/>
  <c r="F124" i="4"/>
  <c r="F398" i="4"/>
  <c r="F700" i="4"/>
  <c r="F26" i="4"/>
  <c r="F793" i="4"/>
  <c r="F1414" i="4"/>
  <c r="F893" i="4"/>
  <c r="F27" i="4"/>
  <c r="F794" i="4"/>
  <c r="F795" i="4"/>
  <c r="F1007" i="4"/>
  <c r="F1935" i="4"/>
  <c r="F1697" i="4"/>
  <c r="F1008" i="4"/>
  <c r="F1595" i="4"/>
  <c r="F701" i="4"/>
  <c r="F399" i="4"/>
  <c r="F894" i="4"/>
  <c r="F125" i="4"/>
  <c r="F1499" i="4"/>
  <c r="F1415" i="4"/>
  <c r="F1817" i="4"/>
  <c r="F1009" i="4"/>
  <c r="F28" i="4"/>
  <c r="F1196" i="4"/>
  <c r="F1698" i="4"/>
  <c r="F1596" i="4"/>
  <c r="F497" i="4"/>
  <c r="F400" i="4"/>
  <c r="F401" i="4"/>
  <c r="F1818" i="4"/>
  <c r="F1416" i="4"/>
  <c r="F29" i="4"/>
  <c r="F1819" i="4"/>
  <c r="F1417" i="4"/>
  <c r="F1936" i="4"/>
  <c r="F1820" i="4"/>
  <c r="F498" i="4"/>
  <c r="F305" i="4"/>
  <c r="F895" i="4"/>
  <c r="F1699" i="4"/>
  <c r="F1597" i="4"/>
  <c r="F601" i="4"/>
  <c r="F1937" i="4"/>
  <c r="F1821" i="4"/>
  <c r="F1112" i="4"/>
  <c r="F1700" i="4"/>
  <c r="F30" i="4"/>
  <c r="F1300" i="4"/>
  <c r="F796" i="4"/>
  <c r="F1701" i="4"/>
  <c r="F1113" i="4"/>
  <c r="F402" i="4"/>
  <c r="F306" i="4"/>
  <c r="F1702" i="4"/>
  <c r="F1010" i="4"/>
  <c r="F1703" i="4"/>
  <c r="F1598" i="4"/>
  <c r="F126" i="4"/>
  <c r="F702" i="4"/>
  <c r="F499" i="4"/>
  <c r="F1822" i="4"/>
  <c r="F216" i="4"/>
  <c r="F1114" i="4"/>
  <c r="F1823" i="4"/>
  <c r="F31" i="4"/>
  <c r="F1704" i="4"/>
  <c r="F32" i="4"/>
  <c r="F797" i="4"/>
  <c r="F403" i="4"/>
  <c r="F307" i="4"/>
  <c r="F1705" i="4"/>
  <c r="F798" i="4"/>
  <c r="F500" i="4"/>
  <c r="F703" i="4"/>
  <c r="F1938" i="4"/>
  <c r="F602" i="4"/>
  <c r="F1939" i="4"/>
  <c r="F603" i="4"/>
  <c r="F308" i="4"/>
  <c r="F1197" i="4"/>
  <c r="F704" i="4"/>
  <c r="F1824" i="4"/>
  <c r="F1706" i="4"/>
  <c r="F896" i="4"/>
  <c r="F33" i="4"/>
  <c r="F404" i="4"/>
  <c r="F1599" i="4"/>
  <c r="F1940" i="4"/>
  <c r="F604" i="4"/>
  <c r="F1707" i="4"/>
  <c r="F1600" i="4"/>
  <c r="F1301" i="4"/>
  <c r="F1115" i="4"/>
  <c r="F405" i="4"/>
  <c r="F897" i="4"/>
  <c r="F705" i="4"/>
  <c r="F898" i="4"/>
  <c r="F1500" i="4"/>
  <c r="F605" i="4"/>
  <c r="F406" i="4"/>
  <c r="F1941" i="4"/>
  <c r="F1011" i="4"/>
  <c r="F34" i="4"/>
  <c r="F606" i="4"/>
  <c r="F407" i="4"/>
  <c r="F501" i="4"/>
  <c r="F127" i="4"/>
  <c r="F1418" i="4"/>
  <c r="F309" i="4"/>
  <c r="F1708" i="4"/>
  <c r="F607" i="4"/>
  <c r="F1825" i="4"/>
  <c r="F899" i="4"/>
  <c r="F706" i="4"/>
  <c r="F408" i="4"/>
  <c r="F1826" i="4"/>
  <c r="F1942" i="4"/>
  <c r="F1827" i="4"/>
  <c r="F1012" i="4"/>
  <c r="F502" i="4"/>
  <c r="F128" i="4"/>
  <c r="F1501" i="4"/>
  <c r="F1709" i="4"/>
  <c r="F1302" i="4"/>
  <c r="F707" i="4"/>
  <c r="F1419" i="4"/>
  <c r="F1420" i="4"/>
  <c r="F310" i="4"/>
  <c r="F35" i="4"/>
  <c r="F311" i="4"/>
  <c r="F409" i="4"/>
  <c r="F1198" i="4"/>
  <c r="F1199" i="4"/>
  <c r="F1200" i="4"/>
  <c r="F1116" i="4"/>
  <c r="F1013" i="4"/>
  <c r="F900" i="4"/>
  <c r="F1014" i="4"/>
  <c r="F1303" i="4"/>
  <c r="F1828" i="4"/>
  <c r="F901" i="4"/>
  <c r="F1304" i="4"/>
  <c r="F1305" i="4"/>
  <c r="F1710" i="4"/>
  <c r="F312" i="4"/>
  <c r="F1943" i="4"/>
  <c r="F410" i="4"/>
  <c r="F503" i="4"/>
  <c r="F1711" i="4"/>
  <c r="F129" i="4"/>
  <c r="F1944" i="4"/>
  <c r="F130" i="4"/>
  <c r="F1015" i="4"/>
  <c r="F708" i="4"/>
  <c r="F1016" i="4"/>
  <c r="F217" i="4"/>
  <c r="F36" i="4"/>
  <c r="F1421" i="4"/>
  <c r="F1601" i="4"/>
  <c r="F1017" i="4"/>
  <c r="F608" i="4"/>
  <c r="F902" i="4"/>
  <c r="F1829" i="4"/>
  <c r="F1502" i="4"/>
  <c r="F1201" i="4"/>
  <c r="F313" i="4"/>
  <c r="F1202" i="4"/>
  <c r="F903" i="4"/>
  <c r="F411" i="4"/>
  <c r="F1945" i="4"/>
  <c r="F1306" i="4"/>
  <c r="F904" i="4"/>
  <c r="F1117" i="4"/>
  <c r="F1830" i="4"/>
  <c r="F1118" i="4"/>
  <c r="F609" i="4"/>
  <c r="F314" i="4"/>
  <c r="F1018" i="4"/>
  <c r="F1831" i="4"/>
  <c r="F1503" i="4"/>
  <c r="F504" i="4"/>
  <c r="F1307" i="4"/>
  <c r="F1946" i="4"/>
  <c r="F412" i="4"/>
  <c r="F905" i="4"/>
  <c r="F505" i="4"/>
  <c r="F1832" i="4"/>
  <c r="F1712" i="4"/>
  <c r="F1947" i="4"/>
  <c r="F37" i="4"/>
  <c r="F413" i="4"/>
  <c r="F610" i="4"/>
  <c r="F1833" i="4"/>
  <c r="F1308" i="4"/>
  <c r="F1713" i="4"/>
  <c r="F1834" i="4"/>
  <c r="F1119" i="4"/>
  <c r="F1203" i="4"/>
  <c r="F315" i="4"/>
  <c r="F38" i="4"/>
  <c r="F799" i="4"/>
  <c r="F1602" i="4"/>
  <c r="F316" i="4"/>
  <c r="F1019" i="4"/>
  <c r="F1422" i="4"/>
  <c r="F906" i="4"/>
  <c r="F39" i="4"/>
  <c r="F1423" i="4"/>
  <c r="F1309" i="4"/>
  <c r="F1424" i="4"/>
  <c r="F1835" i="4"/>
  <c r="F1603" i="4"/>
  <c r="F1948" i="4"/>
  <c r="F1204" i="4"/>
  <c r="F1504" i="4"/>
  <c r="F414" i="4"/>
  <c r="F1120" i="4"/>
  <c r="F1949" i="4"/>
  <c r="F1020" i="4"/>
  <c r="F1836" i="4"/>
  <c r="F317" i="4"/>
  <c r="F1021" i="4"/>
  <c r="F1714" i="4"/>
  <c r="F1425" i="4"/>
  <c r="F1505" i="4"/>
  <c r="F1022" i="4"/>
  <c r="F709" i="4"/>
  <c r="F131" i="4"/>
  <c r="F1837" i="4"/>
  <c r="F1121" i="4"/>
  <c r="F1838" i="4"/>
  <c r="F1310" i="4"/>
  <c r="F318" i="4"/>
  <c r="F1604" i="4"/>
  <c r="F907" i="4"/>
  <c r="F800" i="4"/>
  <c r="F1426" i="4"/>
  <c r="F1950" i="4"/>
  <c r="F1023" i="4"/>
  <c r="F1311" i="4"/>
  <c r="F132" i="4"/>
  <c r="F1205" i="4"/>
  <c r="F1839" i="4"/>
  <c r="F1024" i="4"/>
  <c r="F319" i="4"/>
  <c r="F40" i="4"/>
  <c r="F710" i="4"/>
  <c r="F41" i="4"/>
  <c r="F1951" i="4"/>
  <c r="F1840" i="4"/>
  <c r="F1506" i="4"/>
  <c r="F133" i="4"/>
  <c r="F611" i="4"/>
  <c r="F320" i="4"/>
  <c r="F42" i="4"/>
  <c r="F1427" i="4"/>
  <c r="F801" i="4"/>
  <c r="F218" i="4"/>
  <c r="F711" i="4"/>
  <c r="F908" i="4"/>
  <c r="F43" i="4"/>
  <c r="F1312" i="4"/>
  <c r="F1313" i="4"/>
  <c r="F1428" i="4"/>
  <c r="F1314" i="4"/>
  <c r="F134" i="4"/>
  <c r="F712" i="4"/>
  <c r="F1206" i="4"/>
  <c r="F1025" i="4"/>
  <c r="F1207" i="4"/>
  <c r="F1841" i="4"/>
  <c r="F1605" i="4"/>
  <c r="F909" i="4"/>
  <c r="F219" i="4"/>
  <c r="F506" i="4"/>
  <c r="F1208" i="4"/>
  <c r="F1952" i="4"/>
  <c r="F321" i="4"/>
  <c r="F1429" i="4"/>
  <c r="F1715" i="4"/>
  <c r="F1953" i="4"/>
  <c r="F910" i="4"/>
  <c r="F1842" i="4"/>
  <c r="F911" i="4"/>
  <c r="F507" i="4"/>
  <c r="F135" i="4"/>
  <c r="F612" i="4"/>
  <c r="F802" i="4"/>
  <c r="F912" i="4"/>
  <c r="F322" i="4"/>
  <c r="F1122" i="4"/>
  <c r="F415" i="4"/>
  <c r="F44" i="4"/>
  <c r="F45" i="4"/>
  <c r="F1315" i="4"/>
  <c r="F1209" i="4"/>
  <c r="F1716" i="4"/>
  <c r="F1210" i="4"/>
  <c r="F613" i="4"/>
  <c r="F803" i="4"/>
  <c r="F1211" i="4"/>
  <c r="F1026" i="4"/>
  <c r="F508" i="4"/>
  <c r="F509" i="4"/>
  <c r="F220" i="4"/>
  <c r="F510" i="4"/>
  <c r="F416" i="4"/>
  <c r="F614" i="4"/>
  <c r="F804" i="4"/>
  <c r="F713" i="4"/>
  <c r="F1717" i="4"/>
  <c r="F323" i="4"/>
  <c r="F1718" i="4"/>
  <c r="F1954" i="4"/>
  <c r="F1955" i="4"/>
  <c r="F1212" i="4"/>
  <c r="F913" i="4"/>
  <c r="F1606" i="4"/>
  <c r="F1213" i="4"/>
  <c r="F1507" i="4"/>
  <c r="F1123" i="4"/>
  <c r="F1508" i="4"/>
  <c r="F1843" i="4"/>
  <c r="F1719" i="4"/>
  <c r="F1720" i="4"/>
  <c r="F914" i="4"/>
  <c r="F324" i="4"/>
  <c r="F325" i="4"/>
  <c r="F136" i="4"/>
  <c r="F1844" i="4"/>
  <c r="F511" i="4"/>
  <c r="F512" i="4"/>
  <c r="F46" i="4"/>
  <c r="F221" i="4"/>
  <c r="F915" i="4"/>
  <c r="F326" i="4"/>
  <c r="F1214" i="4"/>
  <c r="F714" i="4"/>
  <c r="F615" i="4"/>
  <c r="F1124" i="4"/>
  <c r="F1956" i="4"/>
  <c r="F1215" i="4"/>
  <c r="F1721" i="4"/>
  <c r="F417" i="4"/>
  <c r="F222" i="4"/>
  <c r="F1509" i="4"/>
  <c r="F1430" i="4"/>
  <c r="F1431" i="4"/>
  <c r="F223" i="4"/>
  <c r="F1510" i="4"/>
  <c r="F805" i="4"/>
  <c r="F47" i="4"/>
  <c r="F1845" i="4"/>
  <c r="F1957" i="4"/>
  <c r="F1511" i="4"/>
  <c r="F1316" i="4"/>
  <c r="F1512" i="4"/>
  <c r="F1432" i="4"/>
  <c r="F1433" i="4"/>
  <c r="F1216" i="4"/>
  <c r="F1217" i="4"/>
  <c r="F137" i="4"/>
  <c r="F1434" i="4"/>
  <c r="F916" i="4"/>
  <c r="F1125" i="4"/>
  <c r="F224" i="4"/>
  <c r="F48" i="4"/>
  <c r="F1218" i="4"/>
  <c r="F1722" i="4"/>
  <c r="F1513" i="4"/>
  <c r="F1317" i="4"/>
  <c r="F1318" i="4"/>
  <c r="F418" i="4"/>
  <c r="F1607" i="4"/>
  <c r="F616" i="4"/>
  <c r="F1608" i="4"/>
  <c r="F419" i="4"/>
  <c r="F806" i="4"/>
  <c r="F1846" i="4"/>
  <c r="F1609" i="4"/>
  <c r="F420" i="4"/>
  <c r="F1610" i="4"/>
  <c r="F1027" i="4"/>
  <c r="F617" i="4"/>
  <c r="F807" i="4"/>
  <c r="F225" i="4"/>
  <c r="F1723" i="4"/>
  <c r="F327" i="4"/>
  <c r="F328" i="4"/>
  <c r="F1126" i="4"/>
  <c r="F1028" i="4"/>
  <c r="F1514" i="4"/>
  <c r="F1958" i="4"/>
  <c r="F1611" i="4"/>
  <c r="F1724" i="4"/>
  <c r="F1847" i="4"/>
  <c r="F1959" i="4"/>
  <c r="F1319" i="4"/>
  <c r="F226" i="4"/>
  <c r="F513" i="4"/>
  <c r="F227" i="4"/>
  <c r="F1515" i="4"/>
  <c r="F1029" i="4"/>
  <c r="F1725" i="4"/>
  <c r="F1516" i="4"/>
  <c r="F1726" i="4"/>
  <c r="F1435" i="4"/>
  <c r="F138" i="4"/>
  <c r="F1127" i="4"/>
  <c r="F329" i="4"/>
  <c r="F1612" i="4"/>
  <c r="F1848" i="4"/>
  <c r="F1849" i="4"/>
  <c r="F228" i="4"/>
  <c r="F1219" i="4"/>
  <c r="F229" i="4"/>
  <c r="F421" i="4"/>
  <c r="F1517" i="4"/>
  <c r="F1518" i="4"/>
  <c r="F139" i="4"/>
  <c r="F917" i="4"/>
  <c r="F1960" i="4"/>
  <c r="F1436" i="4"/>
  <c r="F422" i="4"/>
  <c r="F1613" i="4"/>
  <c r="F1519" i="4"/>
  <c r="F808" i="4"/>
  <c r="F918" i="4"/>
  <c r="F1320" i="4"/>
  <c r="F230" i="4"/>
  <c r="F423" i="4"/>
  <c r="F1321" i="4"/>
  <c r="F231" i="4"/>
  <c r="F49" i="4"/>
  <c r="F618" i="4"/>
  <c r="F1850" i="4"/>
  <c r="F1030" i="4"/>
  <c r="F715" i="4"/>
  <c r="F1322" i="4"/>
  <c r="F1031" i="4"/>
  <c r="F716" i="4"/>
  <c r="F140" i="4"/>
  <c r="F1323" i="4"/>
  <c r="F424" i="4"/>
  <c r="F330" i="4"/>
  <c r="F1520" i="4"/>
  <c r="F1032" i="4"/>
  <c r="F50" i="4"/>
  <c r="F809" i="4"/>
  <c r="F1727" i="4"/>
  <c r="F141" i="4"/>
  <c r="F514" i="4"/>
  <c r="F1614" i="4"/>
  <c r="F1615" i="4"/>
  <c r="F810" i="4"/>
  <c r="F1728" i="4"/>
  <c r="F425" i="4"/>
  <c r="F1128" i="4"/>
  <c r="F1729" i="4"/>
  <c r="F811" i="4"/>
  <c r="F1851" i="4"/>
  <c r="F1129" i="4"/>
  <c r="F1437" i="4"/>
  <c r="F515" i="4"/>
  <c r="F919" i="4"/>
  <c r="F142" i="4"/>
  <c r="F1961" i="4"/>
  <c r="F812" i="4"/>
  <c r="F1730" i="4"/>
  <c r="F1033" i="4"/>
  <c r="F1034" i="4"/>
  <c r="F1324" i="4"/>
  <c r="F1035" i="4"/>
  <c r="F51" i="4"/>
  <c r="F1325" i="4"/>
  <c r="F1962" i="4"/>
  <c r="F813" i="4"/>
  <c r="F619" i="4"/>
  <c r="F52" i="4"/>
  <c r="F1130" i="4"/>
  <c r="F1731" i="4"/>
  <c r="F426" i="4"/>
  <c r="F1326" i="4"/>
  <c r="F1327" i="4"/>
  <c r="F232" i="4"/>
  <c r="F1131" i="4"/>
  <c r="F1220" i="4"/>
  <c r="F1963" i="4"/>
  <c r="F1852" i="4"/>
  <c r="F516" i="4"/>
  <c r="F517" i="4"/>
  <c r="F1964" i="4"/>
  <c r="F1521" i="4"/>
  <c r="F1438" i="4"/>
  <c r="F518" i="4"/>
  <c r="F1328" i="4"/>
  <c r="F1132" i="4"/>
  <c r="F814" i="4"/>
  <c r="F920" i="4"/>
  <c r="F1732" i="4"/>
  <c r="F427" i="4"/>
  <c r="F921" i="4"/>
  <c r="F233" i="4"/>
  <c r="F922" i="4"/>
  <c r="F815" i="4"/>
  <c r="F1329" i="4"/>
  <c r="F923" i="4"/>
  <c r="F1853" i="4"/>
  <c r="F234" i="4"/>
  <c r="F1330" i="4"/>
  <c r="F1036" i="4"/>
  <c r="F235" i="4"/>
  <c r="F1733" i="4"/>
  <c r="F53" i="4"/>
  <c r="F1616" i="4"/>
  <c r="F331" i="4"/>
  <c r="F428" i="4"/>
  <c r="F1617" i="4"/>
  <c r="F332" i="4"/>
  <c r="F1854" i="4"/>
  <c r="F1221" i="4"/>
  <c r="F333" i="4"/>
  <c r="F1037" i="4"/>
  <c r="F620" i="4"/>
  <c r="F1222" i="4"/>
  <c r="F621" i="4"/>
  <c r="F1734" i="4"/>
  <c r="F1331" i="4"/>
  <c r="F334" i="4"/>
  <c r="F622" i="4"/>
  <c r="F924" i="4"/>
  <c r="F1522" i="4"/>
  <c r="F717" i="4"/>
  <c r="F335" i="4"/>
  <c r="F1618" i="4"/>
  <c r="F1038" i="4"/>
  <c r="F1965" i="4"/>
  <c r="F1133" i="4"/>
  <c r="F718" i="4"/>
  <c r="F1735" i="4"/>
  <c r="F1855" i="4"/>
  <c r="F1523" i="4"/>
  <c r="F519" i="4"/>
  <c r="F1856" i="4"/>
  <c r="F816" i="4"/>
  <c r="F1966" i="4"/>
  <c r="F1332" i="4"/>
  <c r="F1736" i="4"/>
  <c r="F1039" i="4"/>
  <c r="F1223" i="4"/>
  <c r="F54" i="4"/>
  <c r="F236" i="4"/>
  <c r="F925" i="4"/>
  <c r="F237" i="4"/>
  <c r="F817" i="4"/>
  <c r="F1040" i="4"/>
  <c r="F143" i="4"/>
  <c r="F429" i="4"/>
  <c r="F1967" i="4"/>
  <c r="F1524" i="4"/>
  <c r="F336" i="4"/>
  <c r="F430" i="4"/>
  <c r="F623" i="4"/>
  <c r="F238" i="4"/>
  <c r="F337" i="4"/>
  <c r="F818" i="4"/>
  <c r="F520" i="4"/>
  <c r="F1439" i="4"/>
  <c r="F338" i="4"/>
  <c r="F719" i="4"/>
  <c r="F521" i="4"/>
  <c r="F239" i="4"/>
  <c r="F1440" i="4"/>
  <c r="F926" i="4"/>
  <c r="F1041" i="4"/>
  <c r="F522" i="4"/>
  <c r="F431" i="4"/>
  <c r="F1525" i="4"/>
  <c r="F1857" i="4"/>
  <c r="F720" i="4"/>
  <c r="F339" i="4"/>
  <c r="F1619" i="4"/>
  <c r="F819" i="4"/>
  <c r="F1333" i="4"/>
  <c r="F1526" i="4"/>
  <c r="F1527" i="4"/>
  <c r="F1620" i="4"/>
  <c r="F1621" i="4"/>
  <c r="F240" i="4"/>
  <c r="F927" i="4"/>
  <c r="F1737" i="4"/>
  <c r="F1441" i="4"/>
  <c r="F820" i="4"/>
  <c r="F721" i="4"/>
  <c r="F55" i="4"/>
  <c r="F523" i="4"/>
  <c r="F432" i="4"/>
  <c r="F340" i="4"/>
  <c r="F341" i="4"/>
  <c r="F1528" i="4"/>
  <c r="F144" i="4"/>
  <c r="F1738" i="4"/>
  <c r="F1858" i="4"/>
  <c r="F56" i="4"/>
  <c r="F624" i="4"/>
  <c r="F722" i="4"/>
  <c r="F625" i="4"/>
  <c r="F145" i="4"/>
  <c r="F1224" i="4"/>
  <c r="F1442" i="4"/>
  <c r="F524" i="4"/>
  <c r="F1443" i="4"/>
  <c r="F626" i="4"/>
  <c r="F525" i="4"/>
  <c r="F1225" i="4"/>
  <c r="F821" i="4"/>
  <c r="F627" i="4"/>
  <c r="F723" i="4"/>
  <c r="F822" i="4"/>
  <c r="F823" i="4"/>
  <c r="F1968" i="4"/>
  <c r="F1739" i="4"/>
  <c r="F342" i="4"/>
  <c r="F1529" i="4"/>
  <c r="F1134" i="4"/>
  <c r="F1334" i="4"/>
  <c r="F928" i="4"/>
  <c r="F57" i="4"/>
  <c r="F1335" i="4"/>
  <c r="F526" i="4"/>
  <c r="F1622" i="4"/>
  <c r="F241" i="4"/>
  <c r="F1336" i="4"/>
  <c r="F433" i="4"/>
  <c r="F343" i="4"/>
  <c r="F1226" i="4"/>
  <c r="F527" i="4"/>
  <c r="F824" i="4"/>
  <c r="F724" i="4"/>
  <c r="F1042" i="4"/>
  <c r="F344" i="4"/>
  <c r="F1227" i="4"/>
  <c r="F1135" i="4"/>
  <c r="F58" i="4"/>
  <c r="F1228" i="4"/>
  <c r="F1229" i="4"/>
  <c r="F59" i="4"/>
  <c r="F1740" i="4"/>
  <c r="F1230" i="4"/>
  <c r="F1231" i="4"/>
  <c r="F1530" i="4"/>
  <c r="F60" i="4"/>
  <c r="F628" i="4"/>
  <c r="F725" i="4"/>
  <c r="F1444" i="4"/>
  <c r="F1337" i="4"/>
  <c r="F629" i="4"/>
  <c r="F1623" i="4"/>
  <c r="F825" i="4"/>
  <c r="F242" i="4"/>
  <c r="F146" i="4"/>
  <c r="F1741" i="4"/>
  <c r="F1136" i="4"/>
  <c r="F1445" i="4"/>
  <c r="F630" i="4"/>
  <c r="F434" i="4"/>
  <c r="F1742" i="4"/>
  <c r="F345" i="4"/>
  <c r="F929" i="4"/>
  <c r="F1137" i="4"/>
  <c r="F726" i="4"/>
  <c r="F1338" i="4"/>
  <c r="F1339" i="4"/>
  <c r="F1340" i="4"/>
  <c r="F1859" i="4"/>
  <c r="F1138" i="4"/>
  <c r="F1531" i="4"/>
  <c r="F1043" i="4"/>
  <c r="F1044" i="4"/>
  <c r="F1860" i="4"/>
  <c r="F147" i="4"/>
  <c r="F1624" i="4"/>
  <c r="F61" i="4"/>
  <c r="F1969" i="4"/>
  <c r="F435" i="4"/>
  <c r="F346" i="4"/>
  <c r="F1861" i="4"/>
  <c r="F826" i="4"/>
  <c r="F1970" i="4"/>
  <c r="F1532" i="4"/>
  <c r="F1341" i="4"/>
  <c r="F436" i="4"/>
  <c r="F1342" i="4"/>
  <c r="F1232" i="4"/>
  <c r="F148" i="4"/>
  <c r="F930" i="4"/>
  <c r="F62" i="4"/>
  <c r="F727" i="4"/>
  <c r="F347" i="4"/>
  <c r="F1971" i="4"/>
  <c r="F348" i="4"/>
  <c r="F1625" i="4"/>
  <c r="F1139" i="4"/>
  <c r="F1045" i="4"/>
  <c r="F63" i="4"/>
  <c r="F1626" i="4"/>
  <c r="F1862" i="4"/>
  <c r="F243" i="4"/>
  <c r="F1533" i="4"/>
  <c r="F1140" i="4"/>
  <c r="F1446" i="4"/>
  <c r="F528" i="4"/>
  <c r="F529" i="4"/>
  <c r="F931" i="4"/>
  <c r="F1863" i="4"/>
  <c r="F1046" i="4"/>
  <c r="F244" i="4"/>
  <c r="F1864" i="4"/>
  <c r="F149" i="4"/>
  <c r="F1343" i="4"/>
  <c r="F530" i="4"/>
  <c r="F932" i="4"/>
  <c r="F1865" i="4"/>
  <c r="F349" i="4"/>
  <c r="F827" i="4"/>
  <c r="F1233" i="4"/>
  <c r="F245" i="4"/>
  <c r="F531" i="4"/>
  <c r="F631" i="4"/>
  <c r="F1972" i="4"/>
  <c r="F1141" i="4"/>
  <c r="F532" i="4"/>
  <c r="F1534" i="4"/>
  <c r="F632" i="4"/>
  <c r="F1447" i="4"/>
  <c r="F1234" i="4"/>
  <c r="F1142" i="4"/>
  <c r="F933" i="4"/>
  <c r="F633" i="4"/>
  <c r="F828" i="4"/>
  <c r="F1743" i="4"/>
  <c r="F1535" i="4"/>
  <c r="F634" i="4"/>
  <c r="F350" i="4"/>
  <c r="F635" i="4"/>
  <c r="F1143" i="4"/>
  <c r="F437" i="4"/>
  <c r="F64" i="4"/>
  <c r="F1144" i="4"/>
  <c r="F1866" i="4"/>
  <c r="F1235" i="4"/>
  <c r="F1867" i="4"/>
  <c r="F829" i="4"/>
  <c r="F351" i="4"/>
  <c r="F246" i="4"/>
  <c r="F1627" i="4"/>
  <c r="F1868" i="4"/>
  <c r="F1047" i="4"/>
  <c r="F1448" i="4"/>
  <c r="F1449" i="4"/>
  <c r="F934" i="4"/>
  <c r="F830" i="4"/>
  <c r="F935" i="4"/>
  <c r="F728" i="4"/>
  <c r="F1628" i="4"/>
  <c r="F247" i="4"/>
  <c r="F729" i="4"/>
  <c r="F1629" i="4"/>
  <c r="F1744" i="4"/>
  <c r="F1048" i="4"/>
  <c r="F636" i="4"/>
  <c r="F1745" i="4"/>
  <c r="F1630" i="4"/>
  <c r="F65" i="4"/>
  <c r="F637" i="4"/>
  <c r="F1973" i="4"/>
  <c r="F1450" i="4"/>
  <c r="F831" i="4"/>
  <c r="F1869" i="4"/>
  <c r="F1870" i="4"/>
  <c r="F1451" i="4"/>
  <c r="F936" i="4"/>
  <c r="F1452" i="4"/>
  <c r="F638" i="4"/>
  <c r="F438" i="4"/>
  <c r="F1049" i="4"/>
  <c r="F832" i="4"/>
  <c r="F730" i="4"/>
  <c r="F66" i="4"/>
  <c r="F639" i="4"/>
  <c r="F1050" i="4"/>
  <c r="F1236" i="4"/>
  <c r="F1536" i="4"/>
  <c r="F1746" i="4"/>
  <c r="F833" i="4"/>
  <c r="F150" i="4"/>
  <c r="F248" i="4"/>
  <c r="F439" i="4"/>
  <c r="F1051" i="4"/>
  <c r="F1052" i="4"/>
  <c r="F1974" i="4"/>
  <c r="F1344" i="4"/>
  <c r="F533" i="4"/>
  <c r="F1975" i="4"/>
  <c r="F640" i="4"/>
  <c r="F1976" i="4"/>
  <c r="F937" i="4"/>
  <c r="F151" i="4"/>
  <c r="F731" i="4"/>
  <c r="F1631" i="4"/>
  <c r="F1053" i="4"/>
  <c r="F938" i="4"/>
  <c r="F1871" i="4"/>
  <c r="F641" i="4"/>
  <c r="F152" i="4"/>
  <c r="F939" i="4"/>
  <c r="F1977" i="4"/>
  <c r="F67" i="4"/>
  <c r="F1237" i="4"/>
  <c r="F153" i="4"/>
  <c r="F1453" i="4"/>
  <c r="F1238" i="4"/>
  <c r="F1872" i="4"/>
  <c r="F352" i="4"/>
  <c r="F534" i="4"/>
  <c r="F249" i="4"/>
  <c r="F1747" i="4"/>
  <c r="F1748" i="4"/>
  <c r="F1145" i="4"/>
  <c r="F68" i="4"/>
  <c r="F940" i="4"/>
  <c r="F1454" i="4"/>
  <c r="F353" i="4"/>
  <c r="F535" i="4"/>
  <c r="F536" i="4"/>
  <c r="F1978" i="4"/>
  <c r="F154" i="4"/>
  <c r="F537" i="4"/>
  <c r="F250" i="4"/>
  <c r="F1455" i="4"/>
  <c r="F69" i="4"/>
  <c r="F1537" i="4"/>
  <c r="F642" i="4"/>
  <c r="F1146" i="4"/>
  <c r="F354" i="4"/>
  <c r="F1345" i="4"/>
  <c r="F1632" i="4"/>
  <c r="F1749" i="4"/>
  <c r="F538" i="4"/>
  <c r="F1239" i="4"/>
  <c r="F1633" i="4"/>
  <c r="F70" i="4"/>
  <c r="F1147" i="4"/>
  <c r="F539" i="4"/>
  <c r="F251" i="4"/>
  <c r="F1148" i="4"/>
  <c r="F1456" i="4"/>
  <c r="F732" i="4"/>
  <c r="F355" i="4"/>
  <c r="F1346" i="4"/>
  <c r="F1457" i="4"/>
  <c r="F252" i="4"/>
  <c r="F155" i="4"/>
  <c r="F1538" i="4"/>
  <c r="F1979" i="4"/>
  <c r="F1054" i="4"/>
  <c r="F1873" i="4"/>
  <c r="F71" i="4"/>
  <c r="F440" i="4"/>
  <c r="F643" i="4"/>
  <c r="F1055" i="4"/>
  <c r="F1750" i="4"/>
  <c r="F1056" i="4"/>
  <c r="F253" i="4"/>
  <c r="F1874" i="4"/>
  <c r="F941" i="4"/>
  <c r="F733" i="4"/>
  <c r="F441" i="4"/>
  <c r="F942" i="4"/>
  <c r="F1347" i="4"/>
  <c r="F156" i="4"/>
  <c r="F943" i="4"/>
  <c r="F1458" i="4"/>
  <c r="F1875" i="4"/>
  <c r="F1348" i="4"/>
  <c r="F1980" i="4"/>
  <c r="F254" i="4"/>
  <c r="F442" i="4"/>
  <c r="F1240" i="4"/>
  <c r="F1539" i="4"/>
  <c r="F1751" i="4"/>
  <c r="F1981" i="4"/>
  <c r="F72" i="4"/>
  <c r="F1876" i="4"/>
  <c r="F255" i="4"/>
  <c r="F1057" i="4"/>
  <c r="F1540" i="4"/>
  <c r="F834" i="4"/>
  <c r="F73" i="4"/>
  <c r="F540" i="4"/>
  <c r="F256" i="4"/>
  <c r="F1149" i="4"/>
  <c r="F257" i="4"/>
  <c r="F835" i="4"/>
  <c r="F1241" i="4"/>
  <c r="F258" i="4"/>
  <c r="F541" i="4"/>
  <c r="F1634" i="4"/>
  <c r="F1058" i="4"/>
  <c r="F944" i="4"/>
  <c r="F1635" i="4"/>
  <c r="F1349" i="4"/>
  <c r="F945" i="4"/>
  <c r="F1636" i="4"/>
  <c r="F1877" i="4"/>
  <c r="F644" i="4"/>
  <c r="F1637" i="4"/>
  <c r="F1150" i="4"/>
  <c r="F1459" i="4"/>
  <c r="F946" i="4"/>
  <c r="F645" i="4"/>
  <c r="F1242" i="4"/>
  <c r="F836" i="4"/>
  <c r="F947" i="4"/>
  <c r="F837" i="4"/>
  <c r="F1243" i="4"/>
  <c r="F1982" i="4"/>
  <c r="F1638" i="4"/>
  <c r="F443" i="4"/>
  <c r="F1350" i="4"/>
  <c r="F1460" i="4"/>
  <c r="F1639" i="4"/>
  <c r="F1878" i="4"/>
  <c r="F157" i="4"/>
  <c r="F1244" i="4"/>
  <c r="F1151" i="4"/>
  <c r="F646" i="4"/>
  <c r="F1059" i="4"/>
  <c r="F1640" i="4"/>
  <c r="F542" i="4"/>
  <c r="F948" i="4"/>
  <c r="F1060" i="4"/>
  <c r="F543" i="4"/>
  <c r="F734" i="4"/>
  <c r="F444" i="4"/>
  <c r="F1351" i="4"/>
  <c r="F838" i="4"/>
  <c r="F1352" i="4"/>
  <c r="F1641" i="4"/>
  <c r="F1353" i="4"/>
  <c r="F158" i="4"/>
  <c r="F1461" i="4"/>
  <c r="F1879" i="4"/>
  <c r="F839" i="4"/>
  <c r="F1752" i="4"/>
  <c r="F159" i="4"/>
  <c r="F1642" i="4"/>
  <c r="F1245" i="4"/>
  <c r="F445" i="4"/>
  <c r="F1541" i="4"/>
  <c r="F1152" i="4"/>
  <c r="F1462" i="4"/>
  <c r="F647" i="4"/>
  <c r="F1643" i="4"/>
  <c r="F446" i="4"/>
  <c r="F1880" i="4"/>
  <c r="F949" i="4"/>
  <c r="F1542" i="4"/>
  <c r="F1463" i="4"/>
  <c r="F1543" i="4"/>
  <c r="F544" i="4"/>
  <c r="F1246" i="4"/>
  <c r="F1354" i="4"/>
  <c r="F1355" i="4"/>
  <c r="F1881" i="4"/>
  <c r="F1983" i="4"/>
  <c r="F1644" i="4"/>
  <c r="F1247" i="4"/>
  <c r="F1153" i="4"/>
  <c r="F160" i="4"/>
  <c r="F840" i="4"/>
  <c r="F1753" i="4"/>
  <c r="F1754" i="4"/>
  <c r="F1061" i="4"/>
  <c r="F1984" i="4"/>
  <c r="F447" i="4"/>
  <c r="F1154" i="4"/>
  <c r="F1985" i="4"/>
  <c r="F1882" i="4"/>
  <c r="F950" i="4"/>
  <c r="F161" i="4"/>
  <c r="F1356" i="4"/>
  <c r="F162" i="4"/>
  <c r="F735" i="4"/>
  <c r="F163" i="4"/>
  <c r="F1883" i="4"/>
  <c r="F545" i="4"/>
  <c r="F841" i="4"/>
  <c r="F1544" i="4"/>
  <c r="F842" i="4"/>
  <c r="F1884" i="4"/>
  <c r="F1357" i="4"/>
  <c r="F1755" i="4"/>
  <c r="F1645" i="4"/>
  <c r="F843" i="4"/>
  <c r="F951" i="4"/>
  <c r="F736" i="4"/>
  <c r="F952" i="4"/>
  <c r="F1062" i="4"/>
  <c r="F1986" i="4"/>
  <c r="F259" i="4"/>
  <c r="F953" i="4"/>
  <c r="F1545" i="4"/>
  <c r="F448" i="4"/>
  <c r="F1248" i="4"/>
  <c r="F1249" i="4"/>
  <c r="F260" i="4"/>
  <c r="F261" i="4"/>
  <c r="F1250" i="4"/>
  <c r="F1358" i="4"/>
  <c r="F737" i="4"/>
  <c r="F1063" i="4"/>
  <c r="F1546" i="4"/>
  <c r="F1646" i="4"/>
  <c r="F449" i="4"/>
  <c r="F1647" i="4"/>
  <c r="F262" i="4"/>
  <c r="F1987" i="4"/>
  <c r="F1756" i="4"/>
  <c r="F450" i="4"/>
  <c r="F1464" i="4"/>
  <c r="F164" i="4"/>
  <c r="F1648" i="4"/>
  <c r="F546" i="4"/>
  <c r="F1757" i="4"/>
  <c r="F74" i="4"/>
  <c r="F1465" i="4"/>
  <c r="F263" i="4"/>
  <c r="F738" i="4"/>
  <c r="F165" i="4"/>
  <c r="F1885" i="4"/>
  <c r="F1886" i="4"/>
  <c r="F1649" i="4"/>
  <c r="F1064" i="4"/>
  <c r="F1155" i="4"/>
  <c r="F1758" i="4"/>
  <c r="F1887" i="4"/>
  <c r="F954" i="4"/>
  <c r="F75" i="4"/>
  <c r="F1156" i="4"/>
  <c r="F166" i="4"/>
  <c r="F1988" i="4"/>
  <c r="F1359" i="4"/>
  <c r="F1360" i="4"/>
  <c r="F955" i="4"/>
  <c r="F1650" i="4"/>
  <c r="F1888" i="4"/>
  <c r="F844" i="4"/>
  <c r="F1065" i="4"/>
  <c r="F264" i="4"/>
  <c r="F956" i="4"/>
  <c r="F1651" i="4"/>
  <c r="F648" i="4"/>
  <c r="F1466" i="4"/>
  <c r="F1989" i="4"/>
  <c r="F1759" i="4"/>
  <c r="F1361" i="4"/>
  <c r="F1066" i="4"/>
  <c r="F1652" i="4"/>
  <c r="F1653" i="4"/>
  <c r="F76" i="4"/>
  <c r="F739" i="4"/>
  <c r="F1889" i="4"/>
  <c r="F1890" i="4"/>
  <c r="F1547" i="4"/>
  <c r="F77" i="4"/>
  <c r="F167" i="4"/>
  <c r="F451" i="4"/>
  <c r="F1548" i="4"/>
  <c r="F740" i="4"/>
  <c r="F78" i="4"/>
  <c r="F452" i="4"/>
  <c r="F957" i="4"/>
  <c r="F453" i="4"/>
  <c r="F741" i="4"/>
  <c r="F265" i="4"/>
  <c r="F266" i="4"/>
  <c r="F1549" i="4"/>
  <c r="F547" i="4"/>
  <c r="F548" i="4"/>
  <c r="F845" i="4"/>
  <c r="F1467" i="4"/>
  <c r="F1468" i="4"/>
  <c r="F1891" i="4"/>
  <c r="F168" i="4"/>
  <c r="F742" i="4"/>
  <c r="F549" i="4"/>
  <c r="F1892" i="4"/>
  <c r="F550" i="4"/>
  <c r="F958" i="4"/>
  <c r="F1760" i="4"/>
  <c r="F959" i="4"/>
  <c r="F960" i="4"/>
  <c r="F1893" i="4"/>
  <c r="F649" i="4"/>
  <c r="F79" i="4"/>
  <c r="F1654" i="4"/>
  <c r="F80" i="4"/>
  <c r="F846" i="4"/>
  <c r="F551" i="4"/>
  <c r="F961" i="4"/>
  <c r="F1761" i="4"/>
  <c r="F1157" i="4"/>
  <c r="F1550" i="4"/>
  <c r="F1362" i="4"/>
  <c r="F1067" i="4"/>
  <c r="F1894" i="4"/>
  <c r="F847" i="4"/>
  <c r="F169" i="4"/>
  <c r="F1990" i="4"/>
  <c r="F1068" i="4"/>
  <c r="F1469" i="4"/>
  <c r="F552" i="4"/>
  <c r="F356" i="4"/>
  <c r="F962" i="4"/>
  <c r="F743" i="4"/>
  <c r="F553" i="4"/>
  <c r="F267" i="4"/>
  <c r="F1895" i="4"/>
  <c r="F1363" i="4"/>
  <c r="F1762" i="4"/>
  <c r="F81" i="4"/>
  <c r="F170" i="4"/>
  <c r="F848" i="4"/>
  <c r="F849" i="4"/>
  <c r="F1763" i="4"/>
  <c r="F850" i="4"/>
  <c r="F1655" i="4"/>
  <c r="F357" i="4"/>
  <c r="F454" i="4"/>
  <c r="F744" i="4"/>
  <c r="F1991" i="4"/>
  <c r="F1470" i="4"/>
  <c r="F82" i="4"/>
  <c r="F1896" i="4"/>
  <c r="F171" i="4"/>
  <c r="F358" i="4"/>
  <c r="F172" i="4"/>
  <c r="F1656" i="4"/>
  <c r="F554" i="4"/>
  <c r="F1764" i="4"/>
  <c r="F1251" i="4"/>
  <c r="F1897" i="4"/>
  <c r="F1992" i="4"/>
  <c r="F83" i="4"/>
  <c r="F555" i="4"/>
  <c r="F851" i="4"/>
  <c r="F1252" i="4"/>
  <c r="F1551" i="4"/>
  <c r="F1765" i="4"/>
  <c r="F1253" i="4"/>
  <c r="F650" i="4"/>
  <c r="F173" i="4"/>
  <c r="F174" i="4"/>
  <c r="F745" i="4"/>
  <c r="F1364" i="4"/>
  <c r="F84" i="4"/>
  <c r="F1471" i="4"/>
  <c r="F651" i="4"/>
  <c r="F1254" i="4"/>
  <c r="F1657" i="4"/>
  <c r="F1658" i="4"/>
  <c r="F175" i="4"/>
  <c r="F1552" i="4"/>
  <c r="F268" i="4"/>
  <c r="F556" i="4"/>
  <c r="F746" i="4"/>
  <c r="F269" i="4"/>
  <c r="F1472" i="4"/>
  <c r="F1255" i="4"/>
  <c r="F747" i="4"/>
  <c r="F270" i="4"/>
  <c r="F748" i="4"/>
  <c r="F455" i="4"/>
  <c r="F1158" i="4"/>
  <c r="F456" i="4"/>
  <c r="F271" i="4"/>
  <c r="F1659" i="4"/>
  <c r="F85" i="4"/>
  <c r="F652" i="4"/>
  <c r="F1256" i="4"/>
  <c r="F359" i="4"/>
  <c r="F749" i="4"/>
  <c r="F176" i="4"/>
  <c r="F272" i="4"/>
  <c r="F963" i="4"/>
  <c r="F360" i="4"/>
  <c r="F852" i="4"/>
  <c r="F1069" i="4"/>
  <c r="F1660" i="4"/>
  <c r="F853" i="4"/>
  <c r="F1993" i="4"/>
  <c r="F1365" i="4"/>
  <c r="F653" i="4"/>
  <c r="F457" i="4"/>
  <c r="F1553" i="4"/>
  <c r="F458" i="4"/>
  <c r="F459" i="4"/>
  <c r="F273" i="4"/>
  <c r="F460" i="4"/>
  <c r="F1994" i="4"/>
  <c r="F1554" i="4"/>
  <c r="F854" i="4"/>
  <c r="F855" i="4"/>
  <c r="F1995" i="4"/>
  <c r="F1257" i="4"/>
  <c r="F557" i="4"/>
  <c r="F1898" i="4"/>
  <c r="F1473" i="4"/>
  <c r="F1766" i="4"/>
  <c r="F750" i="4"/>
  <c r="F1258" i="4"/>
  <c r="F1767" i="4"/>
  <c r="F1555" i="4"/>
  <c r="F177" i="4"/>
  <c r="F1366" i="4"/>
  <c r="F558" i="4"/>
  <c r="F178" i="4"/>
  <c r="F461" i="4"/>
  <c r="F1556" i="4"/>
  <c r="F1070" i="4"/>
  <c r="F751" i="4"/>
  <c r="F1474" i="4"/>
  <c r="F559" i="4"/>
  <c r="F86" i="4"/>
  <c r="F361" i="4"/>
  <c r="F856" i="4"/>
  <c r="F179" i="4"/>
  <c r="F1071" i="4"/>
  <c r="F180" i="4"/>
  <c r="F1072" i="4"/>
  <c r="F1557" i="4"/>
  <c r="F1558" i="4"/>
  <c r="F1559" i="4"/>
  <c r="F362" i="4"/>
  <c r="F1475" i="4"/>
  <c r="F654" i="4"/>
  <c r="F857" i="4"/>
  <c r="F87" i="4"/>
  <c r="F88" i="4"/>
  <c r="F1768" i="4"/>
  <c r="F1661" i="4"/>
  <c r="F89" i="4"/>
  <c r="F1996" i="4"/>
  <c r="F560" i="4"/>
  <c r="F1997" i="4"/>
  <c r="F1159" i="4"/>
  <c r="F1367" i="4"/>
  <c r="F964" i="4"/>
  <c r="F462" i="4"/>
  <c r="F965" i="4"/>
  <c r="F858" i="4"/>
  <c r="F1160" i="4"/>
  <c r="F1998" i="4"/>
  <c r="F1161" i="4"/>
  <c r="F1073" i="4"/>
  <c r="F363" i="4"/>
  <c r="F859" i="4"/>
  <c r="F1476" i="4"/>
  <c r="F1662" i="4"/>
  <c r="F1162" i="4"/>
  <c r="F181" i="4"/>
  <c r="F1074" i="4"/>
  <c r="F655" i="4"/>
  <c r="F364" i="4"/>
  <c r="F90" i="4"/>
  <c r="F1075" i="4"/>
  <c r="F1663" i="4"/>
  <c r="F365" i="4"/>
  <c r="F1664" i="4"/>
  <c r="F91" i="4"/>
  <c r="F463" i="4"/>
  <c r="F1368" i="4"/>
  <c r="F1163" i="4"/>
  <c r="F182" i="4"/>
  <c r="F966" i="4"/>
  <c r="F1076" i="4"/>
  <c r="F656" i="4"/>
  <c r="F183" i="4"/>
  <c r="F1477" i="4"/>
  <c r="F1769" i="4"/>
  <c r="F967" i="4"/>
  <c r="F464" i="4"/>
  <c r="F561" i="4"/>
  <c r="F1478" i="4"/>
  <c r="F1770" i="4"/>
  <c r="F657" i="4"/>
  <c r="F1665" i="4"/>
  <c r="F1771" i="4"/>
  <c r="F465" i="4"/>
  <c r="F274" i="4"/>
  <c r="F752" i="4"/>
  <c r="F1772" i="4"/>
  <c r="F860" i="4"/>
  <c r="F466" i="4"/>
  <c r="F1666" i="4"/>
  <c r="F366" i="4"/>
  <c r="F562" i="4"/>
  <c r="F1479" i="4"/>
  <c r="F1560" i="4"/>
  <c r="F1561" i="4"/>
  <c r="F92" i="4"/>
  <c r="F1773" i="4"/>
  <c r="F968" i="4"/>
  <c r="F184" i="4"/>
  <c r="F969" i="4"/>
  <c r="F861" i="4"/>
  <c r="F275" i="4"/>
  <c r="F658" i="4"/>
  <c r="F1667" i="4"/>
  <c r="F1164" i="4"/>
  <c r="F467" i="4"/>
  <c r="F276" i="4"/>
  <c r="F563" i="4"/>
  <c r="F367" i="4"/>
  <c r="F753" i="4"/>
  <c r="F368" i="4"/>
  <c r="F1999" i="4"/>
  <c r="F754" i="4"/>
  <c r="F277" i="4"/>
  <c r="F1369" i="4"/>
  <c r="F468" i="4"/>
  <c r="F469" i="4"/>
  <c r="F369" i="4"/>
  <c r="F278" i="4"/>
  <c r="F279" i="4"/>
  <c r="F659" i="4"/>
  <c r="F660" i="4"/>
  <c r="F185" i="4"/>
  <c r="F970" i="4"/>
  <c r="F470" i="4"/>
  <c r="F1668" i="4"/>
  <c r="F93" i="4"/>
  <c r="F755" i="4"/>
  <c r="F756" i="4"/>
  <c r="F661" i="4"/>
  <c r="F1774" i="4"/>
  <c r="F1899" i="4"/>
  <c r="F186" i="4"/>
  <c r="F1165" i="4"/>
  <c r="F971" i="4"/>
  <c r="F757" i="4"/>
  <c r="F1480" i="4"/>
  <c r="F1259" i="4"/>
  <c r="F1166" i="4"/>
  <c r="F1370" i="4"/>
  <c r="F1260" i="4"/>
  <c r="F862" i="4"/>
  <c r="F564" i="4"/>
  <c r="F1371" i="4"/>
  <c r="F1077" i="4"/>
  <c r="F94" i="4"/>
  <c r="F1562" i="4"/>
  <c r="F972" i="4"/>
  <c r="F280" i="4"/>
  <c r="F1261" i="4"/>
  <c r="F662" i="4"/>
  <c r="F863" i="4"/>
  <c r="F1372" i="4"/>
  <c r="F1373" i="4"/>
  <c r="F1374" i="4"/>
  <c r="F565" i="4"/>
  <c r="F471" i="4"/>
  <c r="F1775" i="4"/>
  <c r="F472" i="4"/>
  <c r="F1167" i="4"/>
  <c r="F1563" i="4"/>
  <c r="F281" i="4"/>
  <c r="F1168" i="4"/>
  <c r="F1169" i="4"/>
  <c r="F1669" i="4"/>
  <c r="F370" i="4"/>
  <c r="F1776" i="4"/>
  <c r="F187" i="4"/>
  <c r="F1375" i="4"/>
  <c r="F758" i="4"/>
  <c r="F566" i="4"/>
  <c r="F282" i="4"/>
  <c r="F1170" i="4"/>
  <c r="F1078" i="4"/>
  <c r="F371" i="4"/>
  <c r="F372" i="4"/>
  <c r="F1900" i="4"/>
  <c r="F567" i="4"/>
  <c r="F1481" i="4"/>
  <c r="F283" i="4"/>
  <c r="F1171" i="4"/>
  <c r="F1901" i="4"/>
  <c r="F1777" i="4"/>
  <c r="F1376" i="4"/>
  <c r="F1902" i="4"/>
  <c r="F663" i="4"/>
  <c r="F1778" i="4"/>
  <c r="F1172" i="4"/>
  <c r="F1262" i="4"/>
  <c r="F1903" i="4"/>
  <c r="F1377" i="4"/>
  <c r="F1263" i="4"/>
  <c r="F188" i="4"/>
  <c r="F1264" i="4"/>
  <c r="F864" i="4"/>
  <c r="F2000" i="4"/>
  <c r="F284" i="4"/>
  <c r="F373" i="4"/>
  <c r="F285" i="4"/>
  <c r="F973" i="4"/>
  <c r="F1173" i="4"/>
  <c r="F1564" i="4"/>
  <c r="F1265" i="4"/>
  <c r="F1904" i="4"/>
  <c r="F2001" i="4"/>
  <c r="F1905" i="4"/>
  <c r="F1378" i="4"/>
  <c r="F1670" i="4"/>
  <c r="F568" i="4"/>
  <c r="F1379" i="4"/>
  <c r="F473" i="4"/>
  <c r="F1079" i="4"/>
  <c r="F974" i="4"/>
  <c r="F569" i="4"/>
  <c r="G1906" i="4"/>
  <c r="G1266" i="4"/>
  <c r="G1671" i="4"/>
  <c r="G759" i="4"/>
  <c r="G1267" i="4"/>
  <c r="G760" i="4"/>
  <c r="G865" i="4"/>
  <c r="G866" i="4"/>
  <c r="G1380" i="4"/>
  <c r="G1779" i="4"/>
  <c r="G761" i="4"/>
  <c r="G867" i="4"/>
  <c r="G664" i="4"/>
  <c r="G1080" i="4"/>
  <c r="G1907" i="4"/>
  <c r="G1174" i="4"/>
  <c r="G1908" i="4"/>
  <c r="G286" i="4"/>
  <c r="G1565" i="4"/>
  <c r="G762" i="4"/>
  <c r="G665" i="4"/>
  <c r="G1268" i="4"/>
  <c r="G570" i="4"/>
  <c r="G374" i="4"/>
  <c r="G763" i="4"/>
  <c r="G189" i="4"/>
  <c r="G1269" i="4"/>
  <c r="G287" i="4"/>
  <c r="G1175" i="4"/>
  <c r="G666" i="4"/>
  <c r="G1270" i="4"/>
  <c r="G868" i="4"/>
  <c r="G375" i="4"/>
  <c r="G1672" i="4"/>
  <c r="G288" i="4"/>
  <c r="G975" i="4"/>
  <c r="G667" i="4"/>
  <c r="G376" i="4"/>
  <c r="G1673" i="4"/>
  <c r="G1482" i="4"/>
  <c r="G1674" i="4"/>
  <c r="G668" i="4"/>
  <c r="G1381" i="4"/>
  <c r="G571" i="4"/>
  <c r="G764" i="4"/>
  <c r="G1675" i="4"/>
  <c r="G1566" i="4"/>
  <c r="G765" i="4"/>
  <c r="G95" i="4"/>
  <c r="G1567" i="4"/>
  <c r="G869" i="4"/>
  <c r="G766" i="4"/>
  <c r="G1382" i="4"/>
  <c r="G1271" i="4"/>
  <c r="G474" i="4"/>
  <c r="G1483" i="4"/>
  <c r="G870" i="4"/>
  <c r="G1272" i="4"/>
  <c r="G669" i="4"/>
  <c r="G1568" i="4"/>
  <c r="G377" i="4"/>
  <c r="G871" i="4"/>
  <c r="G475" i="4"/>
  <c r="G670" i="4"/>
  <c r="G1081" i="4"/>
  <c r="G671" i="4"/>
  <c r="G672" i="4"/>
  <c r="G2" i="4"/>
  <c r="G1676" i="4"/>
  <c r="G96" i="4"/>
  <c r="G1909" i="4"/>
  <c r="G190" i="4"/>
  <c r="G3" i="4"/>
  <c r="G1383" i="4"/>
  <c r="G4" i="4"/>
  <c r="G673" i="4"/>
  <c r="G1569" i="4"/>
  <c r="G674" i="4"/>
  <c r="G976" i="4"/>
  <c r="G977" i="4"/>
  <c r="G978" i="4"/>
  <c r="G1780" i="4"/>
  <c r="G572" i="4"/>
  <c r="G979" i="4"/>
  <c r="G1781" i="4"/>
  <c r="G97" i="4"/>
  <c r="G1570" i="4"/>
  <c r="G5" i="4"/>
  <c r="G1176" i="4"/>
  <c r="G980" i="4"/>
  <c r="G1273" i="4"/>
  <c r="G1274" i="4"/>
  <c r="G1782" i="4"/>
  <c r="G1275" i="4"/>
  <c r="G1082" i="4"/>
  <c r="G476" i="4"/>
  <c r="G675" i="4"/>
  <c r="G1177" i="4"/>
  <c r="G1783" i="4"/>
  <c r="G1178" i="4"/>
  <c r="G98" i="4"/>
  <c r="G1179" i="4"/>
  <c r="G767" i="4"/>
  <c r="G981" i="4"/>
  <c r="G1784" i="4"/>
  <c r="G676" i="4"/>
  <c r="G573" i="4"/>
  <c r="G191" i="4"/>
  <c r="G768" i="4"/>
  <c r="G1785" i="4"/>
  <c r="G1910" i="4"/>
  <c r="G872" i="4"/>
  <c r="G99" i="4"/>
  <c r="G1484" i="4"/>
  <c r="G1180" i="4"/>
  <c r="G677" i="4"/>
  <c r="G1276" i="4"/>
  <c r="G1571" i="4"/>
  <c r="G378" i="4"/>
  <c r="G1677" i="4"/>
  <c r="G192" i="4"/>
  <c r="G6" i="4"/>
  <c r="G1384" i="4"/>
  <c r="G193" i="4"/>
  <c r="G379" i="4"/>
  <c r="G7" i="4"/>
  <c r="G194" i="4"/>
  <c r="G1911" i="4"/>
  <c r="G574" i="4"/>
  <c r="G1485" i="4"/>
  <c r="G1083" i="4"/>
  <c r="G1385" i="4"/>
  <c r="G678" i="4"/>
  <c r="G1572" i="4"/>
  <c r="G1084" i="4"/>
  <c r="G380" i="4"/>
  <c r="G1678" i="4"/>
  <c r="G1085" i="4"/>
  <c r="G1573" i="4"/>
  <c r="G1486" i="4"/>
  <c r="G982" i="4"/>
  <c r="G1277" i="4"/>
  <c r="G769" i="4"/>
  <c r="G679" i="4"/>
  <c r="G575" i="4"/>
  <c r="G1679" i="4"/>
  <c r="G1086" i="4"/>
  <c r="G1087" i="4"/>
  <c r="G770" i="4"/>
  <c r="G1680" i="4"/>
  <c r="G983" i="4"/>
  <c r="G1278" i="4"/>
  <c r="G1681" i="4"/>
  <c r="G100" i="4"/>
  <c r="G1912" i="4"/>
  <c r="G1386" i="4"/>
  <c r="G101" i="4"/>
  <c r="G680" i="4"/>
  <c r="G1088" i="4"/>
  <c r="G8" i="4"/>
  <c r="G1786" i="4"/>
  <c r="G9" i="4"/>
  <c r="G771" i="4"/>
  <c r="G984" i="4"/>
  <c r="G873" i="4"/>
  <c r="G289" i="4"/>
  <c r="G477" i="4"/>
  <c r="G1279" i="4"/>
  <c r="G576" i="4"/>
  <c r="G1913" i="4"/>
  <c r="G1089" i="4"/>
  <c r="G195" i="4"/>
  <c r="G772" i="4"/>
  <c r="G1181" i="4"/>
  <c r="G1787" i="4"/>
  <c r="G102" i="4"/>
  <c r="G478" i="4"/>
  <c r="G1090" i="4"/>
  <c r="G290" i="4"/>
  <c r="G291" i="4"/>
  <c r="G681" i="4"/>
  <c r="G103" i="4"/>
  <c r="G1091" i="4"/>
  <c r="G1788" i="4"/>
  <c r="G1387" i="4"/>
  <c r="G577" i="4"/>
  <c r="G381" i="4"/>
  <c r="G1487" i="4"/>
  <c r="G578" i="4"/>
  <c r="G104" i="4"/>
  <c r="G10" i="4"/>
  <c r="G105" i="4"/>
  <c r="G1182" i="4"/>
  <c r="G579" i="4"/>
  <c r="G874" i="4"/>
  <c r="G1092" i="4"/>
  <c r="G580" i="4"/>
  <c r="G773" i="4"/>
  <c r="G1789" i="4"/>
  <c r="G1280" i="4"/>
  <c r="G1488" i="4"/>
  <c r="G106" i="4"/>
  <c r="G11" i="4"/>
  <c r="G985" i="4"/>
  <c r="G774" i="4"/>
  <c r="G1574" i="4"/>
  <c r="G1093" i="4"/>
  <c r="G196" i="4"/>
  <c r="G581" i="4"/>
  <c r="G582" i="4"/>
  <c r="G986" i="4"/>
  <c r="G1281" i="4"/>
  <c r="G1282" i="4"/>
  <c r="G382" i="4"/>
  <c r="G107" i="4"/>
  <c r="G1914" i="4"/>
  <c r="G479" i="4"/>
  <c r="G12" i="4"/>
  <c r="G292" i="4"/>
  <c r="G383" i="4"/>
  <c r="G583" i="4"/>
  <c r="G1489" i="4"/>
  <c r="G682" i="4"/>
  <c r="G1790" i="4"/>
  <c r="G1575" i="4"/>
  <c r="G1576" i="4"/>
  <c r="G1388" i="4"/>
  <c r="G775" i="4"/>
  <c r="G1791" i="4"/>
  <c r="G293" i="4"/>
  <c r="G13" i="4"/>
  <c r="G987" i="4"/>
  <c r="G1792" i="4"/>
  <c r="G108" i="4"/>
  <c r="G1283" i="4"/>
  <c r="G1682" i="4"/>
  <c r="G1683" i="4"/>
  <c r="G197" i="4"/>
  <c r="G988" i="4"/>
  <c r="G683" i="4"/>
  <c r="G1793" i="4"/>
  <c r="G1490" i="4"/>
  <c r="G1094" i="4"/>
  <c r="G480" i="4"/>
  <c r="G198" i="4"/>
  <c r="G989" i="4"/>
  <c r="G1577" i="4"/>
  <c r="G584" i="4"/>
  <c r="G1794" i="4"/>
  <c r="G684" i="4"/>
  <c r="G481" i="4"/>
  <c r="G585" i="4"/>
  <c r="G199" i="4"/>
  <c r="G875" i="4"/>
  <c r="G1389" i="4"/>
  <c r="G1390" i="4"/>
  <c r="G776" i="4"/>
  <c r="G1795" i="4"/>
  <c r="G685" i="4"/>
  <c r="G1284" i="4"/>
  <c r="G1095" i="4"/>
  <c r="G1391" i="4"/>
  <c r="G1796" i="4"/>
  <c r="G1183" i="4"/>
  <c r="G1392" i="4"/>
  <c r="G586" i="4"/>
  <c r="G200" i="4"/>
  <c r="G384" i="4"/>
  <c r="G1797" i="4"/>
  <c r="G1915" i="4"/>
  <c r="G990" i="4"/>
  <c r="G385" i="4"/>
  <c r="G1684" i="4"/>
  <c r="G1393" i="4"/>
  <c r="G991" i="4"/>
  <c r="G386" i="4"/>
  <c r="G1798" i="4"/>
  <c r="G1685" i="4"/>
  <c r="G992" i="4"/>
  <c r="G1285" i="4"/>
  <c r="G294" i="4"/>
  <c r="G1799" i="4"/>
  <c r="G1578" i="4"/>
  <c r="G14" i="4"/>
  <c r="G482" i="4"/>
  <c r="G109" i="4"/>
  <c r="G587" i="4"/>
  <c r="G1286" i="4"/>
  <c r="G387" i="4"/>
  <c r="G201" i="4"/>
  <c r="G15" i="4"/>
  <c r="G388" i="4"/>
  <c r="G483" i="4"/>
  <c r="G1096" i="4"/>
  <c r="G1579" i="4"/>
  <c r="G1184" i="4"/>
  <c r="G1580" i="4"/>
  <c r="G484" i="4"/>
  <c r="G110" i="4"/>
  <c r="G588" i="4"/>
  <c r="G1800" i="4"/>
  <c r="G16" i="4"/>
  <c r="G202" i="4"/>
  <c r="G111" i="4"/>
  <c r="G777" i="4"/>
  <c r="G203" i="4"/>
  <c r="G17" i="4"/>
  <c r="G778" i="4"/>
  <c r="G1394" i="4"/>
  <c r="G389" i="4"/>
  <c r="G589" i="4"/>
  <c r="G1686" i="4"/>
  <c r="G485" i="4"/>
  <c r="G993" i="4"/>
  <c r="G994" i="4"/>
  <c r="G1581" i="4"/>
  <c r="G1185" i="4"/>
  <c r="G1801" i="4"/>
  <c r="G18" i="4"/>
  <c r="G590" i="4"/>
  <c r="G1097" i="4"/>
  <c r="G204" i="4"/>
  <c r="G779" i="4"/>
  <c r="G390" i="4"/>
  <c r="G1916" i="4"/>
  <c r="G205" i="4"/>
  <c r="G591" i="4"/>
  <c r="G391" i="4"/>
  <c r="G1582" i="4"/>
  <c r="G1287" i="4"/>
  <c r="G686" i="4"/>
  <c r="G1098" i="4"/>
  <c r="G112" i="4"/>
  <c r="G295" i="4"/>
  <c r="G876" i="4"/>
  <c r="G687" i="4"/>
  <c r="G1687" i="4"/>
  <c r="G113" i="4"/>
  <c r="G995" i="4"/>
  <c r="G877" i="4"/>
  <c r="G1802" i="4"/>
  <c r="G1395" i="4"/>
  <c r="G1186" i="4"/>
  <c r="G780" i="4"/>
  <c r="G114" i="4"/>
  <c r="G1583" i="4"/>
  <c r="G1099" i="4"/>
  <c r="G996" i="4"/>
  <c r="G592" i="4"/>
  <c r="G1688" i="4"/>
  <c r="G781" i="4"/>
  <c r="G1396" i="4"/>
  <c r="G997" i="4"/>
  <c r="G392" i="4"/>
  <c r="G1100" i="4"/>
  <c r="G1584" i="4"/>
  <c r="G1917" i="4"/>
  <c r="G206" i="4"/>
  <c r="G393" i="4"/>
  <c r="G688" i="4"/>
  <c r="G1585" i="4"/>
  <c r="G115" i="4"/>
  <c r="G1288" i="4"/>
  <c r="G689" i="4"/>
  <c r="G486" i="4"/>
  <c r="G19" i="4"/>
  <c r="G690" i="4"/>
  <c r="G878" i="4"/>
  <c r="G1187" i="4"/>
  <c r="G487" i="4"/>
  <c r="G394" i="4"/>
  <c r="G879" i="4"/>
  <c r="G691" i="4"/>
  <c r="G395" i="4"/>
  <c r="G998" i="4"/>
  <c r="G488" i="4"/>
  <c r="G1586" i="4"/>
  <c r="G1689" i="4"/>
  <c r="G999" i="4"/>
  <c r="G593" i="4"/>
  <c r="G782" i="4"/>
  <c r="G1803" i="4"/>
  <c r="G692" i="4"/>
  <c r="G1289" i="4"/>
  <c r="G489" i="4"/>
  <c r="G296" i="4"/>
  <c r="G1918" i="4"/>
  <c r="G1000" i="4"/>
  <c r="G1101" i="4"/>
  <c r="G594" i="4"/>
  <c r="G116" i="4"/>
  <c r="G1804" i="4"/>
  <c r="G1491" i="4"/>
  <c r="G1919" i="4"/>
  <c r="G1188" i="4"/>
  <c r="G1102" i="4"/>
  <c r="G880" i="4"/>
  <c r="G20" i="4"/>
  <c r="G1805" i="4"/>
  <c r="G207" i="4"/>
  <c r="G881" i="4"/>
  <c r="G1690" i="4"/>
  <c r="G1806" i="4"/>
  <c r="G1492" i="4"/>
  <c r="G1493" i="4"/>
  <c r="G1189" i="4"/>
  <c r="G1807" i="4"/>
  <c r="G1808" i="4"/>
  <c r="G1103" i="4"/>
  <c r="G595" i="4"/>
  <c r="G596" i="4"/>
  <c r="G597" i="4"/>
  <c r="G1397" i="4"/>
  <c r="G783" i="4"/>
  <c r="G1494" i="4"/>
  <c r="G21" i="4"/>
  <c r="G784" i="4"/>
  <c r="G1104" i="4"/>
  <c r="G1290" i="4"/>
  <c r="G1398" i="4"/>
  <c r="G1920" i="4"/>
  <c r="G490" i="4"/>
  <c r="G1921" i="4"/>
  <c r="G1291" i="4"/>
  <c r="G22" i="4"/>
  <c r="G208" i="4"/>
  <c r="G1399" i="4"/>
  <c r="G1400" i="4"/>
  <c r="G1691" i="4"/>
  <c r="G1292" i="4"/>
  <c r="G491" i="4"/>
  <c r="G1001" i="4"/>
  <c r="G785" i="4"/>
  <c r="G882" i="4"/>
  <c r="G883" i="4"/>
  <c r="G209" i="4"/>
  <c r="G117" i="4"/>
  <c r="G1190" i="4"/>
  <c r="G23" i="4"/>
  <c r="G118" i="4"/>
  <c r="G297" i="4"/>
  <c r="G492" i="4"/>
  <c r="G1401" i="4"/>
  <c r="G884" i="4"/>
  <c r="G1922" i="4"/>
  <c r="G1587" i="4"/>
  <c r="G1402" i="4"/>
  <c r="G1002" i="4"/>
  <c r="G1403" i="4"/>
  <c r="G1404" i="4"/>
  <c r="G598" i="4"/>
  <c r="G1105" i="4"/>
  <c r="G1923" i="4"/>
  <c r="G1191" i="4"/>
  <c r="G786" i="4"/>
  <c r="G1106" i="4"/>
  <c r="G1692" i="4"/>
  <c r="G1809" i="4"/>
  <c r="G1405" i="4"/>
  <c r="G1293" i="4"/>
  <c r="G1588" i="4"/>
  <c r="G1924" i="4"/>
  <c r="G1925" i="4"/>
  <c r="G1693" i="4"/>
  <c r="G24" i="4"/>
  <c r="G1192" i="4"/>
  <c r="G493" i="4"/>
  <c r="G494" i="4"/>
  <c r="G1294" i="4"/>
  <c r="G1926" i="4"/>
  <c r="G1810" i="4"/>
  <c r="G1927" i="4"/>
  <c r="G787" i="4"/>
  <c r="G1811" i="4"/>
  <c r="G119" i="4"/>
  <c r="G693" i="4"/>
  <c r="G298" i="4"/>
  <c r="G1295" i="4"/>
  <c r="G1406" i="4"/>
  <c r="G1694" i="4"/>
  <c r="G788" i="4"/>
  <c r="G1928" i="4"/>
  <c r="G789" i="4"/>
  <c r="G1812" i="4"/>
  <c r="G1495" i="4"/>
  <c r="G1589" i="4"/>
  <c r="G120" i="4"/>
  <c r="G1193" i="4"/>
  <c r="G1590" i="4"/>
  <c r="G885" i="4"/>
  <c r="G299" i="4"/>
  <c r="G1194" i="4"/>
  <c r="G210" i="4"/>
  <c r="G1407" i="4"/>
  <c r="G886" i="4"/>
  <c r="G211" i="4"/>
  <c r="G300" i="4"/>
  <c r="G1003" i="4"/>
  <c r="G1107" i="4"/>
  <c r="G1929" i="4"/>
  <c r="G1496" i="4"/>
  <c r="G1296" i="4"/>
  <c r="G694" i="4"/>
  <c r="G599" i="4"/>
  <c r="G1813" i="4"/>
  <c r="G212" i="4"/>
  <c r="G887" i="4"/>
  <c r="G213" i="4"/>
  <c r="G1004" i="4"/>
  <c r="G1195" i="4"/>
  <c r="G1814" i="4"/>
  <c r="G1108" i="4"/>
  <c r="G214" i="4"/>
  <c r="G790" i="4"/>
  <c r="G1408" i="4"/>
  <c r="G695" i="4"/>
  <c r="G1005" i="4"/>
  <c r="G121" i="4"/>
  <c r="G396" i="4"/>
  <c r="G122" i="4"/>
  <c r="G1297" i="4"/>
  <c r="G888" i="4"/>
  <c r="G1930" i="4"/>
  <c r="G397" i="4"/>
  <c r="G1409" i="4"/>
  <c r="G696" i="4"/>
  <c r="G1410" i="4"/>
  <c r="G1006" i="4"/>
  <c r="G1591" i="4"/>
  <c r="G889" i="4"/>
  <c r="G890" i="4"/>
  <c r="G1298" i="4"/>
  <c r="G697" i="4"/>
  <c r="G1109" i="4"/>
  <c r="G1411" i="4"/>
  <c r="G600" i="4"/>
  <c r="G1110" i="4"/>
  <c r="G495" i="4"/>
  <c r="G1931" i="4"/>
  <c r="G891" i="4"/>
  <c r="G123" i="4"/>
  <c r="G215" i="4"/>
  <c r="G1497" i="4"/>
  <c r="G698" i="4"/>
  <c r="G1111" i="4"/>
  <c r="G1592" i="4"/>
  <c r="G301" i="4"/>
  <c r="G496" i="4"/>
  <c r="G25" i="4"/>
  <c r="G1932" i="4"/>
  <c r="G302" i="4"/>
  <c r="G1933" i="4"/>
  <c r="G1593" i="4"/>
  <c r="G1815" i="4"/>
  <c r="G1816" i="4"/>
  <c r="G303" i="4"/>
  <c r="G699" i="4"/>
  <c r="G1412" i="4"/>
  <c r="G892" i="4"/>
  <c r="G1413" i="4"/>
  <c r="G1934" i="4"/>
  <c r="G1695" i="4"/>
  <c r="G1696" i="4"/>
  <c r="G791" i="4"/>
  <c r="G1299" i="4"/>
  <c r="G1594" i="4"/>
  <c r="G1498" i="4"/>
  <c r="G304" i="4"/>
  <c r="G792" i="4"/>
  <c r="G124" i="4"/>
  <c r="G398" i="4"/>
  <c r="G700" i="4"/>
  <c r="G26" i="4"/>
  <c r="G793" i="4"/>
  <c r="G1414" i="4"/>
  <c r="G893" i="4"/>
  <c r="G27" i="4"/>
  <c r="G794" i="4"/>
  <c r="G795" i="4"/>
  <c r="G1007" i="4"/>
  <c r="G1935" i="4"/>
  <c r="G1697" i="4"/>
  <c r="G1008" i="4"/>
  <c r="G1595" i="4"/>
  <c r="G701" i="4"/>
  <c r="G399" i="4"/>
  <c r="G894" i="4"/>
  <c r="G125" i="4"/>
  <c r="G1499" i="4"/>
  <c r="G1415" i="4"/>
  <c r="G1817" i="4"/>
  <c r="G1009" i="4"/>
  <c r="G28" i="4"/>
  <c r="G1196" i="4"/>
  <c r="G1698" i="4"/>
  <c r="G1596" i="4"/>
  <c r="G497" i="4"/>
  <c r="G400" i="4"/>
  <c r="G401" i="4"/>
  <c r="G1818" i="4"/>
  <c r="G1416" i="4"/>
  <c r="G29" i="4"/>
  <c r="G1819" i="4"/>
  <c r="G1417" i="4"/>
  <c r="G1936" i="4"/>
  <c r="G1820" i="4"/>
  <c r="G498" i="4"/>
  <c r="G305" i="4"/>
  <c r="G895" i="4"/>
  <c r="G1699" i="4"/>
  <c r="G1597" i="4"/>
  <c r="G601" i="4"/>
  <c r="G1937" i="4"/>
  <c r="G1821" i="4"/>
  <c r="G1112" i="4"/>
  <c r="G1700" i="4"/>
  <c r="G30" i="4"/>
  <c r="G1300" i="4"/>
  <c r="G796" i="4"/>
  <c r="G1701" i="4"/>
  <c r="G1113" i="4"/>
  <c r="G402" i="4"/>
  <c r="G306" i="4"/>
  <c r="G1702" i="4"/>
  <c r="G1010" i="4"/>
  <c r="G1703" i="4"/>
  <c r="G1598" i="4"/>
  <c r="G126" i="4"/>
  <c r="G702" i="4"/>
  <c r="G499" i="4"/>
  <c r="G1822" i="4"/>
  <c r="G216" i="4"/>
  <c r="G1114" i="4"/>
  <c r="G1823" i="4"/>
  <c r="G31" i="4"/>
  <c r="G1704" i="4"/>
  <c r="G32" i="4"/>
  <c r="G797" i="4"/>
  <c r="G403" i="4"/>
  <c r="G307" i="4"/>
  <c r="G1705" i="4"/>
  <c r="G798" i="4"/>
  <c r="G500" i="4"/>
  <c r="G703" i="4"/>
  <c r="G1938" i="4"/>
  <c r="G602" i="4"/>
  <c r="G1939" i="4"/>
  <c r="G603" i="4"/>
  <c r="G308" i="4"/>
  <c r="G1197" i="4"/>
  <c r="G704" i="4"/>
  <c r="G1824" i="4"/>
  <c r="G1706" i="4"/>
  <c r="G896" i="4"/>
  <c r="G33" i="4"/>
  <c r="G404" i="4"/>
  <c r="G1599" i="4"/>
  <c r="G1940" i="4"/>
  <c r="G604" i="4"/>
  <c r="G1707" i="4"/>
  <c r="G1600" i="4"/>
  <c r="G1301" i="4"/>
  <c r="G1115" i="4"/>
  <c r="G405" i="4"/>
  <c r="G897" i="4"/>
  <c r="G705" i="4"/>
  <c r="G898" i="4"/>
  <c r="G1500" i="4"/>
  <c r="G605" i="4"/>
  <c r="G406" i="4"/>
  <c r="G1941" i="4"/>
  <c r="G1011" i="4"/>
  <c r="G34" i="4"/>
  <c r="G606" i="4"/>
  <c r="G407" i="4"/>
  <c r="G501" i="4"/>
  <c r="G127" i="4"/>
  <c r="G1418" i="4"/>
  <c r="G309" i="4"/>
  <c r="G1708" i="4"/>
  <c r="G607" i="4"/>
  <c r="G1825" i="4"/>
  <c r="G899" i="4"/>
  <c r="G706" i="4"/>
  <c r="G408" i="4"/>
  <c r="G1826" i="4"/>
  <c r="G1942" i="4"/>
  <c r="G1827" i="4"/>
  <c r="G1012" i="4"/>
  <c r="G502" i="4"/>
  <c r="G128" i="4"/>
  <c r="G1501" i="4"/>
  <c r="G1709" i="4"/>
  <c r="G1302" i="4"/>
  <c r="G707" i="4"/>
  <c r="G1419" i="4"/>
  <c r="G1420" i="4"/>
  <c r="G310" i="4"/>
  <c r="G35" i="4"/>
  <c r="G311" i="4"/>
  <c r="G409" i="4"/>
  <c r="G1198" i="4"/>
  <c r="G1199" i="4"/>
  <c r="G1200" i="4"/>
  <c r="G1116" i="4"/>
  <c r="G1013" i="4"/>
  <c r="G900" i="4"/>
  <c r="G1014" i="4"/>
  <c r="G1303" i="4"/>
  <c r="G1828" i="4"/>
  <c r="G901" i="4"/>
  <c r="G1304" i="4"/>
  <c r="G1305" i="4"/>
  <c r="G1710" i="4"/>
  <c r="G312" i="4"/>
  <c r="G1943" i="4"/>
  <c r="G410" i="4"/>
  <c r="G503" i="4"/>
  <c r="G1711" i="4"/>
  <c r="G129" i="4"/>
  <c r="G1944" i="4"/>
  <c r="G130" i="4"/>
  <c r="G1015" i="4"/>
  <c r="G708" i="4"/>
  <c r="G1016" i="4"/>
  <c r="G217" i="4"/>
  <c r="G36" i="4"/>
  <c r="G1421" i="4"/>
  <c r="G1601" i="4"/>
  <c r="G1017" i="4"/>
  <c r="G608" i="4"/>
  <c r="G902" i="4"/>
  <c r="G1829" i="4"/>
  <c r="G1502" i="4"/>
  <c r="G1201" i="4"/>
  <c r="G313" i="4"/>
  <c r="G1202" i="4"/>
  <c r="G903" i="4"/>
  <c r="G411" i="4"/>
  <c r="G1945" i="4"/>
  <c r="G1306" i="4"/>
  <c r="G904" i="4"/>
  <c r="G1117" i="4"/>
  <c r="G1830" i="4"/>
  <c r="G1118" i="4"/>
  <c r="G609" i="4"/>
  <c r="G314" i="4"/>
  <c r="G1018" i="4"/>
  <c r="G1831" i="4"/>
  <c r="G1503" i="4"/>
  <c r="G504" i="4"/>
  <c r="G1307" i="4"/>
  <c r="G1946" i="4"/>
  <c r="G412" i="4"/>
  <c r="G905" i="4"/>
  <c r="G505" i="4"/>
  <c r="G1832" i="4"/>
  <c r="G1712" i="4"/>
  <c r="G1947" i="4"/>
  <c r="G37" i="4"/>
  <c r="G413" i="4"/>
  <c r="G610" i="4"/>
  <c r="G1833" i="4"/>
  <c r="G1308" i="4"/>
  <c r="G1713" i="4"/>
  <c r="G1834" i="4"/>
  <c r="G1119" i="4"/>
  <c r="G1203" i="4"/>
  <c r="G315" i="4"/>
  <c r="G38" i="4"/>
  <c r="G799" i="4"/>
  <c r="G1602" i="4"/>
  <c r="G316" i="4"/>
  <c r="G1019" i="4"/>
  <c r="G1422" i="4"/>
  <c r="G906" i="4"/>
  <c r="G39" i="4"/>
  <c r="G1423" i="4"/>
  <c r="G1309" i="4"/>
  <c r="G1424" i="4"/>
  <c r="G1835" i="4"/>
  <c r="G1603" i="4"/>
  <c r="G1948" i="4"/>
  <c r="G1204" i="4"/>
  <c r="G1504" i="4"/>
  <c r="G414" i="4"/>
  <c r="G1120" i="4"/>
  <c r="G1949" i="4"/>
  <c r="G1020" i="4"/>
  <c r="G1836" i="4"/>
  <c r="G317" i="4"/>
  <c r="G1021" i="4"/>
  <c r="G1714" i="4"/>
  <c r="G1425" i="4"/>
  <c r="G1505" i="4"/>
  <c r="G1022" i="4"/>
  <c r="G709" i="4"/>
  <c r="G131" i="4"/>
  <c r="G1837" i="4"/>
  <c r="G1121" i="4"/>
  <c r="G1838" i="4"/>
  <c r="G1310" i="4"/>
  <c r="G318" i="4"/>
  <c r="G1604" i="4"/>
  <c r="G907" i="4"/>
  <c r="G800" i="4"/>
  <c r="G1426" i="4"/>
  <c r="G1950" i="4"/>
  <c r="G1023" i="4"/>
  <c r="G1311" i="4"/>
  <c r="G132" i="4"/>
  <c r="G1205" i="4"/>
  <c r="G1839" i="4"/>
  <c r="G1024" i="4"/>
  <c r="G319" i="4"/>
  <c r="G40" i="4"/>
  <c r="G710" i="4"/>
  <c r="G41" i="4"/>
  <c r="G1951" i="4"/>
  <c r="G1840" i="4"/>
  <c r="G1506" i="4"/>
  <c r="G133" i="4"/>
  <c r="G611" i="4"/>
  <c r="G320" i="4"/>
  <c r="G42" i="4"/>
  <c r="G1427" i="4"/>
  <c r="G801" i="4"/>
  <c r="G218" i="4"/>
  <c r="G711" i="4"/>
  <c r="G908" i="4"/>
  <c r="G43" i="4"/>
  <c r="G1312" i="4"/>
  <c r="G1313" i="4"/>
  <c r="G1428" i="4"/>
  <c r="G1314" i="4"/>
  <c r="G134" i="4"/>
  <c r="G712" i="4"/>
  <c r="G1206" i="4"/>
  <c r="G1025" i="4"/>
  <c r="G1207" i="4"/>
  <c r="G1841" i="4"/>
  <c r="G1605" i="4"/>
  <c r="G909" i="4"/>
  <c r="G219" i="4"/>
  <c r="G506" i="4"/>
  <c r="G1208" i="4"/>
  <c r="G1952" i="4"/>
  <c r="G321" i="4"/>
  <c r="G1429" i="4"/>
  <c r="G1715" i="4"/>
  <c r="G1953" i="4"/>
  <c r="G910" i="4"/>
  <c r="G1842" i="4"/>
  <c r="G911" i="4"/>
  <c r="G507" i="4"/>
  <c r="G135" i="4"/>
  <c r="G612" i="4"/>
  <c r="G802" i="4"/>
  <c r="G912" i="4"/>
  <c r="G322" i="4"/>
  <c r="G1122" i="4"/>
  <c r="G415" i="4"/>
  <c r="G44" i="4"/>
  <c r="G45" i="4"/>
  <c r="G1315" i="4"/>
  <c r="G1209" i="4"/>
  <c r="G1716" i="4"/>
  <c r="G1210" i="4"/>
  <c r="G613" i="4"/>
  <c r="G803" i="4"/>
  <c r="G1211" i="4"/>
  <c r="G1026" i="4"/>
  <c r="G508" i="4"/>
  <c r="G509" i="4"/>
  <c r="G220" i="4"/>
  <c r="G510" i="4"/>
  <c r="G416" i="4"/>
  <c r="G614" i="4"/>
  <c r="G804" i="4"/>
  <c r="G713" i="4"/>
  <c r="G1717" i="4"/>
  <c r="G323" i="4"/>
  <c r="G1718" i="4"/>
  <c r="G1954" i="4"/>
  <c r="G1955" i="4"/>
  <c r="G1212" i="4"/>
  <c r="G913" i="4"/>
  <c r="G1606" i="4"/>
  <c r="G1213" i="4"/>
  <c r="G1507" i="4"/>
  <c r="G1123" i="4"/>
  <c r="G1508" i="4"/>
  <c r="G1843" i="4"/>
  <c r="G1719" i="4"/>
  <c r="G1720" i="4"/>
  <c r="G914" i="4"/>
  <c r="G324" i="4"/>
  <c r="G325" i="4"/>
  <c r="G136" i="4"/>
  <c r="G1844" i="4"/>
  <c r="G511" i="4"/>
  <c r="G512" i="4"/>
  <c r="G46" i="4"/>
  <c r="G221" i="4"/>
  <c r="G915" i="4"/>
  <c r="G326" i="4"/>
  <c r="G1214" i="4"/>
  <c r="G714" i="4"/>
  <c r="G615" i="4"/>
  <c r="G1124" i="4"/>
  <c r="G1956" i="4"/>
  <c r="G1215" i="4"/>
  <c r="G1721" i="4"/>
  <c r="G417" i="4"/>
  <c r="G222" i="4"/>
  <c r="G1509" i="4"/>
  <c r="G1430" i="4"/>
  <c r="G1431" i="4"/>
  <c r="G223" i="4"/>
  <c r="G1510" i="4"/>
  <c r="G805" i="4"/>
  <c r="G47" i="4"/>
  <c r="G1845" i="4"/>
  <c r="G1957" i="4"/>
  <c r="G1511" i="4"/>
  <c r="G1316" i="4"/>
  <c r="G1512" i="4"/>
  <c r="G1432" i="4"/>
  <c r="G1433" i="4"/>
  <c r="G1216" i="4"/>
  <c r="G1217" i="4"/>
  <c r="G137" i="4"/>
  <c r="G1434" i="4"/>
  <c r="G916" i="4"/>
  <c r="G1125" i="4"/>
  <c r="G224" i="4"/>
  <c r="G48" i="4"/>
  <c r="G1218" i="4"/>
  <c r="G1722" i="4"/>
  <c r="G1513" i="4"/>
  <c r="G1317" i="4"/>
  <c r="G1318" i="4"/>
  <c r="G418" i="4"/>
  <c r="G1607" i="4"/>
  <c r="G616" i="4"/>
  <c r="G1608" i="4"/>
  <c r="G419" i="4"/>
  <c r="G806" i="4"/>
  <c r="G1846" i="4"/>
  <c r="G1609" i="4"/>
  <c r="G420" i="4"/>
  <c r="G1610" i="4"/>
  <c r="G1027" i="4"/>
  <c r="G617" i="4"/>
  <c r="G807" i="4"/>
  <c r="G225" i="4"/>
  <c r="G1723" i="4"/>
  <c r="G327" i="4"/>
  <c r="G328" i="4"/>
  <c r="G1126" i="4"/>
  <c r="G1028" i="4"/>
  <c r="G1514" i="4"/>
  <c r="G1958" i="4"/>
  <c r="G1611" i="4"/>
  <c r="G1724" i="4"/>
  <c r="G1847" i="4"/>
  <c r="G1959" i="4"/>
  <c r="G1319" i="4"/>
  <c r="G226" i="4"/>
  <c r="G513" i="4"/>
  <c r="G227" i="4"/>
  <c r="G1515" i="4"/>
  <c r="G1029" i="4"/>
  <c r="G1725" i="4"/>
  <c r="G1516" i="4"/>
  <c r="G1726" i="4"/>
  <c r="G1435" i="4"/>
  <c r="G138" i="4"/>
  <c r="G1127" i="4"/>
  <c r="G329" i="4"/>
  <c r="G1612" i="4"/>
  <c r="G1848" i="4"/>
  <c r="G1849" i="4"/>
  <c r="G228" i="4"/>
  <c r="G1219" i="4"/>
  <c r="G229" i="4"/>
  <c r="G421" i="4"/>
  <c r="G1517" i="4"/>
  <c r="G1518" i="4"/>
  <c r="G139" i="4"/>
  <c r="G917" i="4"/>
  <c r="G1960" i="4"/>
  <c r="G1436" i="4"/>
  <c r="G422" i="4"/>
  <c r="G1613" i="4"/>
  <c r="G1519" i="4"/>
  <c r="G808" i="4"/>
  <c r="G918" i="4"/>
  <c r="G1320" i="4"/>
  <c r="G230" i="4"/>
  <c r="G423" i="4"/>
  <c r="G1321" i="4"/>
  <c r="G231" i="4"/>
  <c r="G49" i="4"/>
  <c r="G618" i="4"/>
  <c r="G1850" i="4"/>
  <c r="G1030" i="4"/>
  <c r="G715" i="4"/>
  <c r="G1322" i="4"/>
  <c r="G1031" i="4"/>
  <c r="G716" i="4"/>
  <c r="G140" i="4"/>
  <c r="G1323" i="4"/>
  <c r="G424" i="4"/>
  <c r="G330" i="4"/>
  <c r="G1520" i="4"/>
  <c r="G1032" i="4"/>
  <c r="G50" i="4"/>
  <c r="G809" i="4"/>
  <c r="G1727" i="4"/>
  <c r="G141" i="4"/>
  <c r="G514" i="4"/>
  <c r="G1614" i="4"/>
  <c r="G1615" i="4"/>
  <c r="G810" i="4"/>
  <c r="G1728" i="4"/>
  <c r="G425" i="4"/>
  <c r="G1128" i="4"/>
  <c r="G1729" i="4"/>
  <c r="G811" i="4"/>
  <c r="G1851" i="4"/>
  <c r="G1129" i="4"/>
  <c r="G1437" i="4"/>
  <c r="G515" i="4"/>
  <c r="G919" i="4"/>
  <c r="G142" i="4"/>
  <c r="G1961" i="4"/>
  <c r="G812" i="4"/>
  <c r="G1730" i="4"/>
  <c r="G1033" i="4"/>
  <c r="G1034" i="4"/>
  <c r="G1324" i="4"/>
  <c r="G1035" i="4"/>
  <c r="G51" i="4"/>
  <c r="G1325" i="4"/>
  <c r="G1962" i="4"/>
  <c r="G813" i="4"/>
  <c r="G619" i="4"/>
  <c r="G52" i="4"/>
  <c r="G1130" i="4"/>
  <c r="G1731" i="4"/>
  <c r="G426" i="4"/>
  <c r="G1326" i="4"/>
  <c r="G1327" i="4"/>
  <c r="G232" i="4"/>
  <c r="G1131" i="4"/>
  <c r="G1220" i="4"/>
  <c r="G1963" i="4"/>
  <c r="G1852" i="4"/>
  <c r="G516" i="4"/>
  <c r="G517" i="4"/>
  <c r="G1964" i="4"/>
  <c r="G1521" i="4"/>
  <c r="G1438" i="4"/>
  <c r="G518" i="4"/>
  <c r="G1328" i="4"/>
  <c r="G1132" i="4"/>
  <c r="G814" i="4"/>
  <c r="G920" i="4"/>
  <c r="G1732" i="4"/>
  <c r="G427" i="4"/>
  <c r="G921" i="4"/>
  <c r="G233" i="4"/>
  <c r="G922" i="4"/>
  <c r="G815" i="4"/>
  <c r="G1329" i="4"/>
  <c r="G923" i="4"/>
  <c r="G1853" i="4"/>
  <c r="G234" i="4"/>
  <c r="G1330" i="4"/>
  <c r="G1036" i="4"/>
  <c r="G235" i="4"/>
  <c r="G1733" i="4"/>
  <c r="G53" i="4"/>
  <c r="G1616" i="4"/>
  <c r="G331" i="4"/>
  <c r="G428" i="4"/>
  <c r="G1617" i="4"/>
  <c r="G332" i="4"/>
  <c r="G1854" i="4"/>
  <c r="G1221" i="4"/>
  <c r="G333" i="4"/>
  <c r="G1037" i="4"/>
  <c r="G620" i="4"/>
  <c r="G1222" i="4"/>
  <c r="G621" i="4"/>
  <c r="G1734" i="4"/>
  <c r="G1331" i="4"/>
  <c r="G334" i="4"/>
  <c r="G622" i="4"/>
  <c r="G924" i="4"/>
  <c r="G1522" i="4"/>
  <c r="G717" i="4"/>
  <c r="G335" i="4"/>
  <c r="G1618" i="4"/>
  <c r="G1038" i="4"/>
  <c r="G1965" i="4"/>
  <c r="G1133" i="4"/>
  <c r="G718" i="4"/>
  <c r="G1735" i="4"/>
  <c r="G1855" i="4"/>
  <c r="G1523" i="4"/>
  <c r="G519" i="4"/>
  <c r="G1856" i="4"/>
  <c r="G816" i="4"/>
  <c r="G1966" i="4"/>
  <c r="G1332" i="4"/>
  <c r="G1736" i="4"/>
  <c r="G1039" i="4"/>
  <c r="G1223" i="4"/>
  <c r="G54" i="4"/>
  <c r="G236" i="4"/>
  <c r="G925" i="4"/>
  <c r="G237" i="4"/>
  <c r="G817" i="4"/>
  <c r="G1040" i="4"/>
  <c r="G143" i="4"/>
  <c r="G429" i="4"/>
  <c r="G1967" i="4"/>
  <c r="G1524" i="4"/>
  <c r="G336" i="4"/>
  <c r="G430" i="4"/>
  <c r="G623" i="4"/>
  <c r="G238" i="4"/>
  <c r="G337" i="4"/>
  <c r="G818" i="4"/>
  <c r="G520" i="4"/>
  <c r="G1439" i="4"/>
  <c r="G338" i="4"/>
  <c r="G719" i="4"/>
  <c r="G521" i="4"/>
  <c r="G239" i="4"/>
  <c r="G1440" i="4"/>
  <c r="G926" i="4"/>
  <c r="G1041" i="4"/>
  <c r="G522" i="4"/>
  <c r="G431" i="4"/>
  <c r="G1525" i="4"/>
  <c r="G1857" i="4"/>
  <c r="G720" i="4"/>
  <c r="G339" i="4"/>
  <c r="G1619" i="4"/>
  <c r="G819" i="4"/>
  <c r="G1333" i="4"/>
  <c r="G1526" i="4"/>
  <c r="G1527" i="4"/>
  <c r="G1620" i="4"/>
  <c r="G1621" i="4"/>
  <c r="G240" i="4"/>
  <c r="G927" i="4"/>
  <c r="G1737" i="4"/>
  <c r="G1441" i="4"/>
  <c r="G820" i="4"/>
  <c r="G721" i="4"/>
  <c r="G55" i="4"/>
  <c r="G523" i="4"/>
  <c r="G432" i="4"/>
  <c r="G340" i="4"/>
  <c r="G341" i="4"/>
  <c r="G1528" i="4"/>
  <c r="G144" i="4"/>
  <c r="G1738" i="4"/>
  <c r="G1858" i="4"/>
  <c r="G56" i="4"/>
  <c r="G624" i="4"/>
  <c r="G722" i="4"/>
  <c r="G625" i="4"/>
  <c r="G145" i="4"/>
  <c r="G1224" i="4"/>
  <c r="G1442" i="4"/>
  <c r="G524" i="4"/>
  <c r="G1443" i="4"/>
  <c r="G626" i="4"/>
  <c r="G525" i="4"/>
  <c r="G1225" i="4"/>
  <c r="G821" i="4"/>
  <c r="G627" i="4"/>
  <c r="G723" i="4"/>
  <c r="G822" i="4"/>
  <c r="G823" i="4"/>
  <c r="G1968" i="4"/>
  <c r="G1739" i="4"/>
  <c r="G342" i="4"/>
  <c r="G1529" i="4"/>
  <c r="G1134" i="4"/>
  <c r="G1334" i="4"/>
  <c r="G928" i="4"/>
  <c r="G57" i="4"/>
  <c r="G1335" i="4"/>
  <c r="G526" i="4"/>
  <c r="G1622" i="4"/>
  <c r="G241" i="4"/>
  <c r="G1336" i="4"/>
  <c r="G433" i="4"/>
  <c r="G343" i="4"/>
  <c r="G1226" i="4"/>
  <c r="G527" i="4"/>
  <c r="G824" i="4"/>
  <c r="G724" i="4"/>
  <c r="G1042" i="4"/>
  <c r="G344" i="4"/>
  <c r="G1227" i="4"/>
  <c r="G1135" i="4"/>
  <c r="G58" i="4"/>
  <c r="G1228" i="4"/>
  <c r="G1229" i="4"/>
  <c r="G59" i="4"/>
  <c r="G1740" i="4"/>
  <c r="G1230" i="4"/>
  <c r="G1231" i="4"/>
  <c r="G1530" i="4"/>
  <c r="G60" i="4"/>
  <c r="G628" i="4"/>
  <c r="G725" i="4"/>
  <c r="G1444" i="4"/>
  <c r="G1337" i="4"/>
  <c r="G629" i="4"/>
  <c r="G1623" i="4"/>
  <c r="G825" i="4"/>
  <c r="G242" i="4"/>
  <c r="G146" i="4"/>
  <c r="G1741" i="4"/>
  <c r="G1136" i="4"/>
  <c r="G1445" i="4"/>
  <c r="G630" i="4"/>
  <c r="G434" i="4"/>
  <c r="G1742" i="4"/>
  <c r="G345" i="4"/>
  <c r="G929" i="4"/>
  <c r="G1137" i="4"/>
  <c r="G726" i="4"/>
  <c r="G1338" i="4"/>
  <c r="G1339" i="4"/>
  <c r="G1340" i="4"/>
  <c r="G1859" i="4"/>
  <c r="G1138" i="4"/>
  <c r="G1531" i="4"/>
  <c r="G1043" i="4"/>
  <c r="G1044" i="4"/>
  <c r="G1860" i="4"/>
  <c r="G147" i="4"/>
  <c r="G1624" i="4"/>
  <c r="G61" i="4"/>
  <c r="G1969" i="4"/>
  <c r="G435" i="4"/>
  <c r="G346" i="4"/>
  <c r="G1861" i="4"/>
  <c r="G826" i="4"/>
  <c r="G1970" i="4"/>
  <c r="G1532" i="4"/>
  <c r="G1341" i="4"/>
  <c r="G436" i="4"/>
  <c r="G1342" i="4"/>
  <c r="G1232" i="4"/>
  <c r="G148" i="4"/>
  <c r="G930" i="4"/>
  <c r="G62" i="4"/>
  <c r="G727" i="4"/>
  <c r="G347" i="4"/>
  <c r="G1971" i="4"/>
  <c r="G348" i="4"/>
  <c r="G1625" i="4"/>
  <c r="G1139" i="4"/>
  <c r="G1045" i="4"/>
  <c r="G63" i="4"/>
  <c r="G1626" i="4"/>
  <c r="G1862" i="4"/>
  <c r="G243" i="4"/>
  <c r="G1533" i="4"/>
  <c r="G1140" i="4"/>
  <c r="G1446" i="4"/>
  <c r="G528" i="4"/>
  <c r="G529" i="4"/>
  <c r="G931" i="4"/>
  <c r="G1863" i="4"/>
  <c r="G1046" i="4"/>
  <c r="G244" i="4"/>
  <c r="G1864" i="4"/>
  <c r="G149" i="4"/>
  <c r="G1343" i="4"/>
  <c r="G530" i="4"/>
  <c r="G932" i="4"/>
  <c r="G1865" i="4"/>
  <c r="G349" i="4"/>
  <c r="G827" i="4"/>
  <c r="G1233" i="4"/>
  <c r="G245" i="4"/>
  <c r="G531" i="4"/>
  <c r="G631" i="4"/>
  <c r="G1972" i="4"/>
  <c r="G1141" i="4"/>
  <c r="G532" i="4"/>
  <c r="G1534" i="4"/>
  <c r="G632" i="4"/>
  <c r="G1447" i="4"/>
  <c r="G1234" i="4"/>
  <c r="G1142" i="4"/>
  <c r="G933" i="4"/>
  <c r="G633" i="4"/>
  <c r="G828" i="4"/>
  <c r="G1743" i="4"/>
  <c r="G1535" i="4"/>
  <c r="G634" i="4"/>
  <c r="G350" i="4"/>
  <c r="G635" i="4"/>
  <c r="G1143" i="4"/>
  <c r="G437" i="4"/>
  <c r="G64" i="4"/>
  <c r="G1144" i="4"/>
  <c r="G1866" i="4"/>
  <c r="G1235" i="4"/>
  <c r="G1867" i="4"/>
  <c r="G829" i="4"/>
  <c r="G351" i="4"/>
  <c r="G246" i="4"/>
  <c r="G1627" i="4"/>
  <c r="G1868" i="4"/>
  <c r="G1047" i="4"/>
  <c r="G1448" i="4"/>
  <c r="G1449" i="4"/>
  <c r="G934" i="4"/>
  <c r="G830" i="4"/>
  <c r="G935" i="4"/>
  <c r="G728" i="4"/>
  <c r="G1628" i="4"/>
  <c r="G247" i="4"/>
  <c r="G729" i="4"/>
  <c r="G1629" i="4"/>
  <c r="G1744" i="4"/>
  <c r="G1048" i="4"/>
  <c r="G636" i="4"/>
  <c r="G1745" i="4"/>
  <c r="G1630" i="4"/>
  <c r="G65" i="4"/>
  <c r="G637" i="4"/>
  <c r="G1973" i="4"/>
  <c r="G1450" i="4"/>
  <c r="G831" i="4"/>
  <c r="G1869" i="4"/>
  <c r="G1870" i="4"/>
  <c r="G1451" i="4"/>
  <c r="G936" i="4"/>
  <c r="G1452" i="4"/>
  <c r="G638" i="4"/>
  <c r="G438" i="4"/>
  <c r="G1049" i="4"/>
  <c r="G832" i="4"/>
  <c r="G730" i="4"/>
  <c r="G66" i="4"/>
  <c r="G639" i="4"/>
  <c r="G1050" i="4"/>
  <c r="G1236" i="4"/>
  <c r="G1536" i="4"/>
  <c r="G1746" i="4"/>
  <c r="G833" i="4"/>
  <c r="G150" i="4"/>
  <c r="G248" i="4"/>
  <c r="G439" i="4"/>
  <c r="G1051" i="4"/>
  <c r="G1052" i="4"/>
  <c r="G1974" i="4"/>
  <c r="G1344" i="4"/>
  <c r="G533" i="4"/>
  <c r="G1975" i="4"/>
  <c r="G640" i="4"/>
  <c r="G1976" i="4"/>
  <c r="G937" i="4"/>
  <c r="G151" i="4"/>
  <c r="G731" i="4"/>
  <c r="G1631" i="4"/>
  <c r="G1053" i="4"/>
  <c r="G938" i="4"/>
  <c r="G1871" i="4"/>
  <c r="G641" i="4"/>
  <c r="G152" i="4"/>
  <c r="G939" i="4"/>
  <c r="G1977" i="4"/>
  <c r="G67" i="4"/>
  <c r="G1237" i="4"/>
  <c r="G153" i="4"/>
  <c r="G1453" i="4"/>
  <c r="G1238" i="4"/>
  <c r="G1872" i="4"/>
  <c r="G352" i="4"/>
  <c r="G534" i="4"/>
  <c r="G249" i="4"/>
  <c r="G1747" i="4"/>
  <c r="G1748" i="4"/>
  <c r="G1145" i="4"/>
  <c r="G68" i="4"/>
  <c r="G940" i="4"/>
  <c r="G1454" i="4"/>
  <c r="G353" i="4"/>
  <c r="G535" i="4"/>
  <c r="G536" i="4"/>
  <c r="G1978" i="4"/>
  <c r="G154" i="4"/>
  <c r="G537" i="4"/>
  <c r="G250" i="4"/>
  <c r="G1455" i="4"/>
  <c r="G69" i="4"/>
  <c r="G1537" i="4"/>
  <c r="G642" i="4"/>
  <c r="G1146" i="4"/>
  <c r="G354" i="4"/>
  <c r="G1345" i="4"/>
  <c r="G1632" i="4"/>
  <c r="G1749" i="4"/>
  <c r="G538" i="4"/>
  <c r="G1239" i="4"/>
  <c r="G1633" i="4"/>
  <c r="G70" i="4"/>
  <c r="G1147" i="4"/>
  <c r="G539" i="4"/>
  <c r="G251" i="4"/>
  <c r="G1148" i="4"/>
  <c r="G1456" i="4"/>
  <c r="G732" i="4"/>
  <c r="G355" i="4"/>
  <c r="G1346" i="4"/>
  <c r="G1457" i="4"/>
  <c r="G252" i="4"/>
  <c r="G155" i="4"/>
  <c r="G1538" i="4"/>
  <c r="G1979" i="4"/>
  <c r="G1054" i="4"/>
  <c r="G1873" i="4"/>
  <c r="G71" i="4"/>
  <c r="G440" i="4"/>
  <c r="G643" i="4"/>
  <c r="G1055" i="4"/>
  <c r="G1750" i="4"/>
  <c r="G1056" i="4"/>
  <c r="G253" i="4"/>
  <c r="G1874" i="4"/>
  <c r="G941" i="4"/>
  <c r="G733" i="4"/>
  <c r="G441" i="4"/>
  <c r="G942" i="4"/>
  <c r="G1347" i="4"/>
  <c r="G156" i="4"/>
  <c r="G943" i="4"/>
  <c r="G1458" i="4"/>
  <c r="G1875" i="4"/>
  <c r="G1348" i="4"/>
  <c r="G1980" i="4"/>
  <c r="G254" i="4"/>
  <c r="G442" i="4"/>
  <c r="G1240" i="4"/>
  <c r="G1539" i="4"/>
  <c r="G1751" i="4"/>
  <c r="G1981" i="4"/>
  <c r="G72" i="4"/>
  <c r="G1876" i="4"/>
  <c r="G255" i="4"/>
  <c r="G1057" i="4"/>
  <c r="G1540" i="4"/>
  <c r="G834" i="4"/>
  <c r="G73" i="4"/>
  <c r="G540" i="4"/>
  <c r="G256" i="4"/>
  <c r="G1149" i="4"/>
  <c r="G257" i="4"/>
  <c r="G835" i="4"/>
  <c r="G1241" i="4"/>
  <c r="G258" i="4"/>
  <c r="G541" i="4"/>
  <c r="G1634" i="4"/>
  <c r="G1058" i="4"/>
  <c r="G944" i="4"/>
  <c r="G1635" i="4"/>
  <c r="G1349" i="4"/>
  <c r="G945" i="4"/>
  <c r="G1636" i="4"/>
  <c r="G1877" i="4"/>
  <c r="G644" i="4"/>
  <c r="G1637" i="4"/>
  <c r="G1150" i="4"/>
  <c r="G1459" i="4"/>
  <c r="G946" i="4"/>
  <c r="G645" i="4"/>
  <c r="G1242" i="4"/>
  <c r="G836" i="4"/>
  <c r="G947" i="4"/>
  <c r="G837" i="4"/>
  <c r="G1243" i="4"/>
  <c r="G1982" i="4"/>
  <c r="G1638" i="4"/>
  <c r="G443" i="4"/>
  <c r="G1350" i="4"/>
  <c r="G1460" i="4"/>
  <c r="G1639" i="4"/>
  <c r="G1878" i="4"/>
  <c r="G157" i="4"/>
  <c r="G1244" i="4"/>
  <c r="G1151" i="4"/>
  <c r="G646" i="4"/>
  <c r="G1059" i="4"/>
  <c r="G1640" i="4"/>
  <c r="G542" i="4"/>
  <c r="G948" i="4"/>
  <c r="G1060" i="4"/>
  <c r="G543" i="4"/>
  <c r="G734" i="4"/>
  <c r="G444" i="4"/>
  <c r="G1351" i="4"/>
  <c r="G838" i="4"/>
  <c r="G1352" i="4"/>
  <c r="G1641" i="4"/>
  <c r="G1353" i="4"/>
  <c r="G158" i="4"/>
  <c r="G1461" i="4"/>
  <c r="G1879" i="4"/>
  <c r="G839" i="4"/>
  <c r="G1752" i="4"/>
  <c r="G159" i="4"/>
  <c r="G1642" i="4"/>
  <c r="G1245" i="4"/>
  <c r="G445" i="4"/>
  <c r="G1541" i="4"/>
  <c r="G1152" i="4"/>
  <c r="G1462" i="4"/>
  <c r="G647" i="4"/>
  <c r="G1643" i="4"/>
  <c r="G446" i="4"/>
  <c r="G1880" i="4"/>
  <c r="G949" i="4"/>
  <c r="G1542" i="4"/>
  <c r="G1463" i="4"/>
  <c r="G1543" i="4"/>
  <c r="G544" i="4"/>
  <c r="G1246" i="4"/>
  <c r="G1354" i="4"/>
  <c r="G1355" i="4"/>
  <c r="G1881" i="4"/>
  <c r="G1983" i="4"/>
  <c r="G1644" i="4"/>
  <c r="G1247" i="4"/>
  <c r="G1153" i="4"/>
  <c r="G160" i="4"/>
  <c r="G840" i="4"/>
  <c r="G1753" i="4"/>
  <c r="G1754" i="4"/>
  <c r="G1061" i="4"/>
  <c r="G1984" i="4"/>
  <c r="G447" i="4"/>
  <c r="G1154" i="4"/>
  <c r="G1985" i="4"/>
  <c r="G1882" i="4"/>
  <c r="G950" i="4"/>
  <c r="G161" i="4"/>
  <c r="G1356" i="4"/>
  <c r="G162" i="4"/>
  <c r="G735" i="4"/>
  <c r="G163" i="4"/>
  <c r="G1883" i="4"/>
  <c r="G545" i="4"/>
  <c r="G841" i="4"/>
  <c r="G1544" i="4"/>
  <c r="G842" i="4"/>
  <c r="G1884" i="4"/>
  <c r="G1357" i="4"/>
  <c r="G1755" i="4"/>
  <c r="G1645" i="4"/>
  <c r="G843" i="4"/>
  <c r="G951" i="4"/>
  <c r="G736" i="4"/>
  <c r="G952" i="4"/>
  <c r="G1062" i="4"/>
  <c r="G1986" i="4"/>
  <c r="G259" i="4"/>
  <c r="G953" i="4"/>
  <c r="G1545" i="4"/>
  <c r="G448" i="4"/>
  <c r="G1248" i="4"/>
  <c r="G1249" i="4"/>
  <c r="G260" i="4"/>
  <c r="G261" i="4"/>
  <c r="G1250" i="4"/>
  <c r="G1358" i="4"/>
  <c r="G737" i="4"/>
  <c r="G1063" i="4"/>
  <c r="G1546" i="4"/>
  <c r="G1646" i="4"/>
  <c r="G449" i="4"/>
  <c r="G1647" i="4"/>
  <c r="G262" i="4"/>
  <c r="G1987" i="4"/>
  <c r="G1756" i="4"/>
  <c r="G450" i="4"/>
  <c r="G1464" i="4"/>
  <c r="G164" i="4"/>
  <c r="G1648" i="4"/>
  <c r="G546" i="4"/>
  <c r="G1757" i="4"/>
  <c r="G74" i="4"/>
  <c r="G1465" i="4"/>
  <c r="G263" i="4"/>
  <c r="G738" i="4"/>
  <c r="G165" i="4"/>
  <c r="G1885" i="4"/>
  <c r="G1886" i="4"/>
  <c r="G1649" i="4"/>
  <c r="G1064" i="4"/>
  <c r="G1155" i="4"/>
  <c r="G1758" i="4"/>
  <c r="G1887" i="4"/>
  <c r="G954" i="4"/>
  <c r="G75" i="4"/>
  <c r="G1156" i="4"/>
  <c r="G166" i="4"/>
  <c r="G1988" i="4"/>
  <c r="G1359" i="4"/>
  <c r="G1360" i="4"/>
  <c r="G955" i="4"/>
  <c r="G1650" i="4"/>
  <c r="G1888" i="4"/>
  <c r="G844" i="4"/>
  <c r="G1065" i="4"/>
  <c r="G264" i="4"/>
  <c r="G956" i="4"/>
  <c r="G1651" i="4"/>
  <c r="G648" i="4"/>
  <c r="G1466" i="4"/>
  <c r="G1989" i="4"/>
  <c r="G1759" i="4"/>
  <c r="G1361" i="4"/>
  <c r="G1066" i="4"/>
  <c r="G1652" i="4"/>
  <c r="G1653" i="4"/>
  <c r="G76" i="4"/>
  <c r="G739" i="4"/>
  <c r="G1889" i="4"/>
  <c r="G1890" i="4"/>
  <c r="G1547" i="4"/>
  <c r="G77" i="4"/>
  <c r="G167" i="4"/>
  <c r="G451" i="4"/>
  <c r="G1548" i="4"/>
  <c r="G740" i="4"/>
  <c r="G78" i="4"/>
  <c r="G452" i="4"/>
  <c r="G957" i="4"/>
  <c r="G453" i="4"/>
  <c r="G741" i="4"/>
  <c r="G265" i="4"/>
  <c r="G266" i="4"/>
  <c r="G1549" i="4"/>
  <c r="G547" i="4"/>
  <c r="G548" i="4"/>
  <c r="G845" i="4"/>
  <c r="G1467" i="4"/>
  <c r="G1468" i="4"/>
  <c r="G1891" i="4"/>
  <c r="G168" i="4"/>
  <c r="G742" i="4"/>
  <c r="G549" i="4"/>
  <c r="G1892" i="4"/>
  <c r="G550" i="4"/>
  <c r="G958" i="4"/>
  <c r="G1760" i="4"/>
  <c r="G959" i="4"/>
  <c r="G960" i="4"/>
  <c r="G1893" i="4"/>
  <c r="G649" i="4"/>
  <c r="G79" i="4"/>
  <c r="G1654" i="4"/>
  <c r="G80" i="4"/>
  <c r="G846" i="4"/>
  <c r="G551" i="4"/>
  <c r="G961" i="4"/>
  <c r="G1761" i="4"/>
  <c r="G1157" i="4"/>
  <c r="G1550" i="4"/>
  <c r="G1362" i="4"/>
  <c r="G1067" i="4"/>
  <c r="G1894" i="4"/>
  <c r="G847" i="4"/>
  <c r="G169" i="4"/>
  <c r="G1990" i="4"/>
  <c r="G1068" i="4"/>
  <c r="G1469" i="4"/>
  <c r="G552" i="4"/>
  <c r="G356" i="4"/>
  <c r="G962" i="4"/>
  <c r="G743" i="4"/>
  <c r="G553" i="4"/>
  <c r="G267" i="4"/>
  <c r="G1895" i="4"/>
  <c r="G1363" i="4"/>
  <c r="G1762" i="4"/>
  <c r="G81" i="4"/>
  <c r="G170" i="4"/>
  <c r="G848" i="4"/>
  <c r="G849" i="4"/>
  <c r="G1763" i="4"/>
  <c r="G850" i="4"/>
  <c r="G1655" i="4"/>
  <c r="G357" i="4"/>
  <c r="G454" i="4"/>
  <c r="G744" i="4"/>
  <c r="G1991" i="4"/>
  <c r="G1470" i="4"/>
  <c r="G82" i="4"/>
  <c r="G1896" i="4"/>
  <c r="G171" i="4"/>
  <c r="G358" i="4"/>
  <c r="G172" i="4"/>
  <c r="G1656" i="4"/>
  <c r="G554" i="4"/>
  <c r="G1764" i="4"/>
  <c r="G1251" i="4"/>
  <c r="G1897" i="4"/>
  <c r="G1992" i="4"/>
  <c r="G83" i="4"/>
  <c r="G555" i="4"/>
  <c r="G851" i="4"/>
  <c r="G1252" i="4"/>
  <c r="G1551" i="4"/>
  <c r="G1765" i="4"/>
  <c r="G1253" i="4"/>
  <c r="G650" i="4"/>
  <c r="G173" i="4"/>
  <c r="G174" i="4"/>
  <c r="G745" i="4"/>
  <c r="G1364" i="4"/>
  <c r="G84" i="4"/>
  <c r="G1471" i="4"/>
  <c r="G651" i="4"/>
  <c r="G1254" i="4"/>
  <c r="G1657" i="4"/>
  <c r="G1658" i="4"/>
  <c r="G175" i="4"/>
  <c r="G1552" i="4"/>
  <c r="G268" i="4"/>
  <c r="G556" i="4"/>
  <c r="G746" i="4"/>
  <c r="G269" i="4"/>
  <c r="G1472" i="4"/>
  <c r="G1255" i="4"/>
  <c r="G747" i="4"/>
  <c r="G270" i="4"/>
  <c r="G748" i="4"/>
  <c r="G455" i="4"/>
  <c r="G1158" i="4"/>
  <c r="G456" i="4"/>
  <c r="G271" i="4"/>
  <c r="G1659" i="4"/>
  <c r="G85" i="4"/>
  <c r="G652" i="4"/>
  <c r="G1256" i="4"/>
  <c r="G359" i="4"/>
  <c r="G749" i="4"/>
  <c r="G176" i="4"/>
  <c r="G272" i="4"/>
  <c r="G963" i="4"/>
  <c r="G360" i="4"/>
  <c r="G852" i="4"/>
  <c r="G1069" i="4"/>
  <c r="G1660" i="4"/>
  <c r="G853" i="4"/>
  <c r="G1993" i="4"/>
  <c r="G1365" i="4"/>
  <c r="G653" i="4"/>
  <c r="G457" i="4"/>
  <c r="G1553" i="4"/>
  <c r="G458" i="4"/>
  <c r="G459" i="4"/>
  <c r="G273" i="4"/>
  <c r="G460" i="4"/>
  <c r="G1994" i="4"/>
  <c r="G1554" i="4"/>
  <c r="G854" i="4"/>
  <c r="G855" i="4"/>
  <c r="G1995" i="4"/>
  <c r="G1257" i="4"/>
  <c r="G557" i="4"/>
  <c r="G1898" i="4"/>
  <c r="G1473" i="4"/>
  <c r="G1766" i="4"/>
  <c r="G750" i="4"/>
  <c r="G1258" i="4"/>
  <c r="G1767" i="4"/>
  <c r="G1555" i="4"/>
  <c r="G177" i="4"/>
  <c r="G1366" i="4"/>
  <c r="G558" i="4"/>
  <c r="G178" i="4"/>
  <c r="G461" i="4"/>
  <c r="G1556" i="4"/>
  <c r="G1070" i="4"/>
  <c r="G751" i="4"/>
  <c r="G1474" i="4"/>
  <c r="G559" i="4"/>
  <c r="G86" i="4"/>
  <c r="G361" i="4"/>
  <c r="G856" i="4"/>
  <c r="G179" i="4"/>
  <c r="G1071" i="4"/>
  <c r="G180" i="4"/>
  <c r="G1072" i="4"/>
  <c r="G1557" i="4"/>
  <c r="G1558" i="4"/>
  <c r="G1559" i="4"/>
  <c r="G362" i="4"/>
  <c r="G1475" i="4"/>
  <c r="G654" i="4"/>
  <c r="G857" i="4"/>
  <c r="G87" i="4"/>
  <c r="G88" i="4"/>
  <c r="G1768" i="4"/>
  <c r="G1661" i="4"/>
  <c r="G89" i="4"/>
  <c r="G1996" i="4"/>
  <c r="G560" i="4"/>
  <c r="G1997" i="4"/>
  <c r="G1159" i="4"/>
  <c r="G1367" i="4"/>
  <c r="G964" i="4"/>
  <c r="G462" i="4"/>
  <c r="G965" i="4"/>
  <c r="G858" i="4"/>
  <c r="G1160" i="4"/>
  <c r="G1998" i="4"/>
  <c r="G1161" i="4"/>
  <c r="G1073" i="4"/>
  <c r="G363" i="4"/>
  <c r="G859" i="4"/>
  <c r="G1476" i="4"/>
  <c r="G1662" i="4"/>
  <c r="G1162" i="4"/>
  <c r="G181" i="4"/>
  <c r="G1074" i="4"/>
  <c r="G655" i="4"/>
  <c r="G364" i="4"/>
  <c r="G90" i="4"/>
  <c r="G1075" i="4"/>
  <c r="G1663" i="4"/>
  <c r="G365" i="4"/>
  <c r="G1664" i="4"/>
  <c r="G91" i="4"/>
  <c r="G463" i="4"/>
  <c r="G1368" i="4"/>
  <c r="G1163" i="4"/>
  <c r="G182" i="4"/>
  <c r="G966" i="4"/>
  <c r="G1076" i="4"/>
  <c r="G656" i="4"/>
  <c r="G183" i="4"/>
  <c r="G1477" i="4"/>
  <c r="G1769" i="4"/>
  <c r="G967" i="4"/>
  <c r="G464" i="4"/>
  <c r="G561" i="4"/>
  <c r="G1478" i="4"/>
  <c r="G1770" i="4"/>
  <c r="G657" i="4"/>
  <c r="G1665" i="4"/>
  <c r="G1771" i="4"/>
  <c r="G465" i="4"/>
  <c r="G274" i="4"/>
  <c r="G752" i="4"/>
  <c r="G1772" i="4"/>
  <c r="G860" i="4"/>
  <c r="G466" i="4"/>
  <c r="G1666" i="4"/>
  <c r="G366" i="4"/>
  <c r="G562" i="4"/>
  <c r="G1479" i="4"/>
  <c r="G1560" i="4"/>
  <c r="G1561" i="4"/>
  <c r="G92" i="4"/>
  <c r="G1773" i="4"/>
  <c r="G968" i="4"/>
  <c r="G184" i="4"/>
  <c r="G969" i="4"/>
  <c r="G861" i="4"/>
  <c r="G275" i="4"/>
  <c r="G658" i="4"/>
  <c r="G1667" i="4"/>
  <c r="G1164" i="4"/>
  <c r="G467" i="4"/>
  <c r="G276" i="4"/>
  <c r="G563" i="4"/>
  <c r="G367" i="4"/>
  <c r="G753" i="4"/>
  <c r="G368" i="4"/>
  <c r="G1999" i="4"/>
  <c r="G754" i="4"/>
  <c r="G277" i="4"/>
  <c r="G1369" i="4"/>
  <c r="G468" i="4"/>
  <c r="G469" i="4"/>
  <c r="G369" i="4"/>
  <c r="G278" i="4"/>
  <c r="G279" i="4"/>
  <c r="G659" i="4"/>
  <c r="G660" i="4"/>
  <c r="G185" i="4"/>
  <c r="G970" i="4"/>
  <c r="G470" i="4"/>
  <c r="G1668" i="4"/>
  <c r="G93" i="4"/>
  <c r="G755" i="4"/>
  <c r="G756" i="4"/>
  <c r="G661" i="4"/>
  <c r="G1774" i="4"/>
  <c r="G1899" i="4"/>
  <c r="G186" i="4"/>
  <c r="G1165" i="4"/>
  <c r="G971" i="4"/>
  <c r="G757" i="4"/>
  <c r="G1480" i="4"/>
  <c r="G1259" i="4"/>
  <c r="G1166" i="4"/>
  <c r="G1370" i="4"/>
  <c r="G1260" i="4"/>
  <c r="G862" i="4"/>
  <c r="G564" i="4"/>
  <c r="G1371" i="4"/>
  <c r="G1077" i="4"/>
  <c r="G94" i="4"/>
  <c r="G1562" i="4"/>
  <c r="G972" i="4"/>
  <c r="G280" i="4"/>
  <c r="G1261" i="4"/>
  <c r="G662" i="4"/>
  <c r="G863" i="4"/>
  <c r="G1372" i="4"/>
  <c r="G1373" i="4"/>
  <c r="G1374" i="4"/>
  <c r="G565" i="4"/>
  <c r="G471" i="4"/>
  <c r="G1775" i="4"/>
  <c r="G472" i="4"/>
  <c r="G1167" i="4"/>
  <c r="G1563" i="4"/>
  <c r="G281" i="4"/>
  <c r="G1168" i="4"/>
  <c r="G1169" i="4"/>
  <c r="G1669" i="4"/>
  <c r="G370" i="4"/>
  <c r="G1776" i="4"/>
  <c r="G187" i="4"/>
  <c r="G1375" i="4"/>
  <c r="G758" i="4"/>
  <c r="G566" i="4"/>
  <c r="G282" i="4"/>
  <c r="G1170" i="4"/>
  <c r="G1078" i="4"/>
  <c r="G371" i="4"/>
  <c r="G372" i="4"/>
  <c r="G1900" i="4"/>
  <c r="G567" i="4"/>
  <c r="G1481" i="4"/>
  <c r="G283" i="4"/>
  <c r="G1171" i="4"/>
  <c r="G1901" i="4"/>
  <c r="G1777" i="4"/>
  <c r="G1376" i="4"/>
  <c r="G1902" i="4"/>
  <c r="G663" i="4"/>
  <c r="G1778" i="4"/>
  <c r="G1172" i="4"/>
  <c r="G1262" i="4"/>
  <c r="G1903" i="4"/>
  <c r="G1377" i="4"/>
  <c r="G1263" i="4"/>
  <c r="G188" i="4"/>
  <c r="G1264" i="4"/>
  <c r="G864" i="4"/>
  <c r="G2000" i="4"/>
  <c r="G284" i="4"/>
  <c r="G373" i="4"/>
  <c r="G285" i="4"/>
  <c r="G973" i="4"/>
  <c r="G1173" i="4"/>
  <c r="G1564" i="4"/>
  <c r="G1265" i="4"/>
  <c r="G1904" i="4"/>
  <c r="G2001" i="4"/>
  <c r="G1905" i="4"/>
  <c r="G1378" i="4"/>
  <c r="G1670" i="4"/>
  <c r="G568" i="4"/>
  <c r="G1379" i="4"/>
  <c r="G473" i="4"/>
  <c r="G1079" i="4"/>
  <c r="G974" i="4"/>
  <c r="G569" i="4"/>
  <c r="M1985" i="4"/>
  <c r="M962" i="4"/>
  <c r="M876" i="4"/>
  <c r="M422" i="4"/>
  <c r="M1561" i="4"/>
  <c r="M1390" i="4"/>
  <c r="M1860" i="4"/>
  <c r="M1326" i="4"/>
  <c r="M1617" i="4"/>
  <c r="M990" i="4"/>
  <c r="M127" i="4"/>
  <c r="M629" i="4"/>
  <c r="M1314" i="4"/>
  <c r="M1016" i="4"/>
  <c r="M1840" i="4"/>
  <c r="M288" i="4"/>
  <c r="M1352" i="4"/>
  <c r="M1875" i="4"/>
  <c r="M1370" i="4"/>
  <c r="M417" i="4"/>
  <c r="M332" i="4"/>
  <c r="M1297" i="4"/>
  <c r="M509" i="4"/>
  <c r="M1424" i="4"/>
  <c r="M1197" i="4"/>
  <c r="M1418" i="4"/>
  <c r="M1216" i="4"/>
  <c r="M1625" i="4"/>
  <c r="M1402" i="4"/>
  <c r="M1558" i="4"/>
  <c r="M154" i="4"/>
  <c r="M217" i="4"/>
  <c r="M1545" i="4"/>
  <c r="M775" i="4"/>
  <c r="M1966" i="4"/>
  <c r="M173" i="4"/>
  <c r="M1579" i="4"/>
  <c r="M1791" i="4"/>
  <c r="M336" i="4"/>
  <c r="M1623" i="4"/>
  <c r="M1116" i="4"/>
  <c r="M1868" i="4"/>
  <c r="M147" i="4"/>
  <c r="M448" i="4"/>
  <c r="M1520" i="4"/>
  <c r="M1929" i="4"/>
  <c r="H26" i="8" s="1"/>
  <c r="M1914" i="4"/>
  <c r="M1260" i="4"/>
  <c r="M1528" i="4"/>
  <c r="M776" i="4"/>
  <c r="M427" i="4"/>
  <c r="M594" i="4"/>
  <c r="M994" i="4"/>
  <c r="M1688" i="4"/>
  <c r="M1496" i="4"/>
  <c r="M1483" i="4"/>
  <c r="M420" i="4"/>
  <c r="M1815" i="4"/>
  <c r="M781" i="4"/>
  <c r="M92" i="4"/>
  <c r="M1882" i="4"/>
  <c r="M1082" i="4"/>
  <c r="M455" i="4"/>
  <c r="M1013" i="4"/>
  <c r="M1310" i="4"/>
  <c r="M385" i="4"/>
  <c r="M1450" i="4"/>
  <c r="M1795" i="4"/>
  <c r="M372" i="4"/>
  <c r="M1703" i="4"/>
  <c r="M1158" i="4"/>
  <c r="M116" i="4"/>
  <c r="M1816" i="4"/>
  <c r="M900" i="4"/>
  <c r="M394" i="4"/>
  <c r="M142" i="4"/>
  <c r="M1598" i="4"/>
  <c r="M1296" i="4"/>
  <c r="M381" i="4"/>
  <c r="M134" i="4"/>
  <c r="M1610" i="4"/>
  <c r="M309" i="4"/>
  <c r="M476" i="4"/>
  <c r="M1961" i="4"/>
  <c r="M349" i="4"/>
  <c r="M1327" i="4"/>
  <c r="M293" i="4"/>
  <c r="M537" i="4"/>
  <c r="M825" i="4"/>
  <c r="M1900" i="4"/>
  <c r="M1396" i="4"/>
  <c r="M1348" i="4"/>
  <c r="M921" i="4"/>
  <c r="M222" i="4"/>
  <c r="M831" i="4"/>
  <c r="M1928" i="4"/>
  <c r="M144" i="4"/>
  <c r="M174" i="4"/>
  <c r="M220" i="4"/>
  <c r="M1738" i="4"/>
  <c r="M882" i="4"/>
  <c r="M1773" i="4"/>
  <c r="M1693" i="4"/>
  <c r="M303" i="4"/>
  <c r="M1712" i="4"/>
  <c r="M712" i="4"/>
  <c r="M250" i="4"/>
  <c r="M567" i="4"/>
  <c r="M950" i="4"/>
  <c r="M968" i="4"/>
  <c r="M694" i="4"/>
  <c r="M161" i="4"/>
  <c r="M1758" i="4"/>
  <c r="M284" i="4"/>
  <c r="M1487" i="4"/>
  <c r="M36" i="4"/>
  <c r="M373" i="4"/>
  <c r="M1206" i="4"/>
  <c r="M44" i="4"/>
  <c r="M1989" i="4"/>
  <c r="M1854" i="4"/>
  <c r="M1298" i="4"/>
  <c r="M242" i="4"/>
  <c r="M1221" i="4"/>
  <c r="M126" i="4"/>
  <c r="M1002" i="4"/>
  <c r="M1032" i="4"/>
  <c r="M1184" i="4"/>
  <c r="M289" i="4"/>
  <c r="M1719" i="4"/>
  <c r="M685" i="4"/>
  <c r="M883" i="4"/>
  <c r="M4" i="4"/>
  <c r="M1678" i="4"/>
  <c r="M1350" i="4"/>
  <c r="M1162" i="4"/>
  <c r="M879" i="4"/>
  <c r="M1775" i="4"/>
  <c r="M1228" i="4"/>
  <c r="M1759" i="4"/>
  <c r="M819" i="4"/>
  <c r="M1559" i="4"/>
  <c r="M812" i="4"/>
  <c r="M1366" i="4"/>
  <c r="M1858" i="4"/>
  <c r="M1457" i="4"/>
  <c r="M80" i="4"/>
  <c r="M675" i="4"/>
  <c r="M1887" i="4"/>
  <c r="M1356" i="4"/>
  <c r="M1624" i="4"/>
  <c r="M1455" i="4"/>
  <c r="M1085" i="4"/>
  <c r="M479" i="4"/>
  <c r="M828" i="4"/>
  <c r="M697" i="4"/>
  <c r="M975" i="4"/>
  <c r="M342" i="4"/>
  <c r="M184" i="4"/>
  <c r="M1947" i="4"/>
  <c r="M1611" i="4"/>
  <c r="M430" i="4"/>
  <c r="M673" i="4"/>
  <c r="M1581" i="4"/>
  <c r="M1460" i="4"/>
  <c r="M1571" i="4"/>
  <c r="M1185" i="4"/>
  <c r="M69" i="4"/>
  <c r="M1529" i="4"/>
  <c r="M1284" i="4"/>
  <c r="M1047" i="4"/>
  <c r="M456" i="4"/>
  <c r="M1248" i="4"/>
  <c r="M599" i="4"/>
  <c r="M449" i="4"/>
  <c r="M50" i="4"/>
  <c r="M691" i="4"/>
  <c r="M667" i="4"/>
  <c r="M1249" i="4"/>
  <c r="M56" i="4"/>
  <c r="M1835" i="4"/>
  <c r="M271" i="4"/>
  <c r="M362" i="4"/>
  <c r="M1671" i="4"/>
  <c r="M1647" i="4"/>
  <c r="M783" i="4"/>
  <c r="M314" i="4"/>
  <c r="M1516" i="4"/>
  <c r="M1730" i="4"/>
  <c r="M399" i="4"/>
  <c r="M1980" i="4"/>
  <c r="M13" i="4"/>
  <c r="M1804" i="4"/>
  <c r="M45" i="4"/>
  <c r="M1417" i="4"/>
  <c r="M232" i="4"/>
  <c r="M376" i="4"/>
  <c r="M969" i="4"/>
  <c r="M1869" i="4"/>
  <c r="M162" i="4"/>
  <c r="M1361" i="4"/>
  <c r="M1573" i="4"/>
  <c r="M558" i="4"/>
  <c r="M861" i="4"/>
  <c r="M318" i="4"/>
  <c r="M1486" i="4"/>
  <c r="M1569" i="4"/>
  <c r="M1246" i="4"/>
  <c r="M1177" i="4"/>
  <c r="M870" i="4"/>
  <c r="M1726" i="4"/>
  <c r="M894" i="4"/>
  <c r="M1708" i="4"/>
  <c r="M702" i="4"/>
  <c r="M1491" i="4"/>
  <c r="M735" i="4"/>
  <c r="M1131" i="4"/>
  <c r="M1025" i="4"/>
  <c r="M987" i="4"/>
  <c r="M1109" i="4"/>
  <c r="M833" i="4"/>
  <c r="M982" i="4"/>
  <c r="M704" i="4"/>
  <c r="M125" i="4"/>
  <c r="M1435" i="4"/>
  <c r="M1783" i="4"/>
  <c r="M1499" i="4"/>
  <c r="M1580" i="4"/>
  <c r="M561" i="4"/>
  <c r="M1277" i="4"/>
  <c r="M578" i="4"/>
  <c r="M1743" i="4"/>
  <c r="M623" i="4"/>
  <c r="M285" i="4"/>
  <c r="M1272" i="4"/>
  <c r="M1824" i="4"/>
  <c r="M104" i="4"/>
  <c r="M499" i="4"/>
  <c r="M789" i="4"/>
  <c r="M938" i="4"/>
  <c r="M1411" i="4"/>
  <c r="M273" i="4"/>
  <c r="M1494" i="4"/>
  <c r="M1415" i="4"/>
  <c r="M1535" i="4"/>
  <c r="M510" i="4"/>
  <c r="M1603" i="4"/>
  <c r="M743" i="4"/>
  <c r="M333" i="4"/>
  <c r="M275" i="4"/>
  <c r="M395" i="4"/>
  <c r="M178" i="4"/>
  <c r="M1724" i="4"/>
  <c r="M862" i="4"/>
  <c r="M1801" i="4"/>
  <c r="M759" i="4"/>
  <c r="M1478" i="4"/>
  <c r="M138" i="4"/>
  <c r="M1822" i="4"/>
  <c r="M1178" i="4"/>
  <c r="M1659" i="4"/>
  <c r="M233" i="4"/>
  <c r="M1509" i="4"/>
  <c r="M1229" i="4"/>
  <c r="M461" i="4"/>
  <c r="M1634" i="4"/>
  <c r="M150" i="4"/>
  <c r="M1267" i="4"/>
  <c r="M669" i="4"/>
  <c r="M997" i="4"/>
  <c r="M1217" i="4"/>
  <c r="M1537" i="4"/>
  <c r="M1870" i="4"/>
  <c r="M1475" i="4"/>
  <c r="M472" i="4"/>
  <c r="M1127" i="4"/>
  <c r="M607" i="4"/>
  <c r="M1871" i="4"/>
  <c r="M1641" i="4"/>
  <c r="M181" i="4"/>
  <c r="M1014" i="4"/>
  <c r="M809" i="4"/>
  <c r="M1134" i="4"/>
  <c r="M624" i="4"/>
  <c r="M61" i="4"/>
  <c r="M641" i="4"/>
  <c r="M238" i="4"/>
  <c r="M846" i="4"/>
  <c r="M378" i="4"/>
  <c r="M1720" i="4"/>
  <c r="M1066" i="4"/>
  <c r="M1613" i="4"/>
  <c r="M1919" i="4"/>
  <c r="M722" i="4"/>
  <c r="M59" i="4"/>
  <c r="M564" i="4"/>
  <c r="M1727" i="4"/>
  <c r="M1519" i="4"/>
  <c r="M1792" i="4"/>
  <c r="M634" i="4"/>
  <c r="M1421" i="4"/>
  <c r="M1706" i="4"/>
  <c r="M18" i="4"/>
  <c r="M1948" i="4"/>
  <c r="M1315" i="4"/>
  <c r="M551" i="4"/>
  <c r="M1673" i="4"/>
  <c r="M922" i="4"/>
  <c r="M590" i="4"/>
  <c r="M1167" i="4"/>
  <c r="M1353" i="4"/>
  <c r="M216" i="4"/>
  <c r="M1506" i="4"/>
  <c r="M1220" i="4"/>
  <c r="M1639" i="4"/>
  <c r="M1817" i="4"/>
  <c r="M973" i="4"/>
  <c r="M1448" i="4"/>
  <c r="M329" i="4"/>
  <c r="M1563" i="4"/>
  <c r="M1482" i="4"/>
  <c r="M185" i="4"/>
  <c r="M1334" i="4"/>
  <c r="M1481" i="4"/>
  <c r="M1652" i="4"/>
  <c r="M283" i="4"/>
  <c r="M416" i="4"/>
  <c r="M1403" i="4"/>
  <c r="M252" i="4"/>
  <c r="M37" i="4"/>
  <c r="M1027" i="4"/>
  <c r="M808" i="4"/>
  <c r="M614" i="4"/>
  <c r="M21" i="4"/>
  <c r="M158" i="4"/>
  <c r="M1813" i="4"/>
  <c r="M1963" i="4"/>
  <c r="M928" i="4"/>
  <c r="M262" i="4"/>
  <c r="M1037" i="4"/>
  <c r="M1209" i="4"/>
  <c r="M24" i="4"/>
  <c r="M152" i="4"/>
  <c r="M484" i="4"/>
  <c r="M209" i="4"/>
  <c r="M658" i="4"/>
  <c r="M137" i="4"/>
  <c r="M133" i="4"/>
  <c r="M654" i="4"/>
  <c r="M1825" i="4"/>
  <c r="M413" i="4"/>
  <c r="M10" i="4"/>
  <c r="M108" i="4"/>
  <c r="M1653" i="4"/>
  <c r="M687" i="4"/>
  <c r="M1188" i="4"/>
  <c r="M896" i="4"/>
  <c r="M1556" i="4"/>
  <c r="M553" i="4"/>
  <c r="M745" i="4"/>
  <c r="M254" i="4"/>
  <c r="M1667" i="4"/>
  <c r="M1601" i="4"/>
  <c r="M914" i="4"/>
  <c r="M939" i="4"/>
  <c r="M1354" i="4"/>
  <c r="M1568" i="4"/>
  <c r="M1364" i="4"/>
  <c r="M110" i="4"/>
  <c r="M1684" i="4"/>
  <c r="M1677" i="4"/>
  <c r="M377" i="4"/>
  <c r="M267" i="4"/>
  <c r="M324" i="4"/>
  <c r="M760" i="4"/>
  <c r="M625" i="4"/>
  <c r="M1987" i="4"/>
  <c r="M1332" i="4"/>
  <c r="M1847" i="4"/>
  <c r="M857" i="4"/>
  <c r="M76" i="4"/>
  <c r="M1451" i="4"/>
  <c r="M442" i="4"/>
  <c r="M620" i="4"/>
  <c r="M739" i="4"/>
  <c r="M610" i="4"/>
  <c r="M1114" i="4"/>
  <c r="M1936" i="4"/>
  <c r="M281" i="4"/>
  <c r="M1833" i="4"/>
  <c r="M1139" i="4"/>
  <c r="M699" i="4"/>
  <c r="M784" i="4"/>
  <c r="M1045" i="4"/>
  <c r="M392" i="4"/>
  <c r="M1070" i="4"/>
  <c r="M588" i="4"/>
  <c r="M57" i="4"/>
  <c r="M1823" i="4"/>
  <c r="M1756" i="4"/>
  <c r="M85" i="4"/>
  <c r="M63" i="4"/>
  <c r="M1412" i="4"/>
  <c r="M1852" i="4"/>
  <c r="M871" i="4"/>
  <c r="M665" i="4"/>
  <c r="M33" i="4"/>
  <c r="M1449" i="4"/>
  <c r="M117" i="4"/>
  <c r="M1017" i="4"/>
  <c r="M892" i="4"/>
  <c r="M1207" i="4"/>
  <c r="M1355" i="4"/>
  <c r="M1969" i="4"/>
  <c r="M934" i="4"/>
  <c r="M1626" i="4"/>
  <c r="M1173" i="4"/>
  <c r="M1564" i="4"/>
  <c r="M98" i="4"/>
  <c r="M1204" i="4"/>
  <c r="M1058" i="4"/>
  <c r="M1820" i="4"/>
  <c r="M1100" i="4"/>
  <c r="M600" i="4"/>
  <c r="M1812" i="4"/>
  <c r="M248" i="4"/>
  <c r="M1110" i="4"/>
  <c r="M918" i="4"/>
  <c r="M495" i="4"/>
  <c r="M1104" i="4"/>
  <c r="M1290" i="4"/>
  <c r="M1222" i="4"/>
  <c r="M1604" i="4"/>
  <c r="M105" i="4"/>
  <c r="M827" i="4"/>
  <c r="M141" i="4"/>
  <c r="M1461" i="4"/>
  <c r="M1841" i="4"/>
  <c r="M1862" i="4"/>
  <c r="M435" i="4"/>
  <c r="M1740" i="4"/>
  <c r="M1889" i="4"/>
  <c r="M1182" i="4"/>
  <c r="M1320" i="4"/>
  <c r="M454" i="4"/>
  <c r="M1283" i="4"/>
  <c r="M1881" i="4"/>
  <c r="M192" i="4"/>
  <c r="M769" i="4"/>
  <c r="M899" i="4"/>
  <c r="M31" i="4"/>
  <c r="M163" i="4"/>
  <c r="M1800" i="4"/>
  <c r="M350" i="4"/>
  <c r="M1308" i="4"/>
  <c r="M674" i="4"/>
  <c r="M1192" i="4"/>
  <c r="M243" i="4"/>
  <c r="M1240" i="4"/>
  <c r="M337" i="4"/>
  <c r="M804" i="4"/>
  <c r="M1265" i="4"/>
  <c r="M460" i="4"/>
  <c r="M1878" i="4"/>
  <c r="M6" i="4"/>
  <c r="M815" i="4"/>
  <c r="M1495" i="4"/>
  <c r="M744" i="4"/>
  <c r="M439" i="4"/>
  <c r="M1991" i="4"/>
  <c r="M212" i="4"/>
  <c r="M325" i="4"/>
  <c r="M1504" i="4"/>
  <c r="M1879" i="4"/>
  <c r="M706" i="4"/>
  <c r="M498" i="4"/>
  <c r="M414" i="4"/>
  <c r="M907" i="4"/>
  <c r="M751" i="4"/>
  <c r="M1164" i="4"/>
  <c r="M1470" i="4"/>
  <c r="M1589" i="4"/>
  <c r="M800" i="4"/>
  <c r="M1171" i="4"/>
  <c r="M477" i="4"/>
  <c r="M1612" i="4"/>
  <c r="M621" i="4"/>
  <c r="M1468" i="4"/>
  <c r="M1977" i="4"/>
  <c r="M1233" i="4"/>
  <c r="M467" i="4"/>
  <c r="M579" i="4"/>
  <c r="M1736" i="4"/>
  <c r="M1033" i="4"/>
  <c r="M1371" i="4"/>
  <c r="M1891" i="4"/>
  <c r="M1413" i="4"/>
  <c r="M1018" i="4"/>
  <c r="M652" i="4"/>
  <c r="M1734" i="4"/>
  <c r="M839" i="4"/>
  <c r="M1539" i="4"/>
  <c r="M1713" i="4"/>
  <c r="M1329" i="4"/>
  <c r="M1983" i="4"/>
  <c r="M1934" i="4"/>
  <c r="M713" i="4"/>
  <c r="M1834" i="4"/>
  <c r="M1883" i="4"/>
  <c r="M818" i="4"/>
  <c r="M136" i="4"/>
  <c r="M155" i="4"/>
  <c r="M545" i="4"/>
  <c r="M1404" i="4"/>
  <c r="M1034" i="4"/>
  <c r="M961" i="4"/>
  <c r="M404" i="4"/>
  <c r="M1599" i="4"/>
  <c r="M970" i="4"/>
  <c r="M1533" i="4"/>
  <c r="M874" i="4"/>
  <c r="M1179" i="4"/>
  <c r="M305" i="4"/>
  <c r="M1119" i="4"/>
  <c r="M1434" i="4"/>
  <c r="M1901" i="4"/>
  <c r="M16" i="4"/>
  <c r="M888" i="4"/>
  <c r="M82" i="4"/>
  <c r="M1268" i="4"/>
  <c r="M493" i="4"/>
  <c r="M87" i="4"/>
  <c r="M976" i="4"/>
  <c r="M1051" i="4"/>
  <c r="M642" i="4"/>
  <c r="M1930" i="4"/>
  <c r="M1140" i="4"/>
  <c r="M1895" i="4"/>
  <c r="M1097" i="4"/>
  <c r="M1009" i="4"/>
  <c r="M67" i="4"/>
  <c r="M1120" i="4"/>
  <c r="M1704" i="4"/>
  <c r="M1279" i="4"/>
  <c r="M1074" i="4"/>
  <c r="M1644" i="4"/>
  <c r="M32" i="4"/>
  <c r="M895" i="4"/>
  <c r="M1077" i="4"/>
  <c r="M88" i="4"/>
  <c r="M954" i="4"/>
  <c r="M1848" i="4"/>
  <c r="M1324" i="4"/>
  <c r="M1949" i="4"/>
  <c r="M408" i="4"/>
  <c r="M276" i="4"/>
  <c r="M598" i="4"/>
  <c r="M470" i="4"/>
  <c r="M830" i="4"/>
  <c r="M1303" i="4"/>
  <c r="M1890" i="4"/>
  <c r="M245" i="4"/>
  <c r="M1446" i="4"/>
  <c r="M1474" i="4"/>
  <c r="M1695" i="4"/>
  <c r="M1674" i="4"/>
  <c r="M1092" i="4"/>
  <c r="M145" i="4"/>
  <c r="M1605" i="4"/>
  <c r="M1190" i="4"/>
  <c r="M944" i="4"/>
  <c r="M1247" i="4"/>
  <c r="M1547" i="4"/>
  <c r="M1237" i="4"/>
  <c r="M450" i="4"/>
  <c r="M655" i="4"/>
  <c r="M1035" i="4"/>
  <c r="M1331" i="4"/>
  <c r="M1826" i="4"/>
  <c r="M916" i="4"/>
  <c r="M1682" i="4"/>
  <c r="M1256" i="4"/>
  <c r="M1335" i="4"/>
  <c r="M1844" i="4"/>
  <c r="M635" i="4"/>
  <c r="M935" i="4"/>
  <c r="M1770" i="4"/>
  <c r="M1904" i="4"/>
  <c r="M1828" i="4"/>
  <c r="M977" i="4"/>
  <c r="M1959" i="4"/>
  <c r="M157" i="4"/>
  <c r="M668" i="4"/>
  <c r="M334" i="4"/>
  <c r="M531" i="4"/>
  <c r="M1752" i="4"/>
  <c r="M346" i="4"/>
  <c r="M1668" i="4"/>
  <c r="M887" i="4"/>
  <c r="M559" i="4"/>
  <c r="M1696" i="4"/>
  <c r="M93" i="4"/>
  <c r="M1861" i="4"/>
  <c r="M359" i="4"/>
  <c r="M1224" i="4"/>
  <c r="M84" i="4"/>
  <c r="M755" i="4"/>
  <c r="M1039" i="4"/>
  <c r="M1777" i="4"/>
  <c r="M797" i="4"/>
  <c r="M580" i="4"/>
  <c r="M2001" i="4"/>
  <c r="M749" i="4"/>
  <c r="M1768" i="4"/>
  <c r="M364" i="4"/>
  <c r="M260" i="4"/>
  <c r="M576" i="4"/>
  <c r="M1052" i="4"/>
  <c r="M1584" i="4"/>
  <c r="M1471" i="4"/>
  <c r="M1125" i="4"/>
  <c r="M1020" i="4"/>
  <c r="M520" i="4"/>
  <c r="M1683" i="4"/>
  <c r="M159" i="4"/>
  <c r="M1363" i="4"/>
  <c r="M90" i="4"/>
  <c r="M1762" i="4"/>
  <c r="M1075" i="4"/>
  <c r="M12" i="4"/>
  <c r="M1102" i="4"/>
  <c r="M880" i="4"/>
  <c r="M679" i="4"/>
  <c r="M575" i="4"/>
  <c r="M1393" i="4"/>
  <c r="M146" i="4"/>
  <c r="M998" i="4"/>
  <c r="M1319" i="4"/>
  <c r="M1464" i="4"/>
  <c r="M164" i="4"/>
  <c r="M1143" i="4"/>
  <c r="M791" i="4"/>
  <c r="M28" i="4"/>
  <c r="M1917" i="4"/>
  <c r="M397" i="4"/>
  <c r="M224" i="4"/>
  <c r="M1849" i="4"/>
  <c r="M1635" i="4"/>
  <c r="M1942" i="4"/>
  <c r="M631" i="4"/>
  <c r="M563" i="4"/>
  <c r="M86" i="4"/>
  <c r="M608" i="4"/>
  <c r="M494" i="4"/>
  <c r="M153" i="4"/>
  <c r="M1827" i="4"/>
  <c r="M1931" i="4"/>
  <c r="M1381" i="4"/>
  <c r="M1439" i="4"/>
  <c r="M991" i="4"/>
  <c r="M909" i="4"/>
  <c r="M1196" i="4"/>
  <c r="M1896" i="4"/>
  <c r="M1299" i="4"/>
  <c r="M1836" i="4"/>
  <c r="M1012" i="4"/>
  <c r="M1442" i="4"/>
  <c r="M197" i="4"/>
  <c r="M1453" i="4"/>
  <c r="M1717" i="4"/>
  <c r="M1679" i="4"/>
  <c r="M514" i="4"/>
  <c r="M51" i="4"/>
  <c r="M1994" i="4"/>
  <c r="M826" i="4"/>
  <c r="M168" i="4"/>
  <c r="M742" i="4"/>
  <c r="M323" i="4"/>
  <c r="M120" i="4"/>
  <c r="M611" i="4"/>
  <c r="M767" i="4"/>
  <c r="M923" i="4"/>
  <c r="M317" i="4"/>
  <c r="M1974" i="4"/>
  <c r="M902" i="4"/>
  <c r="M516" i="4"/>
  <c r="M1642" i="4"/>
  <c r="M1021" i="4"/>
  <c r="M1687" i="4"/>
  <c r="M20" i="4"/>
  <c r="M228" i="4"/>
  <c r="M1238" i="4"/>
  <c r="M1663" i="4"/>
  <c r="M517" i="4"/>
  <c r="M1153" i="4"/>
  <c r="M1349" i="4"/>
  <c r="M206" i="4"/>
  <c r="M1594" i="4"/>
  <c r="M1398" i="4"/>
  <c r="M1718" i="4"/>
  <c r="M1761" i="4"/>
  <c r="M1972" i="4"/>
  <c r="M1964" i="4"/>
  <c r="M23" i="4"/>
  <c r="M1168" i="4"/>
  <c r="M891" i="4"/>
  <c r="M651" i="4"/>
  <c r="M488" i="4"/>
  <c r="M981" i="4"/>
  <c r="M226" i="4"/>
  <c r="M1661" i="4"/>
  <c r="M1905" i="4"/>
  <c r="M367" i="4"/>
  <c r="M202" i="4"/>
  <c r="M549" i="4"/>
  <c r="M89" i="4"/>
  <c r="M1203" i="4"/>
  <c r="M1954" i="4"/>
  <c r="M77" i="4"/>
  <c r="M261" i="4"/>
  <c r="M475" i="4"/>
  <c r="M230" i="4"/>
  <c r="M1741" i="4"/>
  <c r="M978" i="4"/>
  <c r="M204" i="4"/>
  <c r="M1376" i="4"/>
  <c r="M773" i="4"/>
  <c r="M365" i="4"/>
  <c r="M1970" i="4"/>
  <c r="M1699" i="4"/>
  <c r="M171" i="4"/>
  <c r="M1996" i="4"/>
  <c r="M1086" i="4"/>
  <c r="M1333" i="4"/>
  <c r="M657" i="4"/>
  <c r="M386" i="4"/>
  <c r="M1780" i="4"/>
  <c r="M1087" i="4"/>
  <c r="M1853" i="4"/>
  <c r="M1244" i="4"/>
  <c r="M988" i="4"/>
  <c r="M945" i="4"/>
  <c r="M1325" i="4"/>
  <c r="M622" i="4"/>
  <c r="M924" i="4"/>
  <c r="M683" i="4"/>
  <c r="M1586" i="4"/>
  <c r="M1538" i="4"/>
  <c r="M670" i="4"/>
  <c r="M511" i="4"/>
  <c r="M1648" i="4"/>
  <c r="M1498" i="4"/>
  <c r="M1146" i="4"/>
  <c r="M1798" i="4"/>
  <c r="M213" i="4"/>
  <c r="M1230" i="4"/>
  <c r="M1716" i="4"/>
  <c r="M1426" i="4"/>
  <c r="M234" i="4"/>
  <c r="M437" i="4"/>
  <c r="M1597" i="4"/>
  <c r="M1892" i="4"/>
  <c r="M1940" i="4"/>
  <c r="M1962" i="4"/>
  <c r="M1136" i="4"/>
  <c r="M423" i="4"/>
  <c r="M1920" i="4"/>
  <c r="M64" i="4"/>
  <c r="M1665" i="4"/>
  <c r="M1793" i="4"/>
  <c r="M753" i="4"/>
  <c r="M728" i="4"/>
  <c r="M1490" i="4"/>
  <c r="M1384" i="4"/>
  <c r="M1254" i="4"/>
  <c r="M1231" i="4"/>
  <c r="M113" i="4"/>
  <c r="M361" i="4"/>
  <c r="M1664" i="4"/>
  <c r="M1784" i="4"/>
  <c r="M354" i="4"/>
  <c r="M1902" i="4"/>
  <c r="M560" i="4"/>
  <c r="M550" i="4"/>
  <c r="M338" i="4"/>
  <c r="M1614" i="4"/>
  <c r="M1157" i="4"/>
  <c r="M1094" i="4"/>
  <c r="M1872" i="4"/>
  <c r="M1151" i="4"/>
  <c r="M1997" i="4"/>
  <c r="M1344" i="4"/>
  <c r="M936" i="4"/>
  <c r="M1452" i="4"/>
  <c r="M1141" i="4"/>
  <c r="M813" i="4"/>
  <c r="M546" i="4"/>
  <c r="M779" i="4"/>
  <c r="M292" i="4"/>
  <c r="M1223" i="4"/>
  <c r="M1521" i="4"/>
  <c r="M512" i="4"/>
  <c r="M75" i="4"/>
  <c r="M1294" i="4"/>
  <c r="M48" i="4"/>
  <c r="M533" i="4"/>
  <c r="M1144" i="4"/>
  <c r="M1445" i="4"/>
  <c r="M1926" i="4"/>
  <c r="M1550" i="4"/>
  <c r="M719" i="4"/>
  <c r="M1714" i="4"/>
  <c r="M1771" i="4"/>
  <c r="M1810" i="4"/>
  <c r="M1378" i="4"/>
  <c r="M1615" i="4"/>
  <c r="M570" i="4"/>
  <c r="M374" i="4"/>
  <c r="M1685" i="4"/>
  <c r="M1757" i="4"/>
  <c r="M1345" i="4"/>
  <c r="M1156" i="4"/>
  <c r="M315" i="4"/>
  <c r="M38" i="4"/>
  <c r="M992" i="4"/>
  <c r="M1866" i="4"/>
  <c r="M193" i="4"/>
  <c r="M1829" i="4"/>
  <c r="M167" i="4"/>
  <c r="M995" i="4"/>
  <c r="M1235" i="4"/>
  <c r="M1169" i="4"/>
  <c r="M1632" i="4"/>
  <c r="M1095" i="4"/>
  <c r="M480" i="4"/>
  <c r="M1669" i="4"/>
  <c r="M877" i="4"/>
  <c r="M166" i="4"/>
  <c r="M865" i="4"/>
  <c r="M601" i="4"/>
  <c r="M866" i="4"/>
  <c r="M630" i="4"/>
  <c r="M1955" i="4"/>
  <c r="M1430" i="4"/>
  <c r="M958" i="4"/>
  <c r="M451" i="4"/>
  <c r="M370" i="4"/>
  <c r="M1802" i="4"/>
  <c r="M1285" i="4"/>
  <c r="M1913" i="4"/>
  <c r="M393" i="4"/>
  <c r="M1218" i="4"/>
  <c r="M368" i="4"/>
  <c r="M799" i="4"/>
  <c r="M118" i="4"/>
  <c r="M810" i="4"/>
  <c r="M81" i="4"/>
  <c r="M1219" i="4"/>
  <c r="M1431" i="4"/>
  <c r="M223" i="4"/>
  <c r="M1548" i="4"/>
  <c r="M1698" i="4"/>
  <c r="M465" i="4"/>
  <c r="M1245" i="4"/>
  <c r="M1193" i="4"/>
  <c r="M1979" i="4"/>
  <c r="M219" i="4"/>
  <c r="M379" i="4"/>
  <c r="M1988" i="4"/>
  <c r="M1526" i="4"/>
  <c r="M521" i="4"/>
  <c r="M524" i="4"/>
  <c r="M506" i="4"/>
  <c r="M1789" i="4"/>
  <c r="M1527" i="4"/>
  <c r="M1054" i="4"/>
  <c r="M198" i="4"/>
  <c r="M1510" i="4"/>
  <c r="M445" i="4"/>
  <c r="M1873" i="4"/>
  <c r="M490" i="4"/>
  <c r="M604" i="4"/>
  <c r="M1089" i="4"/>
  <c r="M403" i="4"/>
  <c r="M170" i="4"/>
  <c r="M1760" i="4"/>
  <c r="M1081" i="4"/>
  <c r="M1530" i="4"/>
  <c r="M274" i="4"/>
  <c r="M848" i="4"/>
  <c r="M763" i="4"/>
  <c r="M1689" i="4"/>
  <c r="M294" i="4"/>
  <c r="M71" i="4"/>
  <c r="M94" i="4"/>
  <c r="M571" i="4"/>
  <c r="M1359" i="4"/>
  <c r="M74" i="4"/>
  <c r="M841" i="4"/>
  <c r="M1541" i="4"/>
  <c r="M46" i="4"/>
  <c r="M502" i="4"/>
  <c r="M390" i="4"/>
  <c r="M1380" i="4"/>
  <c r="M1590" i="4"/>
  <c r="M617" i="4"/>
  <c r="M513" i="4"/>
  <c r="M128" i="4"/>
  <c r="M239" i="4"/>
  <c r="M1670" i="4"/>
  <c r="M1105" i="4"/>
  <c r="M1950" i="4"/>
  <c r="M54" i="4"/>
  <c r="M740" i="4"/>
  <c r="M221" i="4"/>
  <c r="M1004" i="4"/>
  <c r="M434" i="4"/>
  <c r="M1742" i="4"/>
  <c r="M989" i="4"/>
  <c r="M1554" i="4"/>
  <c r="M854" i="4"/>
  <c r="M1831" i="4"/>
  <c r="M1799" i="4"/>
  <c r="M1544" i="4"/>
  <c r="M1628" i="4"/>
  <c r="M1321" i="4"/>
  <c r="M842" i="4"/>
  <c r="M1707" i="4"/>
  <c r="M1562" i="4"/>
  <c r="M1360" i="4"/>
  <c r="M1532" i="4"/>
  <c r="M805" i="4"/>
  <c r="M1159" i="4"/>
  <c r="M307" i="4"/>
  <c r="M1867" i="4"/>
  <c r="M91" i="4"/>
  <c r="M528" i="4"/>
  <c r="M189" i="4"/>
  <c r="M770" i="4"/>
  <c r="M855" i="4"/>
  <c r="M959" i="4"/>
  <c r="M764" i="4"/>
  <c r="M440" i="4"/>
  <c r="M320" i="4"/>
  <c r="M1578" i="4"/>
  <c r="M111" i="4"/>
  <c r="M849" i="4"/>
  <c r="M47" i="4"/>
  <c r="M1438" i="4"/>
  <c r="M568" i="4"/>
  <c r="M901" i="4"/>
  <c r="M60" i="4"/>
  <c r="M1602" i="4"/>
  <c r="M352" i="4"/>
  <c r="M123" i="4"/>
  <c r="M1304" i="4"/>
  <c r="M1409" i="4"/>
  <c r="M463" i="4"/>
  <c r="M1210" i="4"/>
  <c r="M1779" i="4"/>
  <c r="M1596" i="4"/>
  <c r="M1367" i="4"/>
  <c r="M1975" i="4"/>
  <c r="M807" i="4"/>
  <c r="M1208" i="4"/>
  <c r="M1636" i="4"/>
  <c r="M671" i="4"/>
  <c r="M231" i="4"/>
  <c r="M1845" i="4"/>
  <c r="M1995" i="4"/>
  <c r="M1923" i="4"/>
  <c r="M49" i="4"/>
  <c r="M1600" i="4"/>
  <c r="M176" i="4"/>
  <c r="M672" i="4"/>
  <c r="M643" i="4"/>
  <c r="M756" i="4"/>
  <c r="M640" i="4"/>
  <c r="M195" i="4"/>
  <c r="M628" i="4"/>
  <c r="M529" i="4"/>
  <c r="M1763" i="4"/>
  <c r="M1722" i="4"/>
  <c r="M676" i="4"/>
  <c r="M1465" i="4"/>
  <c r="M1195" i="4"/>
  <c r="M1257" i="4"/>
  <c r="M1391" i="4"/>
  <c r="M1503" i="4"/>
  <c r="M504" i="4"/>
  <c r="M316" i="4"/>
  <c r="M1620" i="4"/>
  <c r="M358" i="4"/>
  <c r="M263" i="4"/>
  <c r="M1301" i="4"/>
  <c r="M1280" i="4"/>
  <c r="M1115" i="4"/>
  <c r="M1728" i="4"/>
  <c r="M572" i="4"/>
  <c r="M1501" i="4"/>
  <c r="M1055" i="4"/>
  <c r="M405" i="4"/>
  <c r="M247" i="4"/>
  <c r="M661" i="4"/>
  <c r="M160" i="4"/>
  <c r="M272" i="4"/>
  <c r="M1750" i="4"/>
  <c r="M915" i="4"/>
  <c r="M1368" i="4"/>
  <c r="M1440" i="4"/>
  <c r="M1916" i="4"/>
  <c r="M955" i="4"/>
  <c r="M1877" i="4"/>
  <c r="M1023" i="4"/>
  <c r="M856" i="4"/>
  <c r="M1952" i="4"/>
  <c r="M1814" i="4"/>
  <c r="M42" i="4"/>
  <c r="M1705" i="4"/>
  <c r="M897" i="4"/>
  <c r="M1749" i="4"/>
  <c r="M772" i="4"/>
  <c r="M1805" i="4"/>
  <c r="M688" i="4"/>
  <c r="M1379" i="4"/>
  <c r="M518" i="4"/>
  <c r="M1709" i="4"/>
  <c r="M215" i="4"/>
  <c r="M963" i="4"/>
  <c r="M497" i="4"/>
  <c r="M1976" i="4"/>
  <c r="M1488" i="4"/>
  <c r="M1513" i="4"/>
  <c r="M777" i="4"/>
  <c r="M304" i="4"/>
  <c r="M885" i="4"/>
  <c r="M1163" i="4"/>
  <c r="M619" i="4"/>
  <c r="M1330" i="4"/>
  <c r="M1522" i="4"/>
  <c r="M207" i="4"/>
  <c r="M7" i="4"/>
  <c r="M972" i="4"/>
  <c r="M1328" i="4"/>
  <c r="M850" i="4"/>
  <c r="M1425" i="4"/>
  <c r="M717" i="4"/>
  <c r="M1269" i="4"/>
  <c r="M1212" i="4"/>
  <c r="M1427" i="4"/>
  <c r="M931" i="4"/>
  <c r="M1621" i="4"/>
  <c r="M638" i="4"/>
  <c r="M1680" i="4"/>
  <c r="M964" i="4"/>
  <c r="M999" i="4"/>
  <c r="M287" i="4"/>
  <c r="M229" i="4"/>
  <c r="M573" i="4"/>
  <c r="M1657" i="4"/>
  <c r="M979" i="4"/>
  <c r="M425" i="4"/>
  <c r="M106" i="4"/>
  <c r="M1658" i="4"/>
  <c r="M335" i="4"/>
  <c r="M1128" i="4"/>
  <c r="M534" i="4"/>
  <c r="M1618" i="4"/>
  <c r="M175" i="4"/>
  <c r="M1751" i="4"/>
  <c r="M538" i="4"/>
  <c r="M1239" i="4"/>
  <c r="M1505" i="4"/>
  <c r="M400" i="4"/>
  <c r="M644" i="4"/>
  <c r="M1317" i="4"/>
  <c r="M1181" i="4"/>
  <c r="M1774" i="4"/>
  <c r="M78" i="4"/>
  <c r="M462" i="4"/>
  <c r="M52" i="4"/>
  <c r="M1577" i="4"/>
  <c r="M1981" i="4"/>
  <c r="M172" i="4"/>
  <c r="M1341" i="4"/>
  <c r="M345" i="4"/>
  <c r="M438" i="4"/>
  <c r="M321" i="4"/>
  <c r="M1307" i="4"/>
  <c r="M801" i="4"/>
  <c r="M1502" i="4"/>
  <c r="M299" i="4"/>
  <c r="M761" i="4"/>
  <c r="M1921" i="4"/>
  <c r="M1191" i="4"/>
  <c r="M1633" i="4"/>
  <c r="M937" i="4"/>
  <c r="M1036" i="4"/>
  <c r="M360" i="4"/>
  <c r="M881" i="4"/>
  <c r="M1781" i="4"/>
  <c r="M1957" i="4"/>
  <c r="M1899" i="4"/>
  <c r="M584" i="4"/>
  <c r="M1497" i="4"/>
  <c r="M297" i="4"/>
  <c r="M452" i="4"/>
  <c r="M240" i="4"/>
  <c r="M738" i="4"/>
  <c r="M798" i="4"/>
  <c r="M929" i="4"/>
  <c r="M1511" i="4"/>
  <c r="M1056" i="4"/>
  <c r="M1152" i="4"/>
  <c r="M792" i="4"/>
  <c r="M1863" i="4"/>
  <c r="M383" i="4"/>
  <c r="M1776" i="4"/>
  <c r="M186" i="4"/>
  <c r="M1108" i="4"/>
  <c r="M218" i="4"/>
  <c r="M1429" i="4"/>
  <c r="M1796" i="4"/>
  <c r="M1175" i="4"/>
  <c r="M249" i="4"/>
  <c r="M618" i="4"/>
  <c r="M1318" i="4"/>
  <c r="M1655" i="4"/>
  <c r="M1747" i="4"/>
  <c r="M70" i="4"/>
  <c r="M124" i="4"/>
  <c r="M1715" i="4"/>
  <c r="M1038" i="4"/>
  <c r="M1650" i="4"/>
  <c r="M1675" i="4"/>
  <c r="M492" i="4"/>
  <c r="M280" i="4"/>
  <c r="M205" i="4"/>
  <c r="M927" i="4"/>
  <c r="M1362" i="4"/>
  <c r="M194" i="4"/>
  <c r="M557" i="4"/>
  <c r="M182" i="4"/>
  <c r="M1462" i="4"/>
  <c r="M1049" i="4"/>
  <c r="M965" i="4"/>
  <c r="M1566" i="4"/>
  <c r="M236" i="4"/>
  <c r="M983" i="4"/>
  <c r="M1850" i="4"/>
  <c r="M913" i="4"/>
  <c r="M14" i="4"/>
  <c r="M1637" i="4"/>
  <c r="M867" i="4"/>
  <c r="M583" i="4"/>
  <c r="M663" i="4"/>
  <c r="M532" i="4"/>
  <c r="M705" i="4"/>
  <c r="M1737" i="4"/>
  <c r="M1302" i="4"/>
  <c r="M1316" i="4"/>
  <c r="M1690" i="4"/>
  <c r="M1019" i="4"/>
  <c r="M1395" i="4"/>
  <c r="M165" i="4"/>
  <c r="M698" i="4"/>
  <c r="M725" i="4"/>
  <c r="M1305" i="4"/>
  <c r="M1150" i="4"/>
  <c r="M593" i="4"/>
  <c r="M832" i="4"/>
  <c r="M1534" i="4"/>
  <c r="M235" i="4"/>
  <c r="M526" i="4"/>
  <c r="M1927" i="4"/>
  <c r="M1278" i="4"/>
  <c r="M1147" i="4"/>
  <c r="M1165" i="4"/>
  <c r="M253" i="4"/>
  <c r="M225" i="4"/>
  <c r="M203" i="4"/>
  <c r="M398" i="4"/>
  <c r="M1250" i="4"/>
  <c r="M1884" i="4"/>
  <c r="M632" i="4"/>
  <c r="M786" i="4"/>
  <c r="M898" i="4"/>
  <c r="M1459" i="4"/>
  <c r="M1806" i="4"/>
  <c r="M1888" i="4"/>
  <c r="M966" i="4"/>
  <c r="M151" i="4"/>
  <c r="M646" i="4"/>
  <c r="M1606" i="4"/>
  <c r="M707" i="4"/>
  <c r="M858" i="4"/>
  <c r="M72" i="4"/>
  <c r="M11" i="4"/>
  <c r="M2" i="4"/>
  <c r="M1186" i="4"/>
  <c r="M1106" i="4"/>
  <c r="M418" i="4"/>
  <c r="M925" i="4"/>
  <c r="M227" i="4"/>
  <c r="M1291" i="4"/>
  <c r="M1358" i="4"/>
  <c r="M852" i="4"/>
  <c r="M1585" i="4"/>
  <c r="M700" i="4"/>
  <c r="M840" i="4"/>
  <c r="M1022" i="4"/>
  <c r="M26" i="4"/>
  <c r="M1443" i="4"/>
  <c r="M1441" i="4"/>
  <c r="M1999" i="4"/>
  <c r="M179" i="4"/>
  <c r="M1876" i="4"/>
  <c r="M626" i="4"/>
  <c r="M436" i="4"/>
  <c r="M500" i="4"/>
  <c r="M115" i="4"/>
  <c r="M1059" i="4"/>
  <c r="M1419" i="4"/>
  <c r="M754" i="4"/>
  <c r="M1261" i="4"/>
  <c r="M793" i="4"/>
  <c r="M1137" i="4"/>
  <c r="M1733" i="4"/>
  <c r="M1447" i="4"/>
  <c r="M726" i="4"/>
  <c r="M17" i="4"/>
  <c r="M1342" i="4"/>
  <c r="M1030" i="4"/>
  <c r="M715" i="4"/>
  <c r="M985" i="4"/>
  <c r="M1710" i="4"/>
  <c r="M1515" i="4"/>
  <c r="M1414" i="4"/>
  <c r="M1622" i="4"/>
  <c r="M1681" i="4"/>
  <c r="M780" i="4"/>
  <c r="M1787" i="4"/>
  <c r="M1753" i="4"/>
  <c r="M1213" i="4"/>
  <c r="M1953" i="4"/>
  <c r="M539" i="4"/>
  <c r="M1489" i="4"/>
  <c r="M1288" i="4"/>
  <c r="M1420" i="4"/>
  <c r="M191" i="4"/>
  <c r="M1067" i="4"/>
  <c r="M102" i="4"/>
  <c r="M1071" i="4"/>
  <c r="M787" i="4"/>
  <c r="M187" i="4"/>
  <c r="M730" i="4"/>
  <c r="M893" i="4"/>
  <c r="M214" i="4"/>
  <c r="M960" i="4"/>
  <c r="M1965" i="4"/>
  <c r="M1375" i="4"/>
  <c r="M1500" i="4"/>
  <c r="M66" i="4"/>
  <c r="M731" i="4"/>
  <c r="M1898" i="4"/>
  <c r="M662" i="4"/>
  <c r="M1111" i="4"/>
  <c r="M682" i="4"/>
  <c r="M421" i="4"/>
  <c r="M1692" i="4"/>
  <c r="M639" i="4"/>
  <c r="M1885" i="4"/>
  <c r="M312" i="4"/>
  <c r="M1754" i="4"/>
  <c r="M1422" i="4"/>
  <c r="M326" i="4"/>
  <c r="M1778" i="4"/>
  <c r="M1592" i="4"/>
  <c r="M237" i="4"/>
  <c r="M664" i="4"/>
  <c r="M758" i="4"/>
  <c r="M1946" i="4"/>
  <c r="M1160" i="4"/>
  <c r="M525" i="4"/>
  <c r="M1046" i="4"/>
  <c r="M774" i="4"/>
  <c r="M1069" i="4"/>
  <c r="M1311" i="4"/>
  <c r="M1748" i="4"/>
  <c r="M782" i="4"/>
  <c r="M1811" i="4"/>
  <c r="M1809" i="4"/>
  <c r="M778" i="4"/>
  <c r="M829" i="4"/>
  <c r="M1357" i="4"/>
  <c r="M100" i="4"/>
  <c r="M27" i="4"/>
  <c r="M53" i="4"/>
  <c r="M1874" i="4"/>
  <c r="M1886" i="4"/>
  <c r="M1076" i="4"/>
  <c r="M696" i="4"/>
  <c r="M1656" i="4"/>
  <c r="M1214" i="4"/>
  <c r="M1473" i="4"/>
  <c r="M765" i="4"/>
  <c r="M482" i="4"/>
  <c r="M768" i="4"/>
  <c r="M910" i="4"/>
  <c r="M656" i="4"/>
  <c r="M957" i="4"/>
  <c r="M255" i="4"/>
  <c r="M1145" i="4"/>
  <c r="M1660" i="4"/>
  <c r="M729" i="4"/>
  <c r="M277" i="4"/>
  <c r="M241" i="4"/>
  <c r="M752" i="4"/>
  <c r="M1517" i="4"/>
  <c r="M926" i="4"/>
  <c r="M1410" i="4"/>
  <c r="M1336" i="4"/>
  <c r="M703" i="4"/>
  <c r="M1232" i="4"/>
  <c r="M1183" i="4"/>
  <c r="M453" i="4"/>
  <c r="M554" i="4"/>
  <c r="M647" i="4"/>
  <c r="M1369" i="4"/>
  <c r="M863" i="4"/>
  <c r="M1803" i="4"/>
  <c r="M478" i="4"/>
  <c r="M605" i="4"/>
  <c r="M1507" i="4"/>
  <c r="M1080" i="4"/>
  <c r="M1444" i="4"/>
  <c r="M95" i="4"/>
  <c r="M1631" i="4"/>
  <c r="M1998" i="4"/>
  <c r="M1676" i="4"/>
  <c r="M97" i="4"/>
  <c r="M251" i="4"/>
  <c r="M1785" i="4"/>
  <c r="M1194" i="4"/>
  <c r="M1937" i="4"/>
  <c r="M1821" i="4"/>
  <c r="M468" i="4"/>
  <c r="M1029" i="4"/>
  <c r="M1201" i="4"/>
  <c r="M1794" i="4"/>
  <c r="M1723" i="4"/>
  <c r="M1552" i="4"/>
  <c r="M301" i="4"/>
  <c r="M401" i="4"/>
  <c r="M1372" i="4"/>
  <c r="M741" i="4"/>
  <c r="M244" i="4"/>
  <c r="M433" i="4"/>
  <c r="M1640" i="4"/>
  <c r="M941" i="4"/>
  <c r="M109" i="4"/>
  <c r="M1337" i="4"/>
  <c r="M946" i="4"/>
  <c r="M132" i="4"/>
  <c r="M1130" i="4"/>
  <c r="M794" i="4"/>
  <c r="M1842" i="4"/>
  <c r="M1133" i="4"/>
  <c r="M795" i="4"/>
  <c r="M1112" i="4"/>
  <c r="M1911" i="4"/>
  <c r="M268" i="4"/>
  <c r="M1907" i="4"/>
  <c r="M1772" i="4"/>
  <c r="M22" i="4"/>
  <c r="M1567" i="4"/>
  <c r="M1322" i="4"/>
  <c r="M1574" i="4"/>
  <c r="M1392" i="4"/>
  <c r="M790" i="4"/>
  <c r="M1894" i="4"/>
  <c r="M1790" i="4"/>
  <c r="M1031" i="4"/>
  <c r="M1408" i="4"/>
  <c r="M718" i="4"/>
  <c r="M906" i="4"/>
  <c r="M1649" i="4"/>
  <c r="M1338" i="4"/>
  <c r="M1172" i="4"/>
  <c r="M1912" i="4"/>
  <c r="M265" i="4"/>
  <c r="M1225" i="4"/>
  <c r="M1132" i="4"/>
  <c r="M343" i="4"/>
  <c r="M1148" i="4"/>
  <c r="M180" i="4"/>
  <c r="M313" i="4"/>
  <c r="M68" i="4"/>
  <c r="M1057" i="4"/>
  <c r="M1735" i="4"/>
  <c r="M1226" i="4"/>
  <c r="M1766" i="4"/>
  <c r="M1570" i="4"/>
  <c r="M1061" i="4"/>
  <c r="M1643" i="4"/>
  <c r="M1064" i="4"/>
  <c r="M1700" i="4"/>
  <c r="M847" i="4"/>
  <c r="M587" i="4"/>
  <c r="M1262" i="4"/>
  <c r="M1041" i="4"/>
  <c r="M266" i="4"/>
  <c r="M1764" i="4"/>
  <c r="M1394" i="4"/>
  <c r="M310" i="4"/>
  <c r="M119" i="4"/>
  <c r="M556" i="4"/>
  <c r="M1938" i="4"/>
  <c r="M709" i="4"/>
  <c r="M692" i="4"/>
  <c r="M844" i="4"/>
  <c r="M35" i="4"/>
  <c r="M1155" i="4"/>
  <c r="M586" i="4"/>
  <c r="M1093" i="4"/>
  <c r="M1065" i="4"/>
  <c r="M716" i="4"/>
  <c r="M821" i="4"/>
  <c r="M1492" i="4"/>
  <c r="M1289" i="4"/>
  <c r="M1386" i="4"/>
  <c r="M1339" i="4"/>
  <c r="M542" i="4"/>
  <c r="M527" i="4"/>
  <c r="M148" i="4"/>
  <c r="M733" i="4"/>
  <c r="M496" i="4"/>
  <c r="M441" i="4"/>
  <c r="M264" i="4"/>
  <c r="M1943" i="4"/>
  <c r="M737" i="4"/>
  <c r="M591" i="4"/>
  <c r="M1729" i="4"/>
  <c r="M1161" i="4"/>
  <c r="M1755" i="4"/>
  <c r="M574" i="4"/>
  <c r="M695" i="4"/>
  <c r="M25" i="4"/>
  <c r="M860" i="4"/>
  <c r="M814" i="4"/>
  <c r="M1731" i="4"/>
  <c r="M410" i="4"/>
  <c r="M489" i="4"/>
  <c r="M645" i="4"/>
  <c r="M948" i="4"/>
  <c r="M412" i="4"/>
  <c r="M1864" i="4"/>
  <c r="M1123" i="4"/>
  <c r="M469" i="4"/>
  <c r="M1007" i="4"/>
  <c r="M1251" i="4"/>
  <c r="M1242" i="4"/>
  <c r="M351" i="4"/>
  <c r="M5" i="4"/>
  <c r="M942" i="4"/>
  <c r="M613" i="4"/>
  <c r="M208" i="4"/>
  <c r="M940" i="4"/>
  <c r="M140" i="4"/>
  <c r="M1540" i="4"/>
  <c r="M684" i="4"/>
  <c r="M169" i="4"/>
  <c r="M666" i="4"/>
  <c r="M473" i="4"/>
  <c r="M811" i="4"/>
  <c r="M1347" i="4"/>
  <c r="M711" i="4"/>
  <c r="M911" i="4"/>
  <c r="M1063" i="4"/>
  <c r="M908" i="4"/>
  <c r="M1897" i="4"/>
  <c r="M1818" i="4"/>
  <c r="M820" i="4"/>
  <c r="M1855" i="4"/>
  <c r="M507" i="4"/>
  <c r="M101" i="4"/>
  <c r="M1984" i="4"/>
  <c r="M135" i="4"/>
  <c r="M853" i="4"/>
  <c r="M426" i="4"/>
  <c r="M196" i="4"/>
  <c r="M466" i="4"/>
  <c r="M566" i="4"/>
  <c r="M1323" i="4"/>
  <c r="M693" i="4"/>
  <c r="M131" i="4"/>
  <c r="M1935" i="4"/>
  <c r="M1837" i="4"/>
  <c r="M1616" i="4"/>
  <c r="M389" i="4"/>
  <c r="M1607" i="4"/>
  <c r="M920" i="4"/>
  <c r="M1053" i="4"/>
  <c r="M1893" i="4"/>
  <c r="M1079" i="4"/>
  <c r="M311" i="4"/>
  <c r="M1456" i="4"/>
  <c r="M1993" i="4"/>
  <c r="M246" i="4"/>
  <c r="M1202" i="4"/>
  <c r="M1090" i="4"/>
  <c r="M834" i="4"/>
  <c r="M971" i="4"/>
  <c r="M1575" i="4"/>
  <c r="M1399" i="4"/>
  <c r="M836" i="4"/>
  <c r="M1903" i="4"/>
  <c r="M296" i="4"/>
  <c r="M1910" i="4"/>
  <c r="M481" i="4"/>
  <c r="M409" i="4"/>
  <c r="M290" i="4"/>
  <c r="M1992" i="4"/>
  <c r="M1401" i="4"/>
  <c r="M1629" i="4"/>
  <c r="M406" i="4"/>
  <c r="M1005" i="4"/>
  <c r="M156" i="4"/>
  <c r="M974" i="4"/>
  <c r="M930" i="4"/>
  <c r="M391" i="4"/>
  <c r="M1340" i="4"/>
  <c r="M96" i="4"/>
  <c r="M627" i="4"/>
  <c r="M746" i="4"/>
  <c r="M680" i="4"/>
  <c r="M1234" i="4"/>
  <c r="M612" i="4"/>
  <c r="M1493" i="4"/>
  <c r="M1176" i="4"/>
  <c r="M750" i="4"/>
  <c r="M327" i="4"/>
  <c r="M210" i="4"/>
  <c r="M357" i="4"/>
  <c r="M1060" i="4"/>
  <c r="M947" i="4"/>
  <c r="M73" i="4"/>
  <c r="M1189" i="4"/>
  <c r="M905" i="4"/>
  <c r="M269" i="4"/>
  <c r="M282" i="4"/>
  <c r="M757" i="4"/>
  <c r="M837" i="4"/>
  <c r="M602" i="4"/>
  <c r="M903" i="4"/>
  <c r="M1627" i="4"/>
  <c r="M1198" i="4"/>
  <c r="M1941" i="4"/>
  <c r="M121" i="4"/>
  <c r="M446" i="4"/>
  <c r="M1205" i="4"/>
  <c r="M503" i="4"/>
  <c r="M1365" i="4"/>
  <c r="M522" i="4"/>
  <c r="M183" i="4"/>
  <c r="M803" i="4"/>
  <c r="M649" i="4"/>
  <c r="M149" i="4"/>
  <c r="M1258" i="4"/>
  <c r="M1405" i="4"/>
  <c r="M369" i="4"/>
  <c r="M869" i="4"/>
  <c r="M39" i="4"/>
  <c r="M802" i="4"/>
  <c r="M723" i="4"/>
  <c r="M714" i="4"/>
  <c r="M200" i="4"/>
  <c r="M278" i="4"/>
  <c r="M1523" i="4"/>
  <c r="M83" i="4"/>
  <c r="M30" i="4"/>
  <c r="M1582" i="4"/>
  <c r="M1377" i="4"/>
  <c r="M884" i="4"/>
  <c r="M505" i="4"/>
  <c r="M585" i="4"/>
  <c r="M581" i="4"/>
  <c r="M721" i="4"/>
  <c r="M411" i="4"/>
  <c r="M519" i="4"/>
  <c r="M328" i="4"/>
  <c r="M653" i="4"/>
  <c r="M291" i="4"/>
  <c r="M457" i="4"/>
  <c r="M447" i="4"/>
  <c r="M1880" i="4"/>
  <c r="M1932" i="4"/>
  <c r="M1050" i="4"/>
  <c r="M817" i="4"/>
  <c r="M555" i="4"/>
  <c r="M1286" i="4"/>
  <c r="M1744" i="4"/>
  <c r="M1645" i="4"/>
  <c r="M384" i="4"/>
  <c r="M1851" i="4"/>
  <c r="M1199" i="4"/>
  <c r="M1407" i="4"/>
  <c r="M1839" i="4"/>
  <c r="M1922" i="4"/>
  <c r="M322" i="4"/>
  <c r="M606" i="4"/>
  <c r="M429" i="4"/>
  <c r="M1857" i="4"/>
  <c r="M348" i="4"/>
  <c r="M8" i="4"/>
  <c r="M859" i="4"/>
  <c r="M1103" i="4"/>
  <c r="M1967" i="4"/>
  <c r="M1312" i="4"/>
  <c r="M1287" i="4"/>
  <c r="M1062" i="4"/>
  <c r="M1786" i="4"/>
  <c r="M387" i="4"/>
  <c r="M1485" i="4"/>
  <c r="M1638" i="4"/>
  <c r="M1691" i="4"/>
  <c r="M1117" i="4"/>
  <c r="M1416" i="4"/>
  <c r="M681" i="4"/>
  <c r="M471" i="4"/>
  <c r="M1543" i="4"/>
  <c r="M659" i="4"/>
  <c r="M9" i="4"/>
  <c r="M1555" i="4"/>
  <c r="M1856" i="4"/>
  <c r="M331" i="4"/>
  <c r="M130" i="4"/>
  <c r="M720" i="4"/>
  <c r="M1015" i="4"/>
  <c r="M319" i="4"/>
  <c r="M562" i="4"/>
  <c r="M816" i="4"/>
  <c r="M544" i="4"/>
  <c r="M734" i="4"/>
  <c r="M986" i="4"/>
  <c r="M1531" i="4"/>
  <c r="M1346" i="4"/>
  <c r="M1701" i="4"/>
  <c r="M1083" i="4"/>
  <c r="M1026" i="4"/>
  <c r="M1236" i="4"/>
  <c r="M766" i="4"/>
  <c r="M103" i="4"/>
  <c r="M1472" i="4"/>
  <c r="M485" i="4"/>
  <c r="M1654" i="4"/>
  <c r="M257" i="4"/>
  <c r="M823" i="4"/>
  <c r="M1295" i="4"/>
  <c r="M419" i="4"/>
  <c r="M1255" i="4"/>
  <c r="M344" i="4"/>
  <c r="M407" i="4"/>
  <c r="M1512" i="4"/>
  <c r="M1385" i="4"/>
  <c r="M1908" i="4"/>
  <c r="M458" i="4"/>
  <c r="M201" i="4"/>
  <c r="M428" i="4"/>
  <c r="M1281" i="4"/>
  <c r="M889" i="4"/>
  <c r="M19" i="4"/>
  <c r="M686" i="4"/>
  <c r="M1292" i="4"/>
  <c r="M1227" i="4"/>
  <c r="M1091" i="4"/>
  <c r="M636" i="4"/>
  <c r="M1200" i="4"/>
  <c r="M1476" i="4"/>
  <c r="M1282" i="4"/>
  <c r="M835" i="4"/>
  <c r="M660" i="4"/>
  <c r="M530" i="4"/>
  <c r="M508" i="4"/>
  <c r="M1241" i="4"/>
  <c r="M536" i="4"/>
  <c r="M40" i="4"/>
  <c r="M1264" i="4"/>
  <c r="M1745" i="4"/>
  <c r="M302" i="4"/>
  <c r="M1078" i="4"/>
  <c r="M15" i="4"/>
  <c r="M1423" i="4"/>
  <c r="M1382" i="4"/>
  <c r="M875" i="4"/>
  <c r="M1432" i="4"/>
  <c r="M1433" i="4"/>
  <c r="M1113" i="4"/>
  <c r="M1383" i="4"/>
  <c r="M806" i="4"/>
  <c r="M633" i="4"/>
  <c r="M1725" i="4"/>
  <c r="M1180" i="4"/>
  <c r="M300" i="4"/>
  <c r="M1630" i="4"/>
  <c r="M339" i="4"/>
  <c r="M402" i="4"/>
  <c r="M1458" i="4"/>
  <c r="M1508" i="4"/>
  <c r="M1122" i="4"/>
  <c r="M1986" i="4"/>
  <c r="M1271" i="4"/>
  <c r="M1939" i="4"/>
  <c r="M1968" i="4"/>
  <c r="M1765" i="4"/>
  <c r="M678" i="4"/>
  <c r="M491" i="4"/>
  <c r="M1406" i="4"/>
  <c r="M330" i="4"/>
  <c r="M1043" i="4"/>
  <c r="M967" i="4"/>
  <c r="M547" i="4"/>
  <c r="M340" i="4"/>
  <c r="M1572" i="4"/>
  <c r="M286" i="4"/>
  <c r="M388" i="4"/>
  <c r="M996" i="4"/>
  <c r="M1843" i="4"/>
  <c r="M1313" i="4"/>
  <c r="M1830" i="4"/>
  <c r="M1253" i="4"/>
  <c r="M382" i="4"/>
  <c r="M603" i="4"/>
  <c r="M1739" i="4"/>
  <c r="M1565" i="4"/>
  <c r="M1956" i="4"/>
  <c r="M371" i="4"/>
  <c r="M932" i="4"/>
  <c r="M595" i="4"/>
  <c r="M1838" i="4"/>
  <c r="M1524" i="4"/>
  <c r="M65" i="4"/>
  <c r="M396" i="4"/>
  <c r="M1536" i="4"/>
  <c r="M1479" i="4"/>
  <c r="M1098" i="4"/>
  <c r="M548" i="4"/>
  <c r="M112" i="4"/>
  <c r="M483" i="4"/>
  <c r="M637" i="4"/>
  <c r="M308" i="4"/>
  <c r="M1788" i="4"/>
  <c r="M1732" i="4"/>
  <c r="M1846" i="4"/>
  <c r="M1166" i="4"/>
  <c r="M1619" i="4"/>
  <c r="M845" i="4"/>
  <c r="M306" i="4"/>
  <c r="M1702" i="4"/>
  <c r="M993" i="4"/>
  <c r="M444" i="4"/>
  <c r="M415" i="4"/>
  <c r="M515" i="4"/>
  <c r="M592" i="4"/>
  <c r="M1388" i="4"/>
  <c r="M177" i="4"/>
  <c r="M107" i="4"/>
  <c r="M1797" i="4"/>
  <c r="M474" i="4"/>
  <c r="M459" i="4"/>
  <c r="M1560" i="4"/>
  <c r="M259" i="4"/>
  <c r="M1387" i="4"/>
  <c r="M1924" i="4"/>
  <c r="M708" i="4"/>
  <c r="M1351" i="4"/>
  <c r="M1428" i="4"/>
  <c r="M1389" i="4"/>
  <c r="M258" i="4"/>
  <c r="M677" i="4"/>
  <c r="M1270" i="4"/>
  <c r="M690" i="4"/>
  <c r="M1084" i="4"/>
  <c r="M1746" i="4"/>
  <c r="M1118" i="4"/>
  <c r="M1309" i="4"/>
  <c r="M1514" i="4"/>
  <c r="M596" i="4"/>
  <c r="M747" i="4"/>
  <c r="M1978" i="4"/>
  <c r="M878" i="4"/>
  <c r="M1275" i="4"/>
  <c r="M1003" i="4"/>
  <c r="M838" i="4"/>
  <c r="M1958" i="4"/>
  <c r="M771" i="4"/>
  <c r="M953" i="4"/>
  <c r="M1215" i="4"/>
  <c r="M648" i="4"/>
  <c r="M1266" i="4"/>
  <c r="M1933" i="4"/>
  <c r="M1101" i="4"/>
  <c r="M597" i="4"/>
  <c r="M1010" i="4"/>
  <c r="M380" i="4"/>
  <c r="M1694" i="4"/>
  <c r="M1135" i="4"/>
  <c r="M868" i="4"/>
  <c r="M1466" i="4"/>
  <c r="M984" i="4"/>
  <c r="M270" i="4"/>
  <c r="M1001" i="4"/>
  <c r="M788" i="4"/>
  <c r="M785" i="4"/>
  <c r="M1044" i="4"/>
  <c r="M122" i="4"/>
  <c r="M650" i="4"/>
  <c r="M341" i="4"/>
  <c r="M762" i="4"/>
  <c r="M29" i="4"/>
  <c r="M577" i="4"/>
  <c r="M1096" i="4"/>
  <c r="M1154" i="4"/>
  <c r="M443" i="4"/>
  <c r="M1915" i="4"/>
  <c r="M710" i="4"/>
  <c r="M873" i="4"/>
  <c r="M1397" i="4"/>
  <c r="M1593" i="4"/>
  <c r="M501" i="4"/>
  <c r="M748" i="4"/>
  <c r="M41" i="4"/>
  <c r="M375" i="4"/>
  <c r="M1557" i="4"/>
  <c r="M1819" i="4"/>
  <c r="M295" i="4"/>
  <c r="M919" i="4"/>
  <c r="M1662" i="4"/>
  <c r="M609" i="4"/>
  <c r="M1187" i="4"/>
  <c r="M1925" i="4"/>
  <c r="M58" i="4"/>
  <c r="M1951" i="4"/>
  <c r="M1672" i="4"/>
  <c r="M890" i="4"/>
  <c r="M487" i="4"/>
  <c r="M1609" i="4"/>
  <c r="M1865" i="4"/>
  <c r="M464" i="4"/>
  <c r="M1973" i="4"/>
  <c r="M864" i="4"/>
  <c r="M2000" i="4"/>
  <c r="M1107" i="4"/>
  <c r="M1467" i="4"/>
  <c r="M1721" i="4"/>
  <c r="M541" i="4"/>
  <c r="M1276" i="4"/>
  <c r="M1243" i="4"/>
  <c r="M1651" i="4"/>
  <c r="M1343" i="4"/>
  <c r="M952" i="4"/>
  <c r="M129" i="4"/>
  <c r="M1686" i="4"/>
  <c r="M565" i="4"/>
  <c r="M3" i="4"/>
  <c r="M1149" i="4"/>
  <c r="M1588" i="4"/>
  <c r="M1608" i="4"/>
  <c r="M99" i="4"/>
  <c r="M279" i="4"/>
  <c r="M1174" i="4"/>
  <c r="M486" i="4"/>
  <c r="M933" i="4"/>
  <c r="M1484" i="4"/>
  <c r="M1099" i="4"/>
  <c r="M1982" i="4"/>
  <c r="M363" i="4"/>
  <c r="M1587" i="4"/>
  <c r="M1576" i="4"/>
  <c r="M1124" i="4"/>
  <c r="M355" i="4"/>
  <c r="M1525" i="4"/>
  <c r="M356" i="4"/>
  <c r="M1808" i="4"/>
  <c r="M366" i="4"/>
  <c r="M1463" i="4"/>
  <c r="M1549" i="4"/>
  <c r="M701" i="4"/>
  <c r="M34" i="4"/>
  <c r="M1028" i="4"/>
  <c r="M211" i="4"/>
  <c r="M1944" i="4"/>
  <c r="M432" i="4"/>
  <c r="M1646" i="4"/>
  <c r="M1551" i="4"/>
  <c r="M951" i="4"/>
  <c r="M552" i="4"/>
  <c r="M1583" i="4"/>
  <c r="M736" i="4"/>
  <c r="M1142" i="4"/>
  <c r="M256" i="4"/>
  <c r="M1769" i="4"/>
  <c r="M188" i="4"/>
  <c r="M143" i="4"/>
  <c r="M1960" i="4"/>
  <c r="M1048" i="4"/>
  <c r="M796" i="4"/>
  <c r="M1170" i="4"/>
  <c r="M1000" i="4"/>
  <c r="M43" i="4"/>
  <c r="M1436" i="4"/>
  <c r="M190" i="4"/>
  <c r="M1782" i="4"/>
  <c r="M1971" i="4"/>
  <c r="M1553" i="4"/>
  <c r="M582" i="4"/>
  <c r="M689" i="4"/>
  <c r="M1595" i="4"/>
  <c r="M724" i="4"/>
  <c r="M1437" i="4"/>
  <c r="M1306" i="4"/>
  <c r="M843" i="4"/>
  <c r="M1088" i="4"/>
  <c r="M1374" i="4"/>
  <c r="M1042" i="4"/>
  <c r="M904" i="4"/>
  <c r="M1542" i="4"/>
  <c r="M1126" i="4"/>
  <c r="M886" i="4"/>
  <c r="M1293" i="4"/>
  <c r="M1121" i="4"/>
  <c r="M1859" i="4"/>
  <c r="M1807" i="4"/>
  <c r="M540" i="4"/>
  <c r="M1591" i="4"/>
  <c r="M1024" i="4"/>
  <c r="M523" i="4"/>
  <c r="M1138" i="4"/>
  <c r="M114" i="4"/>
  <c r="M1300" i="4"/>
  <c r="M1945" i="4"/>
  <c r="M199" i="4"/>
  <c r="M535" i="4"/>
  <c r="M872" i="4"/>
  <c r="M347" i="4"/>
  <c r="M1918" i="4"/>
  <c r="M1274" i="4"/>
  <c r="M353" i="4"/>
  <c r="M424" i="4"/>
  <c r="M298" i="4"/>
  <c r="M1666" i="4"/>
  <c r="M1906" i="4"/>
  <c r="M589" i="4"/>
  <c r="M1263" i="4"/>
  <c r="M543" i="4"/>
  <c r="M1072" i="4"/>
  <c r="M1259" i="4"/>
  <c r="M1006" i="4"/>
  <c r="M956" i="4"/>
  <c r="M727" i="4"/>
  <c r="M1469" i="4"/>
  <c r="M1832" i="4"/>
  <c r="M79" i="4"/>
  <c r="M139" i="4"/>
  <c r="M1252" i="4"/>
  <c r="M1767" i="4"/>
  <c r="M615" i="4"/>
  <c r="M980" i="4"/>
  <c r="M1273" i="4"/>
  <c r="M917" i="4"/>
  <c r="M1454" i="4"/>
  <c r="M431" i="4"/>
  <c r="M1068" i="4"/>
  <c r="M55" i="4"/>
  <c r="M1697" i="4"/>
  <c r="M1008" i="4"/>
  <c r="M1477" i="4"/>
  <c r="M851" i="4"/>
  <c r="M1011" i="4"/>
  <c r="M1400" i="4"/>
  <c r="M1073" i="4"/>
  <c r="M1480" i="4"/>
  <c r="M943" i="4"/>
  <c r="M569" i="4"/>
  <c r="M1040" i="4"/>
  <c r="M1373" i="4"/>
  <c r="M1909" i="4"/>
  <c r="M732" i="4"/>
  <c r="M912" i="4"/>
  <c r="M1546" i="4"/>
  <c r="M824" i="4"/>
  <c r="M1129" i="4"/>
  <c r="M1711" i="4"/>
  <c r="M616" i="4"/>
  <c r="M1211" i="4"/>
  <c r="M62" i="4"/>
  <c r="M949" i="4"/>
  <c r="M1518" i="4"/>
  <c r="M1990" i="4"/>
  <c r="M822" i="4"/>
  <c r="K1169" i="4"/>
  <c r="K910" i="4"/>
  <c r="K1524" i="4"/>
  <c r="K228" i="4"/>
  <c r="J1196" i="4"/>
  <c r="J1681" i="4"/>
  <c r="I1071" i="4"/>
  <c r="I1659" i="4"/>
  <c r="I520" i="4"/>
  <c r="H890" i="4"/>
  <c r="H160" i="4"/>
  <c r="H1379" i="4"/>
  <c r="H1937" i="4"/>
  <c r="H1564" i="4"/>
  <c r="F2" i="1"/>
  <c r="E52" i="12"/>
  <c r="D52" i="12"/>
  <c r="E55" i="12"/>
  <c r="E56" i="12"/>
  <c r="E54" i="12"/>
  <c r="E60" i="12"/>
  <c r="E53" i="12"/>
  <c r="D56" i="12"/>
  <c r="E59" i="12"/>
  <c r="D51" i="12"/>
  <c r="D58" i="12"/>
  <c r="D50" i="12"/>
  <c r="D57" i="12"/>
  <c r="D49" i="12"/>
  <c r="D54" i="12"/>
  <c r="D53" i="12"/>
  <c r="D59" i="12"/>
  <c r="E51" i="12"/>
  <c r="E58" i="12"/>
  <c r="E50" i="12"/>
  <c r="E57" i="12"/>
  <c r="E49" i="12"/>
  <c r="D55" i="12"/>
  <c r="D60" i="12"/>
  <c r="D22" i="2"/>
  <c r="D13" i="2"/>
  <c r="D57" i="2"/>
</calcChain>
</file>

<file path=xl/sharedStrings.xml><?xml version="1.0" encoding="utf-8"?>
<sst xmlns="http://schemas.openxmlformats.org/spreadsheetml/2006/main" count="13034" uniqueCount="2890">
  <si>
    <t>Customer_ID</t>
  </si>
  <si>
    <t>Age</t>
  </si>
  <si>
    <t>Gender</t>
  </si>
  <si>
    <t>City</t>
  </si>
  <si>
    <t>State</t>
  </si>
  <si>
    <t>Country</t>
  </si>
  <si>
    <t>Loyalty_Level</t>
  </si>
  <si>
    <t>CUST1000</t>
  </si>
  <si>
    <t>Male</t>
  </si>
  <si>
    <t>North Carolina</t>
  </si>
  <si>
    <t>USA</t>
  </si>
  <si>
    <t>Gold</t>
  </si>
  <si>
    <t>CUST1001</t>
  </si>
  <si>
    <t>Female</t>
  </si>
  <si>
    <t>North Dakota</t>
  </si>
  <si>
    <t>Platinum</t>
  </si>
  <si>
    <t>CUST1002</t>
  </si>
  <si>
    <t>Alabama</t>
  </si>
  <si>
    <t>CUST1003</t>
  </si>
  <si>
    <t>Ohio</t>
  </si>
  <si>
    <t>Bronze</t>
  </si>
  <si>
    <t>CUST1004</t>
  </si>
  <si>
    <t>California</t>
  </si>
  <si>
    <t>Silver</t>
  </si>
  <si>
    <t>CUST1005</t>
  </si>
  <si>
    <t>Oregon</t>
  </si>
  <si>
    <t>CUST1006</t>
  </si>
  <si>
    <t>South Dakota</t>
  </si>
  <si>
    <t>CUST1007</t>
  </si>
  <si>
    <t>West Virginia</t>
  </si>
  <si>
    <t>CUST1008</t>
  </si>
  <si>
    <t>New Hampshire</t>
  </si>
  <si>
    <t>CUST1009</t>
  </si>
  <si>
    <t>Pennsylvania</t>
  </si>
  <si>
    <t>CUST1010</t>
  </si>
  <si>
    <t>CUST1011</t>
  </si>
  <si>
    <t>New York</t>
  </si>
  <si>
    <t>CUST1012</t>
  </si>
  <si>
    <t>Kansas</t>
  </si>
  <si>
    <t>CUST1013</t>
  </si>
  <si>
    <t>Montana</t>
  </si>
  <si>
    <t>CUST1014</t>
  </si>
  <si>
    <t>Nebraska</t>
  </si>
  <si>
    <t>CUST1015</t>
  </si>
  <si>
    <t>Washington</t>
  </si>
  <si>
    <t>CUST1016</t>
  </si>
  <si>
    <t>CUST1017</t>
  </si>
  <si>
    <t>Georgia</t>
  </si>
  <si>
    <t>CUST1018</t>
  </si>
  <si>
    <t>CUST1019</t>
  </si>
  <si>
    <t>New Jersey</t>
  </si>
  <si>
    <t>CUST1020</t>
  </si>
  <si>
    <t>Delaware</t>
  </si>
  <si>
    <t>CUST1021</t>
  </si>
  <si>
    <t>Oklahoma</t>
  </si>
  <si>
    <t>CUST1022</t>
  </si>
  <si>
    <t>Hawaii</t>
  </si>
  <si>
    <t>CUST1023</t>
  </si>
  <si>
    <t>CUST1024</t>
  </si>
  <si>
    <t>Idaho</t>
  </si>
  <si>
    <t>CUST1025</t>
  </si>
  <si>
    <t>CUST1026</t>
  </si>
  <si>
    <t>Missouri</t>
  </si>
  <si>
    <t>CUST1027</t>
  </si>
  <si>
    <t>Utah</t>
  </si>
  <si>
    <t>CUST1028</t>
  </si>
  <si>
    <t>CUST1029</t>
  </si>
  <si>
    <t>CUST1030</t>
  </si>
  <si>
    <t>CUST1031</t>
  </si>
  <si>
    <t>Johnsonville</t>
  </si>
  <si>
    <t>CUST1032</t>
  </si>
  <si>
    <t>Arizona</t>
  </si>
  <si>
    <t>CUST1033</t>
  </si>
  <si>
    <t>CUST1034</t>
  </si>
  <si>
    <t>Maryland</t>
  </si>
  <si>
    <t>CUST1035</t>
  </si>
  <si>
    <t>CUST1036</t>
  </si>
  <si>
    <t>CUST1037</t>
  </si>
  <si>
    <t>CUST1038</t>
  </si>
  <si>
    <t>CUST1039</t>
  </si>
  <si>
    <t>Michigan</t>
  </si>
  <si>
    <t>CUST1040</t>
  </si>
  <si>
    <t>CUST1041</t>
  </si>
  <si>
    <t>Alaska</t>
  </si>
  <si>
    <t>CUST1042</t>
  </si>
  <si>
    <t>Connecticut</t>
  </si>
  <si>
    <t>CUST1043</t>
  </si>
  <si>
    <t>Vermont</t>
  </si>
  <si>
    <t>CUST1044</t>
  </si>
  <si>
    <t>CUST1045</t>
  </si>
  <si>
    <t>CUST1046</t>
  </si>
  <si>
    <t>CUST1047</t>
  </si>
  <si>
    <t>Nevada</t>
  </si>
  <si>
    <t>CUST1048</t>
  </si>
  <si>
    <t>CUST1049</t>
  </si>
  <si>
    <t>CUST1050</t>
  </si>
  <si>
    <t>Illinois</t>
  </si>
  <si>
    <t>CUST1051</t>
  </si>
  <si>
    <t>CUST1052</t>
  </si>
  <si>
    <t>Minnesota</t>
  </si>
  <si>
    <t>CUST1053</t>
  </si>
  <si>
    <t>CUST1054</t>
  </si>
  <si>
    <t>Christopherland</t>
  </si>
  <si>
    <t>CUST1055</t>
  </si>
  <si>
    <t>CUST1056</t>
  </si>
  <si>
    <t>CUST1057</t>
  </si>
  <si>
    <t>Rhode Island</t>
  </si>
  <si>
    <t>CUST1058</t>
  </si>
  <si>
    <t>CUST1059</t>
  </si>
  <si>
    <t>CUST1060</t>
  </si>
  <si>
    <t>CUST1061</t>
  </si>
  <si>
    <t>CUST1062</t>
  </si>
  <si>
    <t>New Mexico</t>
  </si>
  <si>
    <t>CUST1063</t>
  </si>
  <si>
    <t>Tennessee</t>
  </si>
  <si>
    <t>CUST1064</t>
  </si>
  <si>
    <t>CUST1065</t>
  </si>
  <si>
    <t>CUST1066</t>
  </si>
  <si>
    <t>CUST1067</t>
  </si>
  <si>
    <t>Florida</t>
  </si>
  <si>
    <t>CUST1068</t>
  </si>
  <si>
    <t>Indiana</t>
  </si>
  <si>
    <t>CUST1069</t>
  </si>
  <si>
    <t>CUST1070</t>
  </si>
  <si>
    <t>CUST1071</t>
  </si>
  <si>
    <t>CUST1072</t>
  </si>
  <si>
    <t>Iowa</t>
  </si>
  <si>
    <t>CUST1073</t>
  </si>
  <si>
    <t>CUST1074</t>
  </si>
  <si>
    <t>Colorado</t>
  </si>
  <si>
    <t>CUST1075</t>
  </si>
  <si>
    <t>CUST1076</t>
  </si>
  <si>
    <t>CUST1077</t>
  </si>
  <si>
    <t>CUST1078</t>
  </si>
  <si>
    <t>Virginia</t>
  </si>
  <si>
    <t>CUST1079</t>
  </si>
  <si>
    <t>Arkansas</t>
  </si>
  <si>
    <t>CUST1080</t>
  </si>
  <si>
    <t>CUST1081</t>
  </si>
  <si>
    <t>CUST1082</t>
  </si>
  <si>
    <t>CUST1083</t>
  </si>
  <si>
    <t>CUST1084</t>
  </si>
  <si>
    <t>CUST1085</t>
  </si>
  <si>
    <t>CUST1086</t>
  </si>
  <si>
    <t>Mississippi</t>
  </si>
  <si>
    <t>CUST1087</t>
  </si>
  <si>
    <t>South Carolina</t>
  </si>
  <si>
    <t>CUST1088</t>
  </si>
  <si>
    <t>CUST1089</t>
  </si>
  <si>
    <t>Wisconsin</t>
  </si>
  <si>
    <t>CUST1090</t>
  </si>
  <si>
    <t>Louisiana</t>
  </si>
  <si>
    <t>CUST1091</t>
  </si>
  <si>
    <t>CUST1092</t>
  </si>
  <si>
    <t>CUST1093</t>
  </si>
  <si>
    <t>CUST1094</t>
  </si>
  <si>
    <t>CUST1095</t>
  </si>
  <si>
    <t>CUST1096</t>
  </si>
  <si>
    <t>CUST1097</t>
  </si>
  <si>
    <t>CUST1098</t>
  </si>
  <si>
    <t>CUST1099</t>
  </si>
  <si>
    <t>CUST1100</t>
  </si>
  <si>
    <t>Texas</t>
  </si>
  <si>
    <t>CUST1101</t>
  </si>
  <si>
    <t>CUST1102</t>
  </si>
  <si>
    <t>CUST1103</t>
  </si>
  <si>
    <t>CUST1104</t>
  </si>
  <si>
    <t>CUST1105</t>
  </si>
  <si>
    <t>CUST1106</t>
  </si>
  <si>
    <t>CUST1107</t>
  </si>
  <si>
    <t>CUST1108</t>
  </si>
  <si>
    <t>CUST1109</t>
  </si>
  <si>
    <t>CUST1110</t>
  </si>
  <si>
    <t>CUST1111</t>
  </si>
  <si>
    <t>CUST1112</t>
  </si>
  <si>
    <t>Lake Michael</t>
  </si>
  <si>
    <t>CUST1113</t>
  </si>
  <si>
    <t>CUST1114</t>
  </si>
  <si>
    <t>CUST1115</t>
  </si>
  <si>
    <t>CUST1116</t>
  </si>
  <si>
    <t>CUST1117</t>
  </si>
  <si>
    <t>CUST1118</t>
  </si>
  <si>
    <t>CUST1119</t>
  </si>
  <si>
    <t>CUST1120</t>
  </si>
  <si>
    <t>CUST1121</t>
  </si>
  <si>
    <t>CUST1122</t>
  </si>
  <si>
    <t>CUST1123</t>
  </si>
  <si>
    <t>CUST1124</t>
  </si>
  <si>
    <t>CUST1125</t>
  </si>
  <si>
    <t>Maine</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</si>
  <si>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</si>
  <si>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</si>
  <si>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</si>
  <si>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</si>
  <si>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</si>
  <si>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</si>
  <si>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</si>
  <si>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</si>
  <si>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</si>
  <si>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</si>
  <si>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</si>
  <si>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</si>
  <si>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</si>
  <si>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</si>
  <si>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</si>
  <si>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</si>
  <si>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</si>
  <si>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</si>
  <si>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</si>
  <si>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</si>
  <si>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</si>
  <si>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</si>
  <si>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</si>
  <si>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</si>
  <si>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</si>
  <si>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</si>
  <si>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</si>
  <si>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</si>
  <si>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</si>
  <si>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</si>
  <si>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</si>
  <si>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</si>
  <si>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</si>
  <si>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</si>
  <si>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</si>
  <si>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</si>
  <si>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</si>
  <si>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</si>
  <si>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</si>
  <si>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</si>
  <si>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</si>
  <si>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</si>
  <si>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</si>
  <si>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</si>
  <si>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</si>
  <si>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</si>
  <si>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</si>
  <si>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</si>
  <si>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</si>
  <si>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</si>
  <si>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</si>
  <si>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</si>
  <si>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Kentucky</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</si>
  <si>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</si>
  <si>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</si>
  <si>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</si>
  <si>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</si>
  <si>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</si>
  <si>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</si>
  <si>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</si>
  <si>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</si>
  <si>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</si>
  <si>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</si>
  <si>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</si>
  <si>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</si>
  <si>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</si>
  <si>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</si>
  <si>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</si>
  <si>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</si>
  <si>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</si>
  <si>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</si>
  <si>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</si>
  <si>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</si>
  <si>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</si>
  <si>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</si>
  <si>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</si>
  <si>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</si>
  <si>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</si>
  <si>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</si>
  <si>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</si>
  <si>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</si>
  <si>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</si>
  <si>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</si>
  <si>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</si>
  <si>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</si>
  <si>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</si>
  <si>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</si>
  <si>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</si>
  <si>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</si>
  <si>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</si>
  <si>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</si>
  <si>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</si>
  <si>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</si>
  <si>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</si>
  <si>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</si>
  <si>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</si>
  <si>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Massachusetts</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</si>
  <si>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</si>
  <si>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</si>
  <si>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</si>
  <si>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</si>
  <si>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</si>
  <si>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</si>
  <si>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</si>
  <si>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</si>
  <si>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</si>
  <si>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</si>
  <si>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</si>
  <si>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</si>
  <si>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</si>
  <si>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</si>
  <si>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</si>
  <si>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</si>
  <si>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</si>
  <si>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</si>
  <si>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</si>
  <si>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</si>
  <si>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</si>
  <si>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</si>
  <si>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</si>
  <si>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</si>
  <si>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</si>
  <si>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</si>
  <si>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</si>
  <si>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</si>
  <si>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</si>
  <si>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</si>
  <si>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</si>
  <si>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</si>
  <si>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</si>
  <si>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</si>
  <si>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</si>
  <si>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</si>
  <si>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</si>
  <si>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</si>
  <si>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</si>
  <si>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</si>
  <si>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</si>
  <si>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</si>
  <si>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</si>
  <si>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</si>
  <si>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Wyoming</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</si>
  <si>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</si>
  <si>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</si>
  <si>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</si>
  <si>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</si>
  <si>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</si>
  <si>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</si>
  <si>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</si>
  <si>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</si>
  <si>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</si>
  <si>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</si>
  <si>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</si>
  <si>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</si>
  <si>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</si>
  <si>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</si>
  <si>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</si>
  <si>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</si>
  <si>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</si>
  <si>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</si>
  <si>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</si>
  <si>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</si>
  <si>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</si>
  <si>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</si>
  <si>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</si>
  <si>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</si>
  <si>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</si>
  <si>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</si>
  <si>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</si>
  <si>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</si>
  <si>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</si>
  <si>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</si>
  <si>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</si>
  <si>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</si>
  <si>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</si>
  <si>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</si>
  <si>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</si>
  <si>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</si>
  <si>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</si>
  <si>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</si>
  <si>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</si>
  <si>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</si>
  <si>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</si>
  <si>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</si>
  <si>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</si>
  <si>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</si>
  <si>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</si>
  <si>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</si>
  <si>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</si>
  <si>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</si>
  <si>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</si>
  <si>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</si>
  <si>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</si>
  <si>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</si>
  <si>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</si>
  <si>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</si>
  <si>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</si>
  <si>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</si>
  <si>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</si>
  <si>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</si>
  <si>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</si>
  <si>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</si>
  <si>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</si>
  <si>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</si>
  <si>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</si>
  <si>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</si>
  <si>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</si>
  <si>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</si>
  <si>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</si>
  <si>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</si>
  <si>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</si>
  <si>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</si>
  <si>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</si>
  <si>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</si>
  <si>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</si>
  <si>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</si>
  <si>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</si>
  <si>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</si>
  <si>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</si>
  <si>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</si>
  <si>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</si>
  <si>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</si>
  <si>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</si>
  <si>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</si>
  <si>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</si>
  <si>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</si>
  <si>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</si>
  <si>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</si>
  <si>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</si>
  <si>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</si>
  <si>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</si>
  <si>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</si>
  <si>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</si>
  <si>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</si>
  <si>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</si>
  <si>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</si>
  <si>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</si>
  <si>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</si>
  <si>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</si>
  <si>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</si>
  <si>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</si>
  <si>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</si>
  <si>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</si>
  <si>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</si>
  <si>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</si>
  <si>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</si>
  <si>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</si>
  <si>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</si>
  <si>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</si>
  <si>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</si>
  <si>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</si>
  <si>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</si>
  <si>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</si>
  <si>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</si>
  <si>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</si>
  <si>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</si>
  <si>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</si>
  <si>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</si>
  <si>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</si>
  <si>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</si>
  <si>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</si>
  <si>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</si>
  <si>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</si>
  <si>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</si>
  <si>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</si>
  <si>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</si>
  <si>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</si>
  <si>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</si>
  <si>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</si>
  <si>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</si>
  <si>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</si>
  <si>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</si>
  <si>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</si>
  <si>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</si>
  <si>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</si>
  <si>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</si>
  <si>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</si>
  <si>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</si>
  <si>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</si>
  <si>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</si>
  <si>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</si>
  <si>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</si>
  <si>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</si>
  <si>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</si>
  <si>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</si>
  <si>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</si>
  <si>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</si>
  <si>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</si>
  <si>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</si>
  <si>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</si>
  <si>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</si>
  <si>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</si>
  <si>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</si>
  <si>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</si>
  <si>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</si>
  <si>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</si>
  <si>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</si>
  <si>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</si>
  <si>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</si>
  <si>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</si>
  <si>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</si>
  <si>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</si>
  <si>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</si>
  <si>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</si>
  <si>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</si>
  <si>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</si>
  <si>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</si>
  <si>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</si>
  <si>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</si>
  <si>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</si>
  <si>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</si>
  <si>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</si>
  <si>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</si>
  <si>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</si>
  <si>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</si>
  <si>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</si>
  <si>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</si>
  <si>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</si>
  <si>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</si>
  <si>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</si>
  <si>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</si>
  <si>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</si>
  <si>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</si>
  <si>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</si>
  <si>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</si>
  <si>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</si>
  <si>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</si>
  <si>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</si>
  <si>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</si>
  <si>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</si>
  <si>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</si>
  <si>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</si>
  <si>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</si>
  <si>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</si>
  <si>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</si>
  <si>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</si>
  <si>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</si>
  <si>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</si>
  <si>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</si>
  <si>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</si>
  <si>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</si>
  <si>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</si>
  <si>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</si>
  <si>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</si>
  <si>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</si>
  <si>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</si>
  <si>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</si>
  <si>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</si>
  <si>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</si>
  <si>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</si>
  <si>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</si>
  <si>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</si>
  <si>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</si>
  <si>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</si>
  <si>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</si>
  <si>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</si>
  <si>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</si>
  <si>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</si>
  <si>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</si>
  <si>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</si>
  <si>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</si>
  <si>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</si>
  <si>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</si>
  <si>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</si>
  <si>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</si>
  <si>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</si>
  <si>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</si>
  <si>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</si>
  <si>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</si>
  <si>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</si>
  <si>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</si>
  <si>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</si>
  <si>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</si>
  <si>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</si>
  <si>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</si>
  <si>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</si>
  <si>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</si>
  <si>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Product_ID</t>
  </si>
  <si>
    <t>Category</t>
  </si>
  <si>
    <t>Brand</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</si>
  <si>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</si>
  <si>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</si>
  <si>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</si>
  <si>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</si>
  <si>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</si>
  <si>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</si>
  <si>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</si>
  <si>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</si>
  <si>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</si>
  <si>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</si>
  <si>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</si>
  <si>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</si>
  <si>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</si>
  <si>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</si>
  <si>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</si>
  <si>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</si>
  <si>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</si>
  <si>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</si>
  <si>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</si>
  <si>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</si>
  <si>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</si>
  <si>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</si>
  <si>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</si>
  <si>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</si>
  <si>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</si>
  <si>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</si>
  <si>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</si>
  <si>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</si>
  <si>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</si>
  <si>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</si>
  <si>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</si>
  <si>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</si>
  <si>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</si>
  <si>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</si>
  <si>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</si>
  <si>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</si>
  <si>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</si>
  <si>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</si>
  <si>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</si>
  <si>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</si>
  <si>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</si>
  <si>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</si>
  <si>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</si>
  <si>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</si>
  <si>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</si>
  <si>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</si>
  <si>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</si>
  <si>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</si>
  <si>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</si>
  <si>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</si>
  <si>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</si>
  <si>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</si>
  <si>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</si>
  <si>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</si>
  <si>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</si>
  <si>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</si>
  <si>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</si>
  <si>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</si>
  <si>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</si>
  <si>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</si>
  <si>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</si>
  <si>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</si>
  <si>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</si>
  <si>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</si>
  <si>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</si>
  <si>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</si>
  <si>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</si>
  <si>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</si>
  <si>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</si>
  <si>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</si>
  <si>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</si>
  <si>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</si>
  <si>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</si>
  <si>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</si>
  <si>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</si>
  <si>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</si>
  <si>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</si>
  <si>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</si>
  <si>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</si>
  <si>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</si>
  <si>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</si>
  <si>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</si>
  <si>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</si>
  <si>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</si>
  <si>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</si>
  <si>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</si>
  <si>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</si>
  <si>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</si>
  <si>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</si>
  <si>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</si>
  <si>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</si>
  <si>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</si>
  <si>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</si>
  <si>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</si>
  <si>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</si>
  <si>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</si>
  <si>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</si>
  <si>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</si>
  <si>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</si>
  <si>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</si>
  <si>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</si>
  <si>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</si>
  <si>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</si>
  <si>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</si>
  <si>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</si>
  <si>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</si>
  <si>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</si>
  <si>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</si>
  <si>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</si>
  <si>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</si>
  <si>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</si>
  <si>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</si>
  <si>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</si>
  <si>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</si>
  <si>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</si>
  <si>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</si>
  <si>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</si>
  <si>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</si>
  <si>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</si>
  <si>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</si>
  <si>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</si>
  <si>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</si>
  <si>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</si>
  <si>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</si>
  <si>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</si>
  <si>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</si>
  <si>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</si>
  <si>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</si>
  <si>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</si>
  <si>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</si>
  <si>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</si>
  <si>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</si>
  <si>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</si>
  <si>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</si>
  <si>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</si>
  <si>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</si>
  <si>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</si>
  <si>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</si>
  <si>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</si>
  <si>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</si>
  <si>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</si>
  <si>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</si>
  <si>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</si>
  <si>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</si>
  <si>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</si>
  <si>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</si>
  <si>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</si>
  <si>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</si>
  <si>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</si>
  <si>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</si>
  <si>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</si>
  <si>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</si>
  <si>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</si>
  <si>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</si>
  <si>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</si>
  <si>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</si>
  <si>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</si>
  <si>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</si>
  <si>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</si>
  <si>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</si>
  <si>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</si>
  <si>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</si>
  <si>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</si>
  <si>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</si>
  <si>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</si>
  <si>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</si>
  <si>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</si>
  <si>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</si>
  <si>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</si>
  <si>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</si>
  <si>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</si>
  <si>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</si>
  <si>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</si>
  <si>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</si>
  <si>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</si>
  <si>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</si>
  <si>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</si>
  <si>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</si>
  <si>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</si>
  <si>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</si>
  <si>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</si>
  <si>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</si>
  <si>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</si>
  <si>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</si>
  <si>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</si>
  <si>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</si>
  <si>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</si>
  <si>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</si>
  <si>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</si>
  <si>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</si>
  <si>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</si>
  <si>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</si>
  <si>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</si>
  <si>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</si>
  <si>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</si>
  <si>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</si>
  <si>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</si>
  <si>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</si>
  <si>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</si>
  <si>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</si>
  <si>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</si>
  <si>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</si>
  <si>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</si>
  <si>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</si>
  <si>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</si>
  <si>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</si>
  <si>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</si>
  <si>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</si>
  <si>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</si>
  <si>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</si>
  <si>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</si>
  <si>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</si>
  <si>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</si>
  <si>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</si>
  <si>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</si>
  <si>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</si>
  <si>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</si>
  <si>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</si>
  <si>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</si>
  <si>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</si>
  <si>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</si>
  <si>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</si>
  <si>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</si>
  <si>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</si>
  <si>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</si>
  <si>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</si>
  <si>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</si>
  <si>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</si>
  <si>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</si>
  <si>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</si>
  <si>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</si>
  <si>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</si>
  <si>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</si>
  <si>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</si>
  <si>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</si>
  <si>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</si>
  <si>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</si>
  <si>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</si>
  <si>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</si>
  <si>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</si>
  <si>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</si>
  <si>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</si>
  <si>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</si>
  <si>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</si>
  <si>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</si>
  <si>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</si>
  <si>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</si>
  <si>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</si>
  <si>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</si>
  <si>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</si>
  <si>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</si>
  <si>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</si>
  <si>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</si>
  <si>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</si>
  <si>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</si>
  <si>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</si>
  <si>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</si>
  <si>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</si>
  <si>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</si>
  <si>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</si>
  <si>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</si>
  <si>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</si>
  <si>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</si>
  <si>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</si>
  <si>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</si>
  <si>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</si>
  <si>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</si>
  <si>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</si>
  <si>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</si>
  <si>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</si>
  <si>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</si>
  <si>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</si>
  <si>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</si>
  <si>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</si>
  <si>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</si>
  <si>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</si>
  <si>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</si>
  <si>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</si>
  <si>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</si>
  <si>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</si>
  <si>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</si>
  <si>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</si>
  <si>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</si>
  <si>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</si>
  <si>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</si>
  <si>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</si>
  <si>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</si>
  <si>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</si>
  <si>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</si>
  <si>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</si>
  <si>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</si>
  <si>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</si>
  <si>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</si>
  <si>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</si>
  <si>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</si>
  <si>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</si>
  <si>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</si>
  <si>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</si>
  <si>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</si>
  <si>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</si>
  <si>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</si>
  <si>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</si>
  <si>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</si>
  <si>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</si>
  <si>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</si>
  <si>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</si>
  <si>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</si>
  <si>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</si>
  <si>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</si>
  <si>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</si>
  <si>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</si>
  <si>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</si>
  <si>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</si>
  <si>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</si>
  <si>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</si>
  <si>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</si>
  <si>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</si>
  <si>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</si>
  <si>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</si>
  <si>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</si>
  <si>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</si>
  <si>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</si>
  <si>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</si>
  <si>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</si>
  <si>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</si>
  <si>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</si>
  <si>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</si>
  <si>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</si>
  <si>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</si>
  <si>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</si>
  <si>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</si>
  <si>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</si>
  <si>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</si>
  <si>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</si>
  <si>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</si>
  <si>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</si>
  <si>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</si>
  <si>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</si>
  <si>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</si>
  <si>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</si>
  <si>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</si>
  <si>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</si>
  <si>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</si>
  <si>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</si>
  <si>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</si>
  <si>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</si>
  <si>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</si>
  <si>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</si>
  <si>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</si>
  <si>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</si>
  <si>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</si>
  <si>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</si>
  <si>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</si>
  <si>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</si>
  <si>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</si>
  <si>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</si>
  <si>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</si>
  <si>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</si>
  <si>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</si>
  <si>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</si>
  <si>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</si>
  <si>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</si>
  <si>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</si>
  <si>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</si>
  <si>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</si>
  <si>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</si>
  <si>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</si>
  <si>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</si>
  <si>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</si>
  <si>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</si>
  <si>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</si>
  <si>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</si>
  <si>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</si>
  <si>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</si>
  <si>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</si>
  <si>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</si>
  <si>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</si>
  <si>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</si>
  <si>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</si>
  <si>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</si>
  <si>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</si>
  <si>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</si>
  <si>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</si>
  <si>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</si>
  <si>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</si>
  <si>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</si>
  <si>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</si>
  <si>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</si>
  <si>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</si>
  <si>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</si>
  <si>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</si>
  <si>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</si>
  <si>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</si>
  <si>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</si>
  <si>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</si>
  <si>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</si>
  <si>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</si>
  <si>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</si>
  <si>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</si>
  <si>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</si>
  <si>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</si>
  <si>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</si>
  <si>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</si>
  <si>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</si>
  <si>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</si>
  <si>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</si>
  <si>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</si>
  <si>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</si>
  <si>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</si>
  <si>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</si>
  <si>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</si>
  <si>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</si>
  <si>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</si>
  <si>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</si>
  <si>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</si>
  <si>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</si>
  <si>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</si>
  <si>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</si>
  <si>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</si>
  <si>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</si>
  <si>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</si>
  <si>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</si>
  <si>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</si>
  <si>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</si>
  <si>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</si>
  <si>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</si>
  <si>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</si>
  <si>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</si>
  <si>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</si>
  <si>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</si>
  <si>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</si>
  <si>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</si>
  <si>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</si>
  <si>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</si>
  <si>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</si>
  <si>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</si>
  <si>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</si>
  <si>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</si>
  <si>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</si>
  <si>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</si>
  <si>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</si>
  <si>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</si>
  <si>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</si>
  <si>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</si>
  <si>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</si>
  <si>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</si>
  <si>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</si>
  <si>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</si>
  <si>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</si>
  <si>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</si>
  <si>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</si>
  <si>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</si>
  <si>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</si>
  <si>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</si>
  <si>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</si>
  <si>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</si>
  <si>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</si>
  <si>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</si>
  <si>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</si>
  <si>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</si>
  <si>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</si>
  <si>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</si>
  <si>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</si>
  <si>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</si>
  <si>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</si>
  <si>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</si>
  <si>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</si>
  <si>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</si>
  <si>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</si>
  <si>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</si>
  <si>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</si>
  <si>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</si>
  <si>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</si>
  <si>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</si>
  <si>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</si>
  <si>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</si>
  <si>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</si>
  <si>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</si>
  <si>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</si>
  <si>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</si>
  <si>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</si>
  <si>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</si>
  <si>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</si>
  <si>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</si>
  <si>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</si>
  <si>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</si>
  <si>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</si>
  <si>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</si>
  <si>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</si>
  <si>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</si>
  <si>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</si>
  <si>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</si>
  <si>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</si>
  <si>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</si>
  <si>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</si>
  <si>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</si>
  <si>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</si>
  <si>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</si>
  <si>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</si>
  <si>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</si>
  <si>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</si>
  <si>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</si>
  <si>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</si>
  <si>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</si>
  <si>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</si>
  <si>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</si>
  <si>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</si>
  <si>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</si>
  <si>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</si>
  <si>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</si>
  <si>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</si>
  <si>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</si>
  <si>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</si>
  <si>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</si>
  <si>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</si>
  <si>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</si>
  <si>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</si>
  <si>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</si>
  <si>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</si>
  <si>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</si>
  <si>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</si>
  <si>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</si>
  <si>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</si>
  <si>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</si>
  <si>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</si>
  <si>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</si>
  <si>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</si>
  <si>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</si>
  <si>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</si>
  <si>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</si>
  <si>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</si>
  <si>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</si>
  <si>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</si>
  <si>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</si>
  <si>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</si>
  <si>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</si>
  <si>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</si>
  <si>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</si>
  <si>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</si>
  <si>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</si>
  <si>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</si>
  <si>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</si>
  <si>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</si>
  <si>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</si>
  <si>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</si>
  <si>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</si>
  <si>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</si>
  <si>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</si>
  <si>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</si>
  <si>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</si>
  <si>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</si>
  <si>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</si>
  <si>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</si>
  <si>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</si>
  <si>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</si>
  <si>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</si>
  <si>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</si>
  <si>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</si>
  <si>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</si>
  <si>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</si>
  <si>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</si>
  <si>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</si>
  <si>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</si>
  <si>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</si>
  <si>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</si>
  <si>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</si>
  <si>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</si>
  <si>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</si>
  <si>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</si>
  <si>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</si>
  <si>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</si>
  <si>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</si>
  <si>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</si>
  <si>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</si>
  <si>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</si>
  <si>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</si>
  <si>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</si>
  <si>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</si>
  <si>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</si>
  <si>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</si>
  <si>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</si>
  <si>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</si>
  <si>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</si>
  <si>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</si>
  <si>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</si>
  <si>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</si>
  <si>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</si>
  <si>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</si>
  <si>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</si>
  <si>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</si>
  <si>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</si>
  <si>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</si>
  <si>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</si>
  <si>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</si>
  <si>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</si>
  <si>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</si>
  <si>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</si>
  <si>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</si>
  <si>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</si>
  <si>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</si>
  <si>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</si>
  <si>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</si>
  <si>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</si>
  <si>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</si>
  <si>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</si>
  <si>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</si>
  <si>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</si>
  <si>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</si>
  <si>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</si>
  <si>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</si>
  <si>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</si>
  <si>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</si>
  <si>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</si>
  <si>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</si>
  <si>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</si>
  <si>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</si>
  <si>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</si>
  <si>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</si>
  <si>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</si>
  <si>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</si>
  <si>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</si>
  <si>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</si>
  <si>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</si>
  <si>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</si>
  <si>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</si>
  <si>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</si>
  <si>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</si>
  <si>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</si>
  <si>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</si>
  <si>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</si>
  <si>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</si>
  <si>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</si>
  <si>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</si>
  <si>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</si>
  <si>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</si>
  <si>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</si>
  <si>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</si>
  <si>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</si>
  <si>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</si>
  <si>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</si>
  <si>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</si>
  <si>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</si>
  <si>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</si>
  <si>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</si>
  <si>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</si>
  <si>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</si>
  <si>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</si>
  <si>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</si>
  <si>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</si>
  <si>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</si>
  <si>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</si>
  <si>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</si>
  <si>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</si>
  <si>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</si>
  <si>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</si>
  <si>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</si>
  <si>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</si>
  <si>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</si>
  <si>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</si>
  <si>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</si>
  <si>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</si>
  <si>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</si>
  <si>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</si>
  <si>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</si>
  <si>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</si>
  <si>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</si>
  <si>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</si>
  <si>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</si>
  <si>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</si>
  <si>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</si>
  <si>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</si>
  <si>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</si>
  <si>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</si>
  <si>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</si>
  <si>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</si>
  <si>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</si>
  <si>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</si>
  <si>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</si>
  <si>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</si>
  <si>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</si>
  <si>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</si>
  <si>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</si>
  <si>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</si>
  <si>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</si>
  <si>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</si>
  <si>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</si>
  <si>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</si>
  <si>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</si>
  <si>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</si>
  <si>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</si>
  <si>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</si>
  <si>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</si>
  <si>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</si>
  <si>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</si>
  <si>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</si>
  <si>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</si>
  <si>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</si>
  <si>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</si>
  <si>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</si>
  <si>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</si>
  <si>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</si>
  <si>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</si>
  <si>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</si>
  <si>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</si>
  <si>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</si>
  <si>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</si>
  <si>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</si>
  <si>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</si>
  <si>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</si>
  <si>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</si>
  <si>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</si>
  <si>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</si>
  <si>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</si>
  <si>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</si>
  <si>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</si>
  <si>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</si>
  <si>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</si>
  <si>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</si>
  <si>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</si>
  <si>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</si>
  <si>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</si>
  <si>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</si>
  <si>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</si>
  <si>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</si>
  <si>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</si>
  <si>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</si>
  <si>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</si>
  <si>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</si>
  <si>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</si>
  <si>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</si>
  <si>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</si>
  <si>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</si>
  <si>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</si>
  <si>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</si>
  <si>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</si>
  <si>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</si>
  <si>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</si>
  <si>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</si>
  <si>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</si>
  <si>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</si>
  <si>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</si>
  <si>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</si>
  <si>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</si>
  <si>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</si>
  <si>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</si>
  <si>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</si>
  <si>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</si>
  <si>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</si>
  <si>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</si>
  <si>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</si>
  <si>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</si>
  <si>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</si>
  <si>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</si>
  <si>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</si>
  <si>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</si>
  <si>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</si>
  <si>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</si>
  <si>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</si>
  <si>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</si>
  <si>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</si>
  <si>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</si>
  <si>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</si>
  <si>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</si>
  <si>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</si>
  <si>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</si>
  <si>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</si>
  <si>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</si>
  <si>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</si>
  <si>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</si>
  <si>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</si>
  <si>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</si>
  <si>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</si>
  <si>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</si>
  <si>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</si>
  <si>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</si>
  <si>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</si>
  <si>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</si>
  <si>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</si>
  <si>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</si>
  <si>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</si>
  <si>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</si>
  <si>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</si>
  <si>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</si>
  <si>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</si>
  <si>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</si>
  <si>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</si>
  <si>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</si>
  <si>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</si>
  <si>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</si>
  <si>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</si>
  <si>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</si>
  <si>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</si>
  <si>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</si>
  <si>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</si>
  <si>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</si>
  <si>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</si>
  <si>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</si>
  <si>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</si>
  <si>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</si>
  <si>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</si>
  <si>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</si>
  <si>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</si>
  <si>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</si>
  <si>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</si>
  <si>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</si>
  <si>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</si>
  <si>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</si>
  <si>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</si>
  <si>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</si>
  <si>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</si>
  <si>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</si>
  <si>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</si>
  <si>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</si>
  <si>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</si>
  <si>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</si>
  <si>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</si>
  <si>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</si>
  <si>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</si>
  <si>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</si>
  <si>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</si>
  <si>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</si>
  <si>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</si>
  <si>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</si>
  <si>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</si>
  <si>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</si>
  <si>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</si>
  <si>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</si>
  <si>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</si>
  <si>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</si>
  <si>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</si>
  <si>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</si>
  <si>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</si>
  <si>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</si>
  <si>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</si>
  <si>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</si>
  <si>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</si>
  <si>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</si>
  <si>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</si>
  <si>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</si>
  <si>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</si>
  <si>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</si>
  <si>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</si>
  <si>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</si>
  <si>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</si>
  <si>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</si>
  <si>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</si>
  <si>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</si>
  <si>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</si>
  <si>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</si>
  <si>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</si>
  <si>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</si>
  <si>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</si>
  <si>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</si>
  <si>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</si>
  <si>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</si>
  <si>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</si>
  <si>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</si>
  <si>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</si>
  <si>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</si>
  <si>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</si>
  <si>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</si>
  <si>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</si>
  <si>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</si>
  <si>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</si>
  <si>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</si>
  <si>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</si>
  <si>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</si>
  <si>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</si>
  <si>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</si>
  <si>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</si>
  <si>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</si>
  <si>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</si>
  <si>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</si>
  <si>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</si>
  <si>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</si>
  <si>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</si>
  <si>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</si>
  <si>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</si>
  <si>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</si>
  <si>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</si>
  <si>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</si>
  <si>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</si>
  <si>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</si>
  <si>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</si>
  <si>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</si>
  <si>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</si>
  <si>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</si>
  <si>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</si>
  <si>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</si>
  <si>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</si>
  <si>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</si>
  <si>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</si>
  <si>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</si>
  <si>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</si>
  <si>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</si>
  <si>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</si>
  <si>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</si>
  <si>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</si>
  <si>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</si>
  <si>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</si>
  <si>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</si>
  <si>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</si>
  <si>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</si>
  <si>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</si>
  <si>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</si>
  <si>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</si>
  <si>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</si>
  <si>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</si>
  <si>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</si>
  <si>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</si>
  <si>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</si>
  <si>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</si>
  <si>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</si>
  <si>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</si>
  <si>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</si>
  <si>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</si>
  <si>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</si>
  <si>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</si>
  <si>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</si>
  <si>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</si>
  <si>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</si>
  <si>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</si>
  <si>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</si>
  <si>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</si>
  <si>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</si>
  <si>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</si>
  <si>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</si>
  <si>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</si>
  <si>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</si>
  <si>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</si>
  <si>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</si>
  <si>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</si>
  <si>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</si>
  <si>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</si>
  <si>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</si>
  <si>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</si>
  <si>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</si>
  <si>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</si>
  <si>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</si>
  <si>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</si>
  <si>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</si>
  <si>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</si>
  <si>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</si>
  <si>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</si>
  <si>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</si>
  <si>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</si>
  <si>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</si>
  <si>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</si>
  <si>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</si>
  <si>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</si>
  <si>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</si>
  <si>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</si>
  <si>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</si>
  <si>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</si>
  <si>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</si>
  <si>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</si>
  <si>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</si>
  <si>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</si>
  <si>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</si>
  <si>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</si>
  <si>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</si>
  <si>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</si>
  <si>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</si>
  <si>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</si>
  <si>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</si>
  <si>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</si>
  <si>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</si>
  <si>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</si>
  <si>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</si>
  <si>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</si>
  <si>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</si>
  <si>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</si>
  <si>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</si>
  <si>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</si>
  <si>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</si>
  <si>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</si>
  <si>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</si>
  <si>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</si>
  <si>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</si>
  <si>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</si>
  <si>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</si>
  <si>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</si>
  <si>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</si>
  <si>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</si>
  <si>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</si>
  <si>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</si>
  <si>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</si>
  <si>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</si>
  <si>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</si>
  <si>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</si>
  <si>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</si>
  <si>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</si>
  <si>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</si>
  <si>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</si>
  <si>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</si>
  <si>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</si>
  <si>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</si>
  <si>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</si>
  <si>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</si>
  <si>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</si>
  <si>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</si>
  <si>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</si>
  <si>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</si>
  <si>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</si>
  <si>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</si>
  <si>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</si>
  <si>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</si>
  <si>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</si>
  <si>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</si>
  <si>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</si>
  <si>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</si>
  <si>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</si>
  <si>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</si>
  <si>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</si>
  <si>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</si>
  <si>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</si>
  <si>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</si>
  <si>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</si>
  <si>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</si>
  <si>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</si>
  <si>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</si>
  <si>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</si>
  <si>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</si>
  <si>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</si>
  <si>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</si>
  <si>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</si>
  <si>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</si>
  <si>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</si>
  <si>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</si>
  <si>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</si>
  <si>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</si>
  <si>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</si>
  <si>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</si>
  <si>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</si>
  <si>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</si>
  <si>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</si>
  <si>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</si>
  <si>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</si>
  <si>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</si>
  <si>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</si>
  <si>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</si>
  <si>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</si>
  <si>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</si>
  <si>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</si>
  <si>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</si>
  <si>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</si>
  <si>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</si>
  <si>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</si>
  <si>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</si>
  <si>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</si>
  <si>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</si>
  <si>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</si>
  <si>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</si>
  <si>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</si>
  <si>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</si>
  <si>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</si>
  <si>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</si>
  <si>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</si>
  <si>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</si>
  <si>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</si>
  <si>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</si>
  <si>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</si>
  <si>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</si>
  <si>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</si>
  <si>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</si>
  <si>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</si>
  <si>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</si>
  <si>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</si>
  <si>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</si>
  <si>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</si>
  <si>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</si>
  <si>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</si>
  <si>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</si>
  <si>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</si>
  <si>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</si>
  <si>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</si>
  <si>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</si>
  <si>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</si>
  <si>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</si>
  <si>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</si>
  <si>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</si>
  <si>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</si>
  <si>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</si>
  <si>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</si>
  <si>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</si>
  <si>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</si>
  <si>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</si>
  <si>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</si>
  <si>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</si>
  <si>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</si>
  <si>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</si>
  <si>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</si>
  <si>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</si>
  <si>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</si>
  <si>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</si>
  <si>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</si>
  <si>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</si>
  <si>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</si>
  <si>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</si>
  <si>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</si>
  <si>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</si>
  <si>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</si>
  <si>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</si>
  <si>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</si>
  <si>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</si>
  <si>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</si>
  <si>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</si>
  <si>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</si>
  <si>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</si>
  <si>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</si>
  <si>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</si>
  <si>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</si>
  <si>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</si>
  <si>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</si>
  <si>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</si>
  <si>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</si>
  <si>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</si>
  <si>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</si>
  <si>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</si>
  <si>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</si>
  <si>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</si>
  <si>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</si>
  <si>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</si>
  <si>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</si>
  <si>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</si>
  <si>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</si>
  <si>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</si>
  <si>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</si>
  <si>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</si>
  <si>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</si>
  <si>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</si>
  <si>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</si>
  <si>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</si>
  <si>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</si>
  <si>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</si>
  <si>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</si>
  <si>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</si>
  <si>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</si>
  <si>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</si>
  <si>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</si>
  <si>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</si>
  <si>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</si>
  <si>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</si>
  <si>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</si>
  <si>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</si>
  <si>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</si>
  <si>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</si>
  <si>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</si>
  <si>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</si>
  <si>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</si>
  <si>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</si>
  <si>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</si>
  <si>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</si>
  <si>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</si>
  <si>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</si>
  <si>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</si>
  <si>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</si>
  <si>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</si>
  <si>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</si>
  <si>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</si>
  <si>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</si>
  <si>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</si>
  <si>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</si>
  <si>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</si>
  <si>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</si>
  <si>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</si>
  <si>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</si>
  <si>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</si>
  <si>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</si>
  <si>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</si>
  <si>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</si>
  <si>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</si>
  <si>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</si>
  <si>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</si>
  <si>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</si>
  <si>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</si>
  <si>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</si>
  <si>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</si>
  <si>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</si>
  <si>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</si>
  <si>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</si>
  <si>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</si>
  <si>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</si>
  <si>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</si>
  <si>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</si>
  <si>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</si>
  <si>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</si>
  <si>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</si>
  <si>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</si>
  <si>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</si>
  <si>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</si>
  <si>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</si>
  <si>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</si>
  <si>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</si>
  <si>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</si>
  <si>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</si>
  <si>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</si>
  <si>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</si>
  <si>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</si>
  <si>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</si>
  <si>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</si>
  <si>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</si>
  <si>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</si>
  <si>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</si>
  <si>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</si>
  <si>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</si>
  <si>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</si>
  <si>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</si>
  <si>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</si>
  <si>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</si>
  <si>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</si>
  <si>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</si>
  <si>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</si>
  <si>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</si>
  <si>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</si>
  <si>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</si>
  <si>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</si>
  <si>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</si>
  <si>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</si>
  <si>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</si>
  <si>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</si>
  <si>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</si>
  <si>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</si>
  <si>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</si>
  <si>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</si>
  <si>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</si>
  <si>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</si>
  <si>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</si>
  <si>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</si>
  <si>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</si>
  <si>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</si>
  <si>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</si>
  <si>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</si>
  <si>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</si>
  <si>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</si>
  <si>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</si>
  <si>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</si>
  <si>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</si>
  <si>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</si>
  <si>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</si>
  <si>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</si>
  <si>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</si>
  <si>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</si>
  <si>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</si>
  <si>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</si>
  <si>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</si>
  <si>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</si>
  <si>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</si>
  <si>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</si>
  <si>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</si>
  <si>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</si>
  <si>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</si>
  <si>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</si>
  <si>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</si>
  <si>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</si>
  <si>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</si>
  <si>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</si>
  <si>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</si>
  <si>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</si>
  <si>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</si>
  <si>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</si>
  <si>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</si>
  <si>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</si>
  <si>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</si>
  <si>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</si>
  <si>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</si>
  <si>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</si>
  <si>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</si>
  <si>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</si>
  <si>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</si>
  <si>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</si>
  <si>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</si>
  <si>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</si>
  <si>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</si>
  <si>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</si>
  <si>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</si>
  <si>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</si>
  <si>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</si>
  <si>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</si>
  <si>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</si>
  <si>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</si>
  <si>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</si>
  <si>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</si>
  <si>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</si>
  <si>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</si>
  <si>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</si>
  <si>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</si>
  <si>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</si>
  <si>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</si>
  <si>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</si>
  <si>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</si>
  <si>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</si>
  <si>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</si>
  <si>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</si>
  <si>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</si>
  <si>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</si>
  <si>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</si>
  <si>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</si>
  <si>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</si>
  <si>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</si>
  <si>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</si>
  <si>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</si>
  <si>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</si>
  <si>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</si>
  <si>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</si>
  <si>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</si>
  <si>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</si>
  <si>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</si>
  <si>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</si>
  <si>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</si>
  <si>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</si>
  <si>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</si>
  <si>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</si>
  <si>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</si>
  <si>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</si>
  <si>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</si>
  <si>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</si>
  <si>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</si>
  <si>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</si>
  <si>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</si>
  <si>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</si>
  <si>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</si>
  <si>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</si>
  <si>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</si>
  <si>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</si>
  <si>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</si>
  <si>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</si>
  <si>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</si>
  <si>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</si>
  <si>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</si>
  <si>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</si>
  <si>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</si>
  <si>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</si>
  <si>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</si>
  <si>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</si>
  <si>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</si>
  <si>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</si>
  <si>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</si>
  <si>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</si>
  <si>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</si>
  <si>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</si>
  <si>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</si>
  <si>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</si>
  <si>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</si>
  <si>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</si>
  <si>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</si>
  <si>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</si>
  <si>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</si>
  <si>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</si>
  <si>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</si>
  <si>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</si>
  <si>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</si>
  <si>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</si>
  <si>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</si>
  <si>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</si>
  <si>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</si>
  <si>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</si>
  <si>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</si>
  <si>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</si>
  <si>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</si>
  <si>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</si>
  <si>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</si>
  <si>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</si>
  <si>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</si>
  <si>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</si>
  <si>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</si>
  <si>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</si>
  <si>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</si>
  <si>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</si>
  <si>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</si>
  <si>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</si>
  <si>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</si>
  <si>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</si>
  <si>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</si>
  <si>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</si>
  <si>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</si>
  <si>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</si>
  <si>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</si>
  <si>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</si>
  <si>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</si>
  <si>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</si>
  <si>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</si>
  <si>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</si>
  <si>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</si>
  <si>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</si>
  <si>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</si>
  <si>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</si>
  <si>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</si>
  <si>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</si>
  <si>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</si>
  <si>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</si>
  <si>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</si>
  <si>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</si>
  <si>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</si>
  <si>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</si>
  <si>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</si>
  <si>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</si>
  <si>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</si>
  <si>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</si>
  <si>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</si>
  <si>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</si>
  <si>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</si>
  <si>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</si>
  <si>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</si>
  <si>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</si>
  <si>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</si>
  <si>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</si>
  <si>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</si>
  <si>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</si>
  <si>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</si>
  <si>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</si>
  <si>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</si>
  <si>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</si>
  <si>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</si>
  <si>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</si>
  <si>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</si>
  <si>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</si>
  <si>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</si>
  <si>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</si>
  <si>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</si>
  <si>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</si>
  <si>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</si>
  <si>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</si>
  <si>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</si>
  <si>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</si>
  <si>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</si>
  <si>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</si>
  <si>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</si>
  <si>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</si>
  <si>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</si>
  <si>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</si>
  <si>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</si>
  <si>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</si>
  <si>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</si>
  <si>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</si>
  <si>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</si>
  <si>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</si>
  <si>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</si>
  <si>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</si>
  <si>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</si>
  <si>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</si>
  <si>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</si>
  <si>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</si>
  <si>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</si>
  <si>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</si>
  <si>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</si>
  <si>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</si>
  <si>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</si>
  <si>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</si>
  <si>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</si>
  <si>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</si>
  <si>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</si>
  <si>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</si>
  <si>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</si>
  <si>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</si>
  <si>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</si>
  <si>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</si>
  <si>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</si>
  <si>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</si>
  <si>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</si>
  <si>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</si>
  <si>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</si>
  <si>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</si>
  <si>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</si>
  <si>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</si>
  <si>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</si>
  <si>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</si>
  <si>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</si>
  <si>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</si>
  <si>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</si>
  <si>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</si>
  <si>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</si>
  <si>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</si>
  <si>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</si>
  <si>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</si>
  <si>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</si>
  <si>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</si>
  <si>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</si>
  <si>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</si>
  <si>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</si>
  <si>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</si>
  <si>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</si>
  <si>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</si>
  <si>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</si>
  <si>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</si>
  <si>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</si>
  <si>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</si>
  <si>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</si>
  <si>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</si>
  <si>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</si>
  <si>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</si>
  <si>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</si>
  <si>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</si>
  <si>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</si>
  <si>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</si>
  <si>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</si>
  <si>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</si>
  <si>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</si>
  <si>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</si>
  <si>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</si>
  <si>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</si>
  <si>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</si>
  <si>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</si>
  <si>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</si>
  <si>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</si>
  <si>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</si>
  <si>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</si>
  <si>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</si>
  <si>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</si>
  <si>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</si>
  <si>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</si>
  <si>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</si>
  <si>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</si>
  <si>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</si>
  <si>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</si>
  <si>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</si>
  <si>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</si>
  <si>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</si>
  <si>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</si>
  <si>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</si>
  <si>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</si>
  <si>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</si>
  <si>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</si>
  <si>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</si>
  <si>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</si>
  <si>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</si>
  <si>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</si>
  <si>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</si>
  <si>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</si>
  <si>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</si>
  <si>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</si>
  <si>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</si>
  <si>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</si>
  <si>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</si>
  <si>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</si>
  <si>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</si>
  <si>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</si>
  <si>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</si>
  <si>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</si>
  <si>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</si>
  <si>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</si>
  <si>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</si>
  <si>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</si>
  <si>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</si>
  <si>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</si>
  <si>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</si>
  <si>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</si>
  <si>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</si>
  <si>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</si>
  <si>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</si>
  <si>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</si>
  <si>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</si>
  <si>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</si>
  <si>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</si>
  <si>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</si>
  <si>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</si>
  <si>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</si>
  <si>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</si>
  <si>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</si>
  <si>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</si>
  <si>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</si>
  <si>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</si>
  <si>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</si>
  <si>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</si>
  <si>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</si>
  <si>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</si>
  <si>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</si>
  <si>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</si>
  <si>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</si>
  <si>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</si>
  <si>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</si>
  <si>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</si>
  <si>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</si>
  <si>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</si>
  <si>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</si>
  <si>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</si>
  <si>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</si>
  <si>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</si>
  <si>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</si>
  <si>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</si>
  <si>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</si>
  <si>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</si>
  <si>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</si>
  <si>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</si>
  <si>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</si>
  <si>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</si>
  <si>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</si>
  <si>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</si>
  <si>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</si>
  <si>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</si>
  <si>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</si>
  <si>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</si>
  <si>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</si>
  <si>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</si>
  <si>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</si>
  <si>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</si>
  <si>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</si>
  <si>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</si>
  <si>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</si>
  <si>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</si>
  <si>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</si>
  <si>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</si>
  <si>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</si>
  <si>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</si>
  <si>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</si>
  <si>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</si>
  <si>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</si>
  <si>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</si>
  <si>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</si>
  <si>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</si>
  <si>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</si>
  <si>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</si>
  <si>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</si>
  <si>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</si>
  <si>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</si>
  <si>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</si>
  <si>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</si>
  <si>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</si>
  <si>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</si>
  <si>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</si>
  <si>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</si>
  <si>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</si>
  <si>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</si>
  <si>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</si>
  <si>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</si>
  <si>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</si>
  <si>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</si>
  <si>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</si>
  <si>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</si>
  <si>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</si>
  <si>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</si>
  <si>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</si>
  <si>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</si>
  <si>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</si>
  <si>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</si>
  <si>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</si>
  <si>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</si>
  <si>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</si>
  <si>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</si>
  <si>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</si>
  <si>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</si>
  <si>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</si>
  <si>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</si>
  <si>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</si>
  <si>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</si>
  <si>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</si>
  <si>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</si>
  <si>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</si>
  <si>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</si>
  <si>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</si>
  <si>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</si>
  <si>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</si>
  <si>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</si>
  <si>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</si>
  <si>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</si>
  <si>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</si>
  <si>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</si>
  <si>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</si>
  <si>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</si>
  <si>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</si>
  <si>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</si>
  <si>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</si>
  <si>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</si>
  <si>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</si>
  <si>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</si>
  <si>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</si>
  <si>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</si>
  <si>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</si>
  <si>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</si>
  <si>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</si>
  <si>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</si>
  <si>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</si>
  <si>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</si>
  <si>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</si>
  <si>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</si>
  <si>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</si>
  <si>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</si>
  <si>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</si>
  <si>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</si>
  <si>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</si>
  <si>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</si>
  <si>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</si>
  <si>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</si>
  <si>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</si>
  <si>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</si>
  <si>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</si>
  <si>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</si>
  <si>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</si>
  <si>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</si>
  <si>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</si>
  <si>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</si>
  <si>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</si>
  <si>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</si>
  <si>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</si>
  <si>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</si>
  <si>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</si>
  <si>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</si>
  <si>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</si>
  <si>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</si>
  <si>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</si>
  <si>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</si>
  <si>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</si>
  <si>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</si>
  <si>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</si>
  <si>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</si>
  <si>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</si>
  <si>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</si>
  <si>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</si>
  <si>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</si>
  <si>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</si>
  <si>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</si>
  <si>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</si>
  <si>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</si>
  <si>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</si>
  <si>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</si>
  <si>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</si>
  <si>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</si>
  <si>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</si>
  <si>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</si>
  <si>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</si>
  <si>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</si>
  <si>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</si>
  <si>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</si>
  <si>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</si>
  <si>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</si>
  <si>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</si>
  <si>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</si>
  <si>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</si>
  <si>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</si>
  <si>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</si>
  <si>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</si>
  <si>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</si>
  <si>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</si>
  <si>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</si>
  <si>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</si>
  <si>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</si>
  <si>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</si>
  <si>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</si>
  <si>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</si>
  <si>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</si>
  <si>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</si>
  <si>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</si>
  <si>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</si>
  <si>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</si>
  <si>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</si>
  <si>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</si>
  <si>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</si>
  <si>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</si>
  <si>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</si>
  <si>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</si>
  <si>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</si>
  <si>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</si>
  <si>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</si>
  <si>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</si>
  <si>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</si>
  <si>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</si>
  <si>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</si>
  <si>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</si>
  <si>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</si>
  <si>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</si>
  <si>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</si>
  <si>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</si>
  <si>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</si>
  <si>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</si>
  <si>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</si>
  <si>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</si>
  <si>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</si>
  <si>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</si>
  <si>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</si>
  <si>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</si>
  <si>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</si>
  <si>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</si>
  <si>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</si>
  <si>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</si>
  <si>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</si>
  <si>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</si>
  <si>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</si>
  <si>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</si>
  <si>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</si>
  <si>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</si>
  <si>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</si>
  <si>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</si>
  <si>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</si>
  <si>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</si>
  <si>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</si>
  <si>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</si>
  <si>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</si>
  <si>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</si>
  <si>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</si>
  <si>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</si>
  <si>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</si>
  <si>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</si>
  <si>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</si>
  <si>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</si>
  <si>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</si>
  <si>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</si>
  <si>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</si>
  <si>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</si>
  <si>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</si>
  <si>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</si>
  <si>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</si>
  <si>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</si>
  <si>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</si>
  <si>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</si>
  <si>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</si>
  <si>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</si>
  <si>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</si>
  <si>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</si>
  <si>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</si>
  <si>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</si>
  <si>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</si>
  <si>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</si>
  <si>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</si>
  <si>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</si>
  <si>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</si>
  <si>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</si>
  <si>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</si>
  <si>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</si>
  <si>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</si>
  <si>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</si>
  <si>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</si>
  <si>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</si>
  <si>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</si>
  <si>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</si>
  <si>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</si>
  <si>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</si>
  <si>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</si>
  <si>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</si>
  <si>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</si>
  <si>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</si>
  <si>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</si>
  <si>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</si>
  <si>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</si>
  <si>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</si>
  <si>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</si>
  <si>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</si>
  <si>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</si>
  <si>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</si>
  <si>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</si>
  <si>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</si>
  <si>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</si>
  <si>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</si>
  <si>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</si>
  <si>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</si>
  <si>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</si>
  <si>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</si>
  <si>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</si>
  <si>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</si>
  <si>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</si>
  <si>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</si>
  <si>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</si>
  <si>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</si>
  <si>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</si>
  <si>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</si>
  <si>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</si>
  <si>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</si>
  <si>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</si>
  <si>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</si>
  <si>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</si>
  <si>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</si>
  <si>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</si>
  <si>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</si>
  <si>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</si>
  <si>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</si>
  <si>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</si>
  <si>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</si>
  <si>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</si>
  <si>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</si>
  <si>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</si>
  <si>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</si>
  <si>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</si>
  <si>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</si>
  <si>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</si>
  <si>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</si>
  <si>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</si>
  <si>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</si>
  <si>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</si>
  <si>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</si>
  <si>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</si>
  <si>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</si>
  <si>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</si>
  <si>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</si>
  <si>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</si>
  <si>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</si>
  <si>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</si>
  <si>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</si>
  <si>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</si>
  <si>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</si>
  <si>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</si>
  <si>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</si>
  <si>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</si>
  <si>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</si>
  <si>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</si>
  <si>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</si>
  <si>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</si>
  <si>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</si>
  <si>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</si>
  <si>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</si>
  <si>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</si>
  <si>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</si>
  <si>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</si>
  <si>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</si>
  <si>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</si>
  <si>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</si>
  <si>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</si>
  <si>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</si>
  <si>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</si>
  <si>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</si>
  <si>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</si>
  <si>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</si>
  <si>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</si>
  <si>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</si>
  <si>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</si>
  <si>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</si>
  <si>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</si>
  <si>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</si>
  <si>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</si>
  <si>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</si>
  <si>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</si>
  <si>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</si>
  <si>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</si>
  <si>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</si>
  <si>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</si>
  <si>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</si>
  <si>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</si>
  <si>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</si>
  <si>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</si>
  <si>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</si>
  <si>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</si>
  <si>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</si>
  <si>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</si>
  <si>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</si>
  <si>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</si>
  <si>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</si>
  <si>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</si>
  <si>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</si>
  <si>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</si>
  <si>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</si>
  <si>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</si>
  <si>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</si>
  <si>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</si>
  <si>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</si>
  <si>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</si>
  <si>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</si>
  <si>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</si>
  <si>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</si>
  <si>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</si>
  <si>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</si>
  <si>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</si>
  <si>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</si>
  <si>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</si>
  <si>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</si>
  <si>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</si>
  <si>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</si>
  <si>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</si>
  <si>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</si>
  <si>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</si>
  <si>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</si>
  <si>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</si>
  <si>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</si>
  <si>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</si>
  <si>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</si>
  <si>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</si>
  <si>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</si>
  <si>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</si>
  <si>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</si>
  <si>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</si>
  <si>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</si>
  <si>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</si>
  <si>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</si>
  <si>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</si>
  <si>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</si>
  <si>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</si>
  <si>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</si>
  <si>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</si>
  <si>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</si>
  <si>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</si>
  <si>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</si>
  <si>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</si>
  <si>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</si>
  <si>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</si>
  <si>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</si>
  <si>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</si>
  <si>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</si>
  <si>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</si>
  <si>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</si>
  <si>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</si>
  <si>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</si>
  <si>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</si>
  <si>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</si>
  <si>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</si>
  <si>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</si>
  <si>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</si>
  <si>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</si>
  <si>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</si>
  <si>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</si>
  <si>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</si>
  <si>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</si>
  <si>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</si>
  <si>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</si>
  <si>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</si>
  <si>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</si>
  <si>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</si>
  <si>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</si>
  <si>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</si>
  <si>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</si>
  <si>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</si>
  <si>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</si>
  <si>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</si>
  <si>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</si>
  <si>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</si>
  <si>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</si>
  <si>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</si>
  <si>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</si>
  <si>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</si>
  <si>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</si>
  <si>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</si>
  <si>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</si>
  <si>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</si>
  <si>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</si>
  <si>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</si>
  <si>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</si>
  <si>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</si>
  <si>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</si>
  <si>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</si>
  <si>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</si>
  <si>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</si>
  <si>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</si>
  <si>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</si>
  <si>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</si>
  <si>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</si>
  <si>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</si>
  <si>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</si>
  <si>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</si>
  <si>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</si>
  <si>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</si>
  <si>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</si>
  <si>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</si>
  <si>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</si>
  <si>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</si>
  <si>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</si>
  <si>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</si>
  <si>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</si>
  <si>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</si>
  <si>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</si>
  <si>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</si>
  <si>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</si>
  <si>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</si>
  <si>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</si>
  <si>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</si>
  <si>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</si>
  <si>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</si>
  <si>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</si>
  <si>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</si>
  <si>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</si>
  <si>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</si>
  <si>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</si>
  <si>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</si>
  <si>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</si>
  <si>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</si>
  <si>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</si>
  <si>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</si>
  <si>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</si>
  <si>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</si>
  <si>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</si>
  <si>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</si>
  <si>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</si>
  <si>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</si>
  <si>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</si>
  <si>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</si>
  <si>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</si>
  <si>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</si>
  <si>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</si>
  <si>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</si>
  <si>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</si>
  <si>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</si>
  <si>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</si>
  <si>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</si>
  <si>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</si>
  <si>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</si>
  <si>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</si>
  <si>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</si>
  <si>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</si>
  <si>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</si>
  <si>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</si>
  <si>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</si>
  <si>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</si>
  <si>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</si>
  <si>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</si>
  <si>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</si>
  <si>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</si>
  <si>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</si>
  <si>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</si>
  <si>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</si>
  <si>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</si>
  <si>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</si>
  <si>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</si>
  <si>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</si>
  <si>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</si>
  <si>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</si>
  <si>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</si>
  <si>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</si>
  <si>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</si>
  <si>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</si>
  <si>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</si>
  <si>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</si>
  <si>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</si>
  <si>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</si>
  <si>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</si>
  <si>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</si>
  <si>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</si>
  <si>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</si>
  <si>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</si>
  <si>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</si>
  <si>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</si>
  <si>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</si>
  <si>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</si>
  <si>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</si>
  <si>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</si>
  <si>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</si>
  <si>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</si>
  <si>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</si>
  <si>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</si>
  <si>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</si>
  <si>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</si>
  <si>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</si>
  <si>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</si>
  <si>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</si>
  <si>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</si>
  <si>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</si>
  <si>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</si>
  <si>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</si>
  <si>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</si>
  <si>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</si>
  <si>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</si>
  <si>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</si>
  <si>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</si>
  <si>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</si>
  <si>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</si>
  <si>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</si>
  <si>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</si>
  <si>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</si>
  <si>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</si>
  <si>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</si>
  <si>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</si>
  <si>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</si>
  <si>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</si>
  <si>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</si>
  <si>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</si>
  <si>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</si>
  <si>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</si>
  <si>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</si>
  <si>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</si>
  <si>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</si>
  <si>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</si>
  <si>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</si>
  <si>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</si>
  <si>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</si>
  <si>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</si>
  <si>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</si>
  <si>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</si>
  <si>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</si>
  <si>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</si>
  <si>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</si>
  <si>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</si>
  <si>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</si>
  <si>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</si>
  <si>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</si>
  <si>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</si>
  <si>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</si>
  <si>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</si>
  <si>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</si>
  <si>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</si>
  <si>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</si>
  <si>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</si>
  <si>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</si>
  <si>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</si>
  <si>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</si>
  <si>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</si>
  <si>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</si>
  <si>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</si>
  <si>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</si>
  <si>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</si>
  <si>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</si>
  <si>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</si>
  <si>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</si>
  <si>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</si>
  <si>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</si>
  <si>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</si>
  <si>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</si>
  <si>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</si>
  <si>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</si>
  <si>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</si>
  <si>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</si>
  <si>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</si>
  <si>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</si>
  <si>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</si>
  <si>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</si>
  <si>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</si>
  <si>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</si>
  <si>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</si>
  <si>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</si>
  <si>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</si>
  <si>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</si>
  <si>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</si>
  <si>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</si>
  <si>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</si>
  <si>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</si>
  <si>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</si>
  <si>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</si>
  <si>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</si>
  <si>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</si>
  <si>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</si>
  <si>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</si>
  <si>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</si>
  <si>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</si>
  <si>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</si>
  <si>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</si>
  <si>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</si>
  <si>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</si>
  <si>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</si>
  <si>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</si>
  <si>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</si>
  <si>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</si>
  <si>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</si>
  <si>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</si>
  <si>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</si>
  <si>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</si>
  <si>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</si>
  <si>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</si>
  <si>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</si>
  <si>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</si>
  <si>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</si>
  <si>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</si>
  <si>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</si>
  <si>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</si>
  <si>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</si>
  <si>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</si>
  <si>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</si>
  <si>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</si>
  <si>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</si>
  <si>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</si>
  <si>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</si>
  <si>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</si>
  <si>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</si>
  <si>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</si>
  <si>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</si>
  <si>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</si>
  <si>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</si>
  <si>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</si>
  <si>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</si>
  <si>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</si>
  <si>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</si>
  <si>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</si>
  <si>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</si>
  <si>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</si>
  <si>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</si>
  <si>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</si>
  <si>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</si>
  <si>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</si>
  <si>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</si>
  <si>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</si>
  <si>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</si>
  <si>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</si>
  <si>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</si>
  <si>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</si>
  <si>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</si>
  <si>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</si>
  <si>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</si>
  <si>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</si>
  <si>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</si>
  <si>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</si>
  <si>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</si>
  <si>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</si>
  <si>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</si>
  <si>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</si>
  <si>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</si>
  <si>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</si>
  <si>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</si>
  <si>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</si>
  <si>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</si>
  <si>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</si>
  <si>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</si>
  <si>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</si>
  <si>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usa</t>
  </si>
  <si>
    <t>UNKNOWN</t>
  </si>
  <si>
    <t>REGION CITY</t>
  </si>
  <si>
    <t>WHAT IS THE AVERAGE AGE OF ACUSTOMER</t>
  </si>
  <si>
    <t>IN LOYALTY HOW MANY PLATINUM ARE THERE IN LOYALTY?</t>
  </si>
  <si>
    <t>?</t>
  </si>
  <si>
    <t>CUSTOMER?</t>
  </si>
  <si>
    <t>Average b:b</t>
  </si>
  <si>
    <r>
      <rPr>
        <sz val="11"/>
        <color rgb="FFFF0000"/>
        <rFont val="Calibri"/>
        <family val="2"/>
        <scheme val="minor"/>
      </rPr>
      <t>countif(f:f "platinum</t>
    </r>
    <r>
      <rPr>
        <sz val="11"/>
        <color theme="1"/>
        <rFont val="Calibri"/>
        <family val="2"/>
        <scheme val="minor"/>
      </rPr>
      <t>)</t>
    </r>
  </si>
  <si>
    <t>HIGLIGHT HOME USING CONDITIONAL FORMATING</t>
  </si>
  <si>
    <t>Mean</t>
  </si>
  <si>
    <t>Standard Error</t>
  </si>
  <si>
    <t>Median</t>
  </si>
  <si>
    <t>Mode</t>
  </si>
  <si>
    <t>Standard Deviation</t>
  </si>
  <si>
    <t>Sample Variance</t>
  </si>
  <si>
    <t>Kurtosis</t>
  </si>
  <si>
    <t>Skewness</t>
  </si>
  <si>
    <t>Range</t>
  </si>
  <si>
    <t>Minimum</t>
  </si>
  <si>
    <t>Maximum</t>
  </si>
  <si>
    <t>Sum</t>
  </si>
  <si>
    <t>Count</t>
  </si>
  <si>
    <t>DESCRIPTIVE STATISTICS OF UNIT PRICE DISCOUNT TOTAL AMOUNT</t>
  </si>
  <si>
    <t>Total revenue by male customers</t>
  </si>
  <si>
    <t>TOTal revenue GENERATED</t>
  </si>
  <si>
    <t>Row Labels</t>
  </si>
  <si>
    <t>Grand Total</t>
  </si>
  <si>
    <t xml:space="preserve">Sum of  264.94 </t>
  </si>
  <si>
    <t>Sum of 1</t>
  </si>
  <si>
    <t>Sum of Total_Amount</t>
  </si>
  <si>
    <t>Sum of Discount</t>
  </si>
  <si>
    <t>ECOMMERCE DATASET ANALYSIS AND INSIGHTS</t>
  </si>
  <si>
    <t>Forecast(Loyalty_Level)</t>
  </si>
  <si>
    <t>Lower Confidence Bound(Loyalty_Level)</t>
  </si>
  <si>
    <t>Upper Confidence Bound(Loyalty_Level)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</si>
</sst>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43" formatCode="_ * #,##0.00_ ;_ * \-#,##0.00_ ;_ * &quot;-&quot;??_ ;_ @_ "/>
    <numFmt numFmtId="164" formatCode="yyyy\-mm\-dd"/>
  </numFmts>
  <fonts count="8" x14ac:knownFonts="1">
    <font>
      <sz val="11"/>
      <color theme="1"/>
      <name val="Calibri"/>
      <family val="2"/>
      <scheme val="minor"/>
    </font>
    <font>
      <b/>
      <sz val="11"/>
      <name val="Calibri"/>
    </font>
    <font>
      <sz val="11"/>
      <color theme="1"/>
      <name val="Calibri"/>
      <family val="2"/>
      <scheme val="minor"/>
    </font>
    <font>
      <sz val="11"/>
      <color rgb="FFFF0000"/>
      <name val="Calibri"/>
      <family val="2"/>
      <scheme val="minor"/>
    </font>
    <font>
      <b/>
      <sz val="11"/>
      <name val="Calibri"/>
      <family val="2"/>
    </font>
    <font>
      <i/>
      <sz val="11"/>
      <color theme="1"/>
      <name val="Calibri"/>
      <family val="2"/>
      <scheme val="minor"/>
    </font>
    <font>
      <b/>
      <sz val="16"/>
      <color rgb="FFFF0000"/>
      <name val="Calibri"/>
      <family val="2"/>
      <scheme val="minor"/>
    </font>
    <font>
      <sz val="24"/>
      <color theme="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4"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43" fontId="2" fillId="0" borderId="0" applyFont="0" applyFill="0" applyBorder="0" applyAlignment="0" applyProtection="0"/>
    <xf numFmtId="44"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164" fontId="0" fillId="0" borderId="0" xfId="0" applyNumberFormat="1"/>
    <xf numFmtId="43" fontId="0" fillId="0" borderId="0" xfId="1" applyFont="1"/>
    <xf numFmtId="3" fontId="0" fillId="0" borderId="0" xfId="2" applyNumberFormat="1" applyFont="1"/>
    <xf numFmtId="0" fontId="3" fillId="0" borderId="0" xfId="0" applyFont="1"/>
    <xf numFmtId="43" fontId="4" fillId="0" borderId="1" xfId="1" applyFont="1" applyBorder="1" applyAlignment="1">
      <alignment horizontal="center" vertical="top"/>
    </xf>
    <xf numFmtId="0" fontId="4" fillId="0" borderId="1" xfId="0" applyFont="1" applyBorder="1" applyAlignment="1">
      <alignment horizontal="center" vertical="top"/>
    </xf>
    <xf numFmtId="0" fontId="0" fillId="0" borderId="2" xfId="0" applyBorder="1"/>
    <xf numFmtId="0" fontId="5" fillId="0" borderId="3" xfId="0" applyFont="1" applyBorder="1" applyAlignment="1">
      <alignment horizontal="center"/>
    </xf>
    <xf numFmtId="43" fontId="0" fillId="2" borderId="0" xfId="1" applyFont="1" applyFill="1"/>
    <xf numFmtId="0" fontId="0" fillId="2" borderId="0" xfId="0" applyFill="1"/>
    <xf numFmtId="0" fontId="6" fillId="0" borderId="0" xfId="0" applyFont="1"/>
    <xf numFmtId="43" fontId="0" fillId="2" borderId="0" xfId="0" applyNumberFormat="1" applyFill="1"/>
    <xf numFmtId="0" fontId="0" fillId="0" borderId="0" xfId="0" pivotButton="1"/>
    <xf numFmtId="0" fontId="0" fillId="0" borderId="0" xfId="0" applyAlignment="1">
      <alignment horizontal="left"/>
    </xf>
    <xf numFmtId="43" fontId="0" fillId="0" borderId="0" xfId="0" applyNumberFormat="1"/>
    <xf numFmtId="0" fontId="0" fillId="0" borderId="0" xfId="0" applyNumberFormat="1"/>
    <xf numFmtId="0" fontId="7" fillId="3" borderId="0" xfId="0" applyFont="1" applyFill="1"/>
    <xf numFmtId="0" fontId="0" fillId="3" borderId="0" xfId="0" applyFill="1"/>
    <xf numFmtId="2" fontId="0" fillId="0" borderId="0" xfId="0" applyNumberFormat="1"/>
  </cellXfs>
  <cellStyles count="3">
    <cellStyle name="Comma" xfId="1" builtinId="3"/>
    <cellStyle name="Currency" xfId="2" builtinId="4"/>
    <cellStyle name="Normal" xfId="0" builtinId="0"/>
  </cellStyles>
  <dxfs count="75">
    <dxf>
      <numFmt numFmtId="35" formatCode="_ * #,##0.00_ ;_ * \-#,##0.00_ ;_ * &quot;-&quot;??_ ;_ @_ "/>
    </dxf>
    <dxf>
      <numFmt numFmtId="35" formatCode="_ * #,##0.00_ ;_ * \-#,##0.00_ ;_ * &quot;-&quot;??_ ;_ @_ "/>
    </dxf>
    <dxf>
      <numFmt numFmtId="35" formatCode="_ * #,##0.00_ ;_ * \-#,##0.00_ ;_ * &quot;-&quot;??_ ;_ @_ "/>
    </dxf>
    <dxf>
      <numFmt numFmtId="2" formatCode="0.00"/>
    </dxf>
    <dxf>
      <numFmt numFmtId="2" formatCode="0.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5" Type="http://schemas.openxmlformats.org/officeDocument/2006/relationships/customXml" Target="../customXml/item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workout.xlsx]Sheet1!PivotTable5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 revenue</a:t>
            </a:r>
            <a:r>
              <a:rPr lang="en-US" baseline="0"/>
              <a:t> of stores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Sheet1!$A$2:$A$22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Sheet1!$B$2:$B$22</c:f>
              <c:numCache>
                <c:formatCode>General</c:formatCode>
                <c:ptCount val="20"/>
                <c:pt idx="0">
                  <c:v>84873.616299999965</c:v>
                </c:pt>
                <c:pt idx="1">
                  <c:v>101060.60919999996</c:v>
                </c:pt>
                <c:pt idx="2">
                  <c:v>109806.10699999997</c:v>
                </c:pt>
                <c:pt idx="3">
                  <c:v>93048.14049999998</c:v>
                </c:pt>
                <c:pt idx="4">
                  <c:v>116829.2206</c:v>
                </c:pt>
                <c:pt idx="5">
                  <c:v>114401.47150000001</c:v>
                </c:pt>
                <c:pt idx="6">
                  <c:v>106248.28330000001</c:v>
                </c:pt>
                <c:pt idx="7">
                  <c:v>99679.085999999937</c:v>
                </c:pt>
                <c:pt idx="8">
                  <c:v>111704.94359999998</c:v>
                </c:pt>
                <c:pt idx="9">
                  <c:v>122215.1756</c:v>
                </c:pt>
                <c:pt idx="10">
                  <c:v>104313.05450000001</c:v>
                </c:pt>
                <c:pt idx="11">
                  <c:v>94237.100500000015</c:v>
                </c:pt>
                <c:pt idx="12">
                  <c:v>98960.807799999937</c:v>
                </c:pt>
                <c:pt idx="13">
                  <c:v>125011.8285</c:v>
                </c:pt>
                <c:pt idx="14">
                  <c:v>118814.11569999997</c:v>
                </c:pt>
                <c:pt idx="15">
                  <c:v>81420.790500000032</c:v>
                </c:pt>
                <c:pt idx="16">
                  <c:v>114533.7966</c:v>
                </c:pt>
                <c:pt idx="17">
                  <c:v>108039.34940000002</c:v>
                </c:pt>
                <c:pt idx="18">
                  <c:v>158971.46240000005</c:v>
                </c:pt>
                <c:pt idx="19">
                  <c:v>103794.5282</c:v>
                </c:pt>
              </c:numCache>
            </c:numRef>
          </c:val>
          <c:extLst>
            <c:ext xmlns:c16="http://schemas.microsoft.com/office/drawing/2014/chart" uri="{C3380CC4-5D6E-409C-BE32-E72D297353CC}">
              <c16:uniqueId val="{00000000-3203-4109-8E6C-C78FE2298039}"/>
            </c:ext>
          </c:extLst>
        </c:ser>
        <c:dLbls>
          <c:showLegendKey val="0"/>
          <c:showVal val="0"/>
          <c:showCatName val="0"/>
          <c:showSerName val="0"/>
          <c:showPercent val="0"/>
          <c:showBubbleSize val="0"/>
        </c:dLbls>
        <c:gapWidth val="219"/>
        <c:overlap val="-27"/>
        <c:axId val="47186160"/>
        <c:axId val="47170320"/>
      </c:barChart>
      <c:catAx>
        <c:axId val="4718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70320"/>
        <c:crosses val="autoZero"/>
        <c:auto val="1"/>
        <c:lblAlgn val="ctr"/>
        <c:lblOffset val="100"/>
        <c:noMultiLvlLbl val="0"/>
      </c:catAx>
      <c:valAx>
        <c:axId val="4717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workout.xlsx]Sheet1!PivotTable6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OF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Sheet1!$B$24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Sheet1!$A$25:$A$30</c:f>
              <c:strCache>
                <c:ptCount val="5"/>
                <c:pt idx="0">
                  <c:v>Beauty</c:v>
                </c:pt>
                <c:pt idx="1">
                  <c:v>Clothing</c:v>
                </c:pt>
                <c:pt idx="2">
                  <c:v>Electronics</c:v>
                </c:pt>
                <c:pt idx="3">
                  <c:v>Home</c:v>
                </c:pt>
                <c:pt idx="4">
                  <c:v>Sports</c:v>
                </c:pt>
              </c:strCache>
            </c:strRef>
          </c:cat>
          <c:val>
            <c:numRef>
              <c:f>Sheet1!$B$25:$B$30</c:f>
              <c:numCache>
                <c:formatCode>General</c:formatCode>
                <c:ptCount val="5"/>
                <c:pt idx="0">
                  <c:v>736</c:v>
                </c:pt>
                <c:pt idx="1">
                  <c:v>841.88013221622862</c:v>
                </c:pt>
                <c:pt idx="2">
                  <c:v>1164</c:v>
                </c:pt>
                <c:pt idx="3">
                  <c:v>966.81277342294698</c:v>
                </c:pt>
                <c:pt idx="4">
                  <c:v>1241</c:v>
                </c:pt>
              </c:numCache>
            </c:numRef>
          </c:val>
          <c:extLst>
            <c:ext xmlns:c16="http://schemas.microsoft.com/office/drawing/2014/chart" uri="{C3380CC4-5D6E-409C-BE32-E72D297353CC}">
              <c16:uniqueId val="{00000000-5E26-4B1B-B9B6-77C2A0C1E88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workout.xlsx]Sheet1!PivotTable8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DISCOUNT GIVEN FOR LOYALTY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Sheet1!$B$41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Sheet1!$A$42:$A$47</c:f>
              <c:strCache>
                <c:ptCount val="5"/>
                <c:pt idx="0">
                  <c:v>Bronze</c:v>
                </c:pt>
                <c:pt idx="1">
                  <c:v>Gold</c:v>
                </c:pt>
                <c:pt idx="2">
                  <c:v>Platinum</c:v>
                </c:pt>
                <c:pt idx="3">
                  <c:v>Silver</c:v>
                </c:pt>
                <c:pt idx="4">
                  <c:v>UNKNOWN</c:v>
                </c:pt>
              </c:strCache>
            </c:strRef>
          </c:cat>
          <c:val>
            <c:numRef>
              <c:f>Sheet1!$B$42:$B$47</c:f>
              <c:numCache>
                <c:formatCode>General</c:formatCode>
                <c:ptCount val="5"/>
                <c:pt idx="0">
                  <c:v>73.02000000000001</c:v>
                </c:pt>
                <c:pt idx="1">
                  <c:v>68.610000000000056</c:v>
                </c:pt>
                <c:pt idx="2">
                  <c:v>90.589999999999989</c:v>
                </c:pt>
                <c:pt idx="3">
                  <c:v>62.22</c:v>
                </c:pt>
                <c:pt idx="4">
                  <c:v>2.2200000000000002</c:v>
                </c:pt>
              </c:numCache>
            </c:numRef>
          </c:val>
          <c:extLst>
            <c:ext xmlns:c16="http://schemas.microsoft.com/office/drawing/2014/chart" uri="{C3380CC4-5D6E-409C-BE32-E72D297353CC}">
              <c16:uniqueId val="{00000002-FC04-43C6-8FFC-B74BB5C58FF9}"/>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workout.xlsx]Sheet1!PivotTable5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 revenue</a:t>
            </a:r>
            <a:r>
              <a:rPr lang="en-US" baseline="0"/>
              <a:t> of stores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Sheet1!$A$2:$A$22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Sheet1!$B$2:$B$22</c:f>
              <c:numCache>
                <c:formatCode>General</c:formatCode>
                <c:ptCount val="20"/>
                <c:pt idx="0">
                  <c:v>84873.616299999965</c:v>
                </c:pt>
                <c:pt idx="1">
                  <c:v>101060.60919999996</c:v>
                </c:pt>
                <c:pt idx="2">
                  <c:v>109806.10699999997</c:v>
                </c:pt>
                <c:pt idx="3">
                  <c:v>93048.14049999998</c:v>
                </c:pt>
                <c:pt idx="4">
                  <c:v>116829.2206</c:v>
                </c:pt>
                <c:pt idx="5">
                  <c:v>114401.47150000001</c:v>
                </c:pt>
                <c:pt idx="6">
                  <c:v>106248.28330000001</c:v>
                </c:pt>
                <c:pt idx="7">
                  <c:v>99679.085999999937</c:v>
                </c:pt>
                <c:pt idx="8">
                  <c:v>111704.94359999998</c:v>
                </c:pt>
                <c:pt idx="9">
                  <c:v>122215.1756</c:v>
                </c:pt>
                <c:pt idx="10">
                  <c:v>104313.05450000001</c:v>
                </c:pt>
                <c:pt idx="11">
                  <c:v>94237.100500000015</c:v>
                </c:pt>
                <c:pt idx="12">
                  <c:v>98960.807799999937</c:v>
                </c:pt>
                <c:pt idx="13">
                  <c:v>125011.8285</c:v>
                </c:pt>
                <c:pt idx="14">
                  <c:v>118814.11569999997</c:v>
                </c:pt>
                <c:pt idx="15">
                  <c:v>81420.790500000032</c:v>
                </c:pt>
                <c:pt idx="16">
                  <c:v>114533.7966</c:v>
                </c:pt>
                <c:pt idx="17">
                  <c:v>108039.34940000002</c:v>
                </c:pt>
                <c:pt idx="18">
                  <c:v>158971.46240000005</c:v>
                </c:pt>
                <c:pt idx="19">
                  <c:v>103794.5282</c:v>
                </c:pt>
              </c:numCache>
            </c:numRef>
          </c:val>
          <c:extLst>
            <c:ext xmlns:c16="http://schemas.microsoft.com/office/drawing/2014/chart" uri="{C3380CC4-5D6E-409C-BE32-E72D297353CC}">
              <c16:uniqueId val="{00000000-5A17-4030-83F7-99B6F01838D6}"/>
            </c:ext>
          </c:extLst>
        </c:ser>
        <c:dLbls>
          <c:showLegendKey val="0"/>
          <c:showVal val="0"/>
          <c:showCatName val="0"/>
          <c:showSerName val="0"/>
          <c:showPercent val="0"/>
          <c:showBubbleSize val="0"/>
        </c:dLbls>
        <c:gapWidth val="219"/>
        <c:overlap val="-27"/>
        <c:axId val="47186160"/>
        <c:axId val="47170320"/>
      </c:barChart>
      <c:catAx>
        <c:axId val="4718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70320"/>
        <c:crosses val="autoZero"/>
        <c:auto val="1"/>
        <c:lblAlgn val="ctr"/>
        <c:lblOffset val="100"/>
        <c:noMultiLvlLbl val="0"/>
      </c:catAx>
      <c:valAx>
        <c:axId val="4717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8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workout.xlsx]Sheet1!PivotTable6</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QUANTITY OF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s>
    <c:plotArea>
      <c:layout/>
      <c:pieChart>
        <c:varyColors val="1"/>
        <c:ser>
          <c:idx val="0"/>
          <c:order val="0"/>
          <c:tx>
            <c:strRef>
              <c:f>Sheet1!$B$24</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D5CA-4110-939E-9BCF8F64666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D5CA-4110-939E-9BCF8F64666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D5CA-4110-939E-9BCF8F646669}"/>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D5CA-4110-939E-9BCF8F646669}"/>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D5CA-4110-939E-9BCF8F6466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Sheet1!$A$25:$A$30</c:f>
              <c:strCache>
                <c:ptCount val="5"/>
                <c:pt idx="0">
                  <c:v>Beauty</c:v>
                </c:pt>
                <c:pt idx="1">
                  <c:v>Clothing</c:v>
                </c:pt>
                <c:pt idx="2">
                  <c:v>Electronics</c:v>
                </c:pt>
                <c:pt idx="3">
                  <c:v>Home</c:v>
                </c:pt>
                <c:pt idx="4">
                  <c:v>Sports</c:v>
                </c:pt>
              </c:strCache>
            </c:strRef>
          </c:cat>
          <c:val>
            <c:numRef>
              <c:f>Sheet1!$B$25:$B$30</c:f>
              <c:numCache>
                <c:formatCode>General</c:formatCode>
                <c:ptCount val="5"/>
                <c:pt idx="0">
                  <c:v>736</c:v>
                </c:pt>
                <c:pt idx="1">
                  <c:v>841.88013221622862</c:v>
                </c:pt>
                <c:pt idx="2">
                  <c:v>1164</c:v>
                </c:pt>
                <c:pt idx="3">
                  <c:v>966.81277342294698</c:v>
                </c:pt>
                <c:pt idx="4">
                  <c:v>1241</c:v>
                </c:pt>
              </c:numCache>
            </c:numRef>
          </c:val>
          <c:extLst>
            <c:ext xmlns:c16="http://schemas.microsoft.com/office/drawing/2014/chart" uri="{C3380CC4-5D6E-409C-BE32-E72D297353CC}">
              <c16:uniqueId val="{0000000A-D5CA-4110-939E-9BCF8F646669}"/>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 workout.xlsx]Sheet1!PivotTable8</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DISCOUNT GIVEN FOR LOYALTY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Sheet1!$B$41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7F9-4DA6-B263-8657D919A50C}"/>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7F9-4DA6-B263-8657D919A50C}"/>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7F9-4DA6-B263-8657D919A50C}"/>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7F9-4DA6-B263-8657D919A50C}"/>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7F9-4DA6-B263-8657D919A5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Sheet1!$A$42:$A$47</c:f>
              <c:strCache>
                <c:ptCount val="5"/>
                <c:pt idx="0">
                  <c:v>Bronze</c:v>
                </c:pt>
                <c:pt idx="1">
                  <c:v>Gold</c:v>
                </c:pt>
                <c:pt idx="2">
                  <c:v>Platinum</c:v>
                </c:pt>
                <c:pt idx="3">
                  <c:v>Silver</c:v>
                </c:pt>
                <c:pt idx="4">
                  <c:v>UNKNOWN</c:v>
                </c:pt>
              </c:strCache>
            </c:strRef>
          </c:cat>
          <c:val>
            <c:numRef>
              <c:f>Sheet1!$B$42:$B$47</c:f>
              <c:numCache>
                <c:formatCode>General</c:formatCode>
                <c:ptCount val="5"/>
                <c:pt idx="0">
                  <c:v>73.02000000000001</c:v>
                </c:pt>
                <c:pt idx="1">
                  <c:v>68.610000000000056</c:v>
                </c:pt>
                <c:pt idx="2">
                  <c:v>90.589999999999989</c:v>
                </c:pt>
                <c:pt idx="3">
                  <c:v>62.22</c:v>
                </c:pt>
                <c:pt idx="4">
                  <c:v>2.2200000000000002</c:v>
                </c:pt>
              </c:numCache>
            </c:numRef>
          </c:val>
          <c:extLst>
            <c:ext xmlns:c16="http://schemas.microsoft.com/office/drawing/2014/chart" uri="{C3380CC4-5D6E-409C-BE32-E72D297353CC}">
              <c16:uniqueId val="{0000000A-D7F9-4DA6-B263-8657D919A50C}"/>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Sheet3!$B$1</c:f>
              <c:strCache>
                <c:ptCount val="1"/>
                <c:pt idx="0">
                  <c:v>Loyalty_Level</c:v>
                </c:pt>
              </c:strCache>
            </c:strRef>
          </c:tx>
          <c:spPr>
            <a:ln w="38100" cap="rnd">
              <a:solidFill>
                <a:schemeClr val="accent1"/>
              </a:solidFill>
              <a:round/>
            </a:ln>
            <a:effectLst/>
          </c:spPr>
          <c:marker>
            <c:symbol val="none"/>
          </c:marker>
          <c:val>
            <c:numRef>
              <c:f>Sheet3!$B$2:$B$60</c:f>
              <c:numCache>
                <c:formatCode>General</c:formatCode>
                <c:ptCount val="59"/>
                <c:pt idx="0">
                  <c:v>13</c:v>
                </c:pt>
                <c:pt idx="1">
                  <c:v>7</c:v>
                </c:pt>
                <c:pt idx="2">
                  <c:v>6</c:v>
                </c:pt>
                <c:pt idx="3">
                  <c:v>14</c:v>
                </c:pt>
                <c:pt idx="4">
                  <c:v>9</c:v>
                </c:pt>
                <c:pt idx="5">
                  <c:v>12</c:v>
                </c:pt>
                <c:pt idx="6">
                  <c:v>8</c:v>
                </c:pt>
                <c:pt idx="7">
                  <c:v>8</c:v>
                </c:pt>
                <c:pt idx="8">
                  <c:v>11</c:v>
                </c:pt>
                <c:pt idx="9">
                  <c:v>14</c:v>
                </c:pt>
                <c:pt idx="10">
                  <c:v>10</c:v>
                </c:pt>
                <c:pt idx="11">
                  <c:v>17</c:v>
                </c:pt>
                <c:pt idx="12">
                  <c:v>7</c:v>
                </c:pt>
                <c:pt idx="13">
                  <c:v>7</c:v>
                </c:pt>
                <c:pt idx="14">
                  <c:v>11</c:v>
                </c:pt>
                <c:pt idx="15">
                  <c:v>10</c:v>
                </c:pt>
                <c:pt idx="16">
                  <c:v>13</c:v>
                </c:pt>
                <c:pt idx="17">
                  <c:v>10</c:v>
                </c:pt>
                <c:pt idx="18">
                  <c:v>11</c:v>
                </c:pt>
                <c:pt idx="19">
                  <c:v>9</c:v>
                </c:pt>
                <c:pt idx="20">
                  <c:v>10</c:v>
                </c:pt>
                <c:pt idx="21">
                  <c:v>6</c:v>
                </c:pt>
                <c:pt idx="22">
                  <c:v>11</c:v>
                </c:pt>
                <c:pt idx="23">
                  <c:v>12</c:v>
                </c:pt>
                <c:pt idx="24">
                  <c:v>12</c:v>
                </c:pt>
                <c:pt idx="25">
                  <c:v>11</c:v>
                </c:pt>
                <c:pt idx="26">
                  <c:v>7</c:v>
                </c:pt>
                <c:pt idx="27">
                  <c:v>11</c:v>
                </c:pt>
                <c:pt idx="28">
                  <c:v>19</c:v>
                </c:pt>
                <c:pt idx="29">
                  <c:v>7</c:v>
                </c:pt>
                <c:pt idx="30">
                  <c:v>11</c:v>
                </c:pt>
                <c:pt idx="31">
                  <c:v>4</c:v>
                </c:pt>
                <c:pt idx="32">
                  <c:v>14</c:v>
                </c:pt>
                <c:pt idx="33">
                  <c:v>7</c:v>
                </c:pt>
                <c:pt idx="34">
                  <c:v>9</c:v>
                </c:pt>
                <c:pt idx="35">
                  <c:v>15</c:v>
                </c:pt>
                <c:pt idx="36">
                  <c:v>17</c:v>
                </c:pt>
                <c:pt idx="37">
                  <c:v>9</c:v>
                </c:pt>
                <c:pt idx="38">
                  <c:v>10</c:v>
                </c:pt>
                <c:pt idx="39">
                  <c:v>4</c:v>
                </c:pt>
                <c:pt idx="40">
                  <c:v>14</c:v>
                </c:pt>
                <c:pt idx="41">
                  <c:v>14</c:v>
                </c:pt>
                <c:pt idx="42">
                  <c:v>18</c:v>
                </c:pt>
                <c:pt idx="43">
                  <c:v>6</c:v>
                </c:pt>
                <c:pt idx="44">
                  <c:v>12</c:v>
                </c:pt>
                <c:pt idx="45">
                  <c:v>7</c:v>
                </c:pt>
                <c:pt idx="46">
                  <c:v>16</c:v>
                </c:pt>
              </c:numCache>
            </c:numRef>
          </c:val>
          <c:smooth val="0"/>
          <c:extLst>
            <c:ext xmlns:c16="http://schemas.microsoft.com/office/drawing/2014/chart" uri="{C3380CC4-5D6E-409C-BE32-E72D297353CC}">
              <c16:uniqueId val="{00000000-D169-4346-9067-39BF2A6FE54A}"/>
            </c:ext>
          </c:extLst>
        </c:ser>
        <c:ser>
          <c:idx val="1"/>
          <c:order val="1"/>
          <c:tx>
            <c:strRef>
              <c:f>Sheet3!$C$1</c:f>
              <c:strCache>
                <c:ptCount val="1"/>
                <c:pt idx="0">
                  <c:v>Forecast(Loyalty_Level)</c:v>
                </c:pt>
              </c:strCache>
            </c:strRef>
          </c:tx>
          <c:spPr>
            <a:ln w="38100" cap="rnd">
              <a:solidFill>
                <a:schemeClr val="accent2"/>
              </a:solidFill>
              <a:round/>
            </a:ln>
            <a:effectLst/>
          </c:spPr>
          <c:marker>
            <c:symbol val="none"/>
          </c:marker>
          <c:cat>
            <c:numRef>
              <c:f>Sheet3!$A$2:$A$60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Sheet3!$C$2:$C$60</c:f>
              <c:numCache>
                <c:formatCode>General</c:formatCode>
                <c:ptCount val="59"/>
                <c:pt idx="46">
                  <c:v>16</c:v>
                </c:pt>
                <c:pt idx="47">
                  <c:v>8.3340768999552637</c:v>
                </c:pt>
                <c:pt idx="48">
                  <c:v>14.184807838483188</c:v>
                </c:pt>
                <c:pt idx="49">
                  <c:v>8.3522106034517059</c:v>
                </c:pt>
                <c:pt idx="50">
                  <c:v>14.202941541979627</c:v>
                </c:pt>
                <c:pt idx="51">
                  <c:v>8.3703443069481445</c:v>
                </c:pt>
                <c:pt idx="52">
                  <c:v>14.221075245476069</c:v>
                </c:pt>
                <c:pt idx="53">
                  <c:v>8.3884780104445866</c:v>
                </c:pt>
                <c:pt idx="54">
                  <c:v>14.239208948972511</c:v>
                </c:pt>
                <c:pt idx="55">
                  <c:v>8.4066117139410252</c:v>
                </c:pt>
                <c:pt idx="56">
                  <c:v>14.257342652468949</c:v>
                </c:pt>
                <c:pt idx="57">
                  <c:v>8.4247454174374674</c:v>
                </c:pt>
                <c:pt idx="58">
                  <c:v>14.275476355965392</c:v>
                </c:pt>
              </c:numCache>
            </c:numRef>
          </c:val>
          <c:smooth val="0"/>
          <c:extLst>
            <c:ext xmlns:c16="http://schemas.microsoft.com/office/drawing/2014/chart" uri="{C3380CC4-5D6E-409C-BE32-E72D297353CC}">
              <c16:uniqueId val="{00000001-D169-4346-9067-39BF2A6FE54A}"/>
            </c:ext>
          </c:extLst>
        </c:ser>
        <c:ser>
          <c:idx val="2"/>
          <c:order val="2"/>
          <c:tx>
            <c:strRef>
              <c:f>Sheet3!$D$1</c:f>
              <c:strCache>
                <c:ptCount val="1"/>
                <c:pt idx="0">
                  <c:v>Lower Confidence Bound(Loyalty_Level)</c:v>
                </c:pt>
              </c:strCache>
            </c:strRef>
          </c:tx>
          <c:spPr>
            <a:ln w="38100" cap="rnd">
              <a:solidFill>
                <a:schemeClr val="accent3"/>
              </a:solidFill>
              <a:round/>
            </a:ln>
            <a:effectLst/>
          </c:spPr>
          <c:marker>
            <c:symbol val="none"/>
          </c:marker>
          <c:cat>
            <c:numRef>
              <c:f>Sheet3!$A$2:$A$60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Sheet3!$D$2:$D$60</c:f>
              <c:numCache>
                <c:formatCode>General</c:formatCode>
                <c:ptCount val="59"/>
                <c:pt idx="46" formatCode="0.00">
                  <c:v>16</c:v>
                </c:pt>
                <c:pt idx="47" formatCode="0.00">
                  <c:v>1.0155919053804929</c:v>
                </c:pt>
                <c:pt idx="48" formatCode="0.00">
                  <c:v>6.8662899108000417</c:v>
                </c:pt>
                <c:pt idx="49" formatCode="0.00">
                  <c:v>0.80130363937768134</c:v>
                </c:pt>
                <c:pt idx="50" formatCode="0.00">
                  <c:v>6.6519459132120522</c:v>
                </c:pt>
                <c:pt idx="51" formatCode="0.00">
                  <c:v>0.59039201049946222</c:v>
                </c:pt>
                <c:pt idx="52" formatCode="0.00">
                  <c:v>6.4409542833106794</c:v>
                </c:pt>
                <c:pt idx="53" formatCode="0.00">
                  <c:v>0.38251368101340333</c:v>
                </c:pt>
                <c:pt idx="54" formatCode="0.00">
                  <c:v>6.2329736775008833</c:v>
                </c:pt>
                <c:pt idx="55" formatCode="0.00">
                  <c:v>0.17736665312374811</c:v>
                </c:pt>
                <c:pt idx="56" formatCode="0.00">
                  <c:v>6.0277038354902821</c:v>
                </c:pt>
                <c:pt idx="57" formatCode="0.00">
                  <c:v>-2.5316297080486549E-2</c:v>
                </c:pt>
                <c:pt idx="58" formatCode="0.00">
                  <c:v>5.8248790601061096</c:v>
                </c:pt>
              </c:numCache>
            </c:numRef>
          </c:val>
          <c:smooth val="0"/>
          <c:extLst>
            <c:ext xmlns:c16="http://schemas.microsoft.com/office/drawing/2014/chart" uri="{C3380CC4-5D6E-409C-BE32-E72D297353CC}">
              <c16:uniqueId val="{00000002-D169-4346-9067-39BF2A6FE54A}"/>
            </c:ext>
          </c:extLst>
        </c:ser>
        <c:ser>
          <c:idx val="3"/>
          <c:order val="3"/>
          <c:tx>
            <c:strRef>
              <c:f>Sheet3!$E$1</c:f>
              <c:strCache>
                <c:ptCount val="1"/>
                <c:pt idx="0">
                  <c:v>Upper Confidence Bound(Loyalty_Level)</c:v>
                </c:pt>
              </c:strCache>
            </c:strRef>
          </c:tx>
          <c:spPr>
            <a:ln w="38100" cap="rnd">
              <a:solidFill>
                <a:schemeClr val="accent4"/>
              </a:solidFill>
              <a:round/>
            </a:ln>
            <a:effectLst/>
          </c:spPr>
          <c:marker>
            <c:symbol val="none"/>
          </c:marker>
          <c:cat>
            <c:numRef>
              <c:f>Sheet3!$A$2:$A$60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Sheet3!$E$2:$E$60</c:f>
              <c:numCache>
                <c:formatCode>General</c:formatCode>
                <c:ptCount val="59"/>
                <c:pt idx="46" formatCode="0.00">
                  <c:v>16</c:v>
                </c:pt>
                <c:pt idx="47" formatCode="0.00">
                  <c:v>15.652561894530034</c:v>
                </c:pt>
                <c:pt idx="48" formatCode="0.00">
                  <c:v>21.503325766166334</c:v>
                </c:pt>
                <c:pt idx="49" formatCode="0.00">
                  <c:v>15.903117567525729</c:v>
                </c:pt>
                <c:pt idx="50" formatCode="0.00">
                  <c:v>21.7539371707472</c:v>
                </c:pt>
                <c:pt idx="51" formatCode="0.00">
                  <c:v>16.150296603396825</c:v>
                </c:pt>
                <c:pt idx="52" formatCode="0.00">
                  <c:v>22.001196207641456</c:v>
                </c:pt>
                <c:pt idx="53" formatCode="0.00">
                  <c:v>16.39444233987577</c:v>
                </c:pt>
                <c:pt idx="54" formatCode="0.00">
                  <c:v>22.245444220444138</c:v>
                </c:pt>
                <c:pt idx="55" formatCode="0.00">
                  <c:v>16.635856774758302</c:v>
                </c:pt>
                <c:pt idx="56" formatCode="0.00">
                  <c:v>22.486981469447617</c:v>
                </c:pt>
                <c:pt idx="57" formatCode="0.00">
                  <c:v>16.874807131955421</c:v>
                </c:pt>
                <c:pt idx="58" formatCode="0.00">
                  <c:v>22.726073651824674</c:v>
                </c:pt>
              </c:numCache>
            </c:numRef>
          </c:val>
          <c:smooth val="0"/>
          <c:extLst>
            <c:ext xmlns:c16="http://schemas.microsoft.com/office/drawing/2014/chart" uri="{C3380CC4-5D6E-409C-BE32-E72D297353CC}">
              <c16:uniqueId val="{00000003-D169-4346-9067-39BF2A6FE54A}"/>
            </c:ext>
          </c:extLst>
        </c:ser>
        <c:dLbls>
          <c:showLegendKey val="0"/>
          <c:showVal val="0"/>
          <c:showCatName val="0"/>
          <c:showSerName val="0"/>
          <c:showPercent val="0"/>
          <c:showBubbleSize val="0"/>
        </c:dLbls>
        <c:smooth val="0"/>
        <c:axId val="695649760"/>
        <c:axId val="695654080"/>
      </c:lineChart>
      <c:catAx>
        <c:axId val="69564976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95654080"/>
        <c:crosses val="autoZero"/>
        <c:auto val="1"/>
        <c:lblAlgn val="ctr"/>
        <c:lblOffset val="100"/>
        <c:noMultiLvlLbl val="0"/>
      </c:catAx>
      <c:valAx>
        <c:axId val="6956540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649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Sheet3!$B$1</c:f>
              <c:strCache>
                <c:ptCount val="1"/>
                <c:pt idx="0">
                  <c:v>Loyalty_Level</c:v>
                </c:pt>
              </c:strCache>
            </c:strRef>
          </c:tx>
          <c:spPr>
            <a:ln w="28575" cap="rnd">
              <a:solidFill>
                <a:schemeClr val="accent1"/>
              </a:solidFill>
              <a:round/>
            </a:ln>
            <a:effectLst/>
          </c:spPr>
          <c:marker>
            <c:symbol val="none"/>
          </c:marker>
          <c:val>
            <c:numRef>
              <c:f>Sheet3!$B$2:$B$60</c:f>
              <c:numCache>
                <c:formatCode>General</c:formatCode>
                <c:ptCount val="59"/>
                <c:pt idx="0">
                  <c:v>13</c:v>
                </c:pt>
                <c:pt idx="1">
                  <c:v>7</c:v>
                </c:pt>
                <c:pt idx="2">
                  <c:v>6</c:v>
                </c:pt>
                <c:pt idx="3">
                  <c:v>14</c:v>
                </c:pt>
                <c:pt idx="4">
                  <c:v>9</c:v>
                </c:pt>
                <c:pt idx="5">
                  <c:v>12</c:v>
                </c:pt>
                <c:pt idx="6">
                  <c:v>8</c:v>
                </c:pt>
                <c:pt idx="7">
                  <c:v>8</c:v>
                </c:pt>
                <c:pt idx="8">
                  <c:v>11</c:v>
                </c:pt>
                <c:pt idx="9">
                  <c:v>14</c:v>
                </c:pt>
                <c:pt idx="10">
                  <c:v>10</c:v>
                </c:pt>
                <c:pt idx="11">
                  <c:v>17</c:v>
                </c:pt>
                <c:pt idx="12">
                  <c:v>7</c:v>
                </c:pt>
                <c:pt idx="13">
                  <c:v>7</c:v>
                </c:pt>
                <c:pt idx="14">
                  <c:v>11</c:v>
                </c:pt>
                <c:pt idx="15">
                  <c:v>10</c:v>
                </c:pt>
                <c:pt idx="16">
                  <c:v>13</c:v>
                </c:pt>
                <c:pt idx="17">
                  <c:v>10</c:v>
                </c:pt>
                <c:pt idx="18">
                  <c:v>11</c:v>
                </c:pt>
                <c:pt idx="19">
                  <c:v>9</c:v>
                </c:pt>
                <c:pt idx="20">
                  <c:v>10</c:v>
                </c:pt>
                <c:pt idx="21">
                  <c:v>6</c:v>
                </c:pt>
                <c:pt idx="22">
                  <c:v>11</c:v>
                </c:pt>
                <c:pt idx="23">
                  <c:v>12</c:v>
                </c:pt>
                <c:pt idx="24">
                  <c:v>12</c:v>
                </c:pt>
                <c:pt idx="25">
                  <c:v>11</c:v>
                </c:pt>
                <c:pt idx="26">
                  <c:v>7</c:v>
                </c:pt>
                <c:pt idx="27">
                  <c:v>11</c:v>
                </c:pt>
                <c:pt idx="28">
                  <c:v>19</c:v>
                </c:pt>
                <c:pt idx="29">
                  <c:v>7</c:v>
                </c:pt>
                <c:pt idx="30">
                  <c:v>11</c:v>
                </c:pt>
                <c:pt idx="31">
                  <c:v>4</c:v>
                </c:pt>
                <c:pt idx="32">
                  <c:v>14</c:v>
                </c:pt>
                <c:pt idx="33">
                  <c:v>7</c:v>
                </c:pt>
                <c:pt idx="34">
                  <c:v>9</c:v>
                </c:pt>
                <c:pt idx="35">
                  <c:v>15</c:v>
                </c:pt>
                <c:pt idx="36">
                  <c:v>17</c:v>
                </c:pt>
                <c:pt idx="37">
                  <c:v>9</c:v>
                </c:pt>
                <c:pt idx="38">
                  <c:v>10</c:v>
                </c:pt>
                <c:pt idx="39">
                  <c:v>4</c:v>
                </c:pt>
                <c:pt idx="40">
                  <c:v>14</c:v>
                </c:pt>
                <c:pt idx="41">
                  <c:v>14</c:v>
                </c:pt>
                <c:pt idx="42">
                  <c:v>18</c:v>
                </c:pt>
                <c:pt idx="43">
                  <c:v>6</c:v>
                </c:pt>
                <c:pt idx="44">
                  <c:v>12</c:v>
                </c:pt>
                <c:pt idx="45">
                  <c:v>7</c:v>
                </c:pt>
                <c:pt idx="46">
                  <c:v>16</c:v>
                </c:pt>
              </c:numCache>
            </c:numRef>
          </c:val>
          <c:smooth val="0"/>
          <c:extLst>
            <c:ext xmlns:c16="http://schemas.microsoft.com/office/drawing/2014/chart" uri="{C3380CC4-5D6E-409C-BE32-E72D297353CC}">
              <c16:uniqueId val="{00000000-2E54-4FCA-91E4-3361E29342D9}"/>
            </c:ext>
          </c:extLst>
        </c:ser>
        <c:ser>
          <c:idx val="1"/>
          <c:order val="1"/>
          <c:tx>
            <c:strRef>
              <c:f>Sheet3!$C$1</c:f>
              <c:strCache>
                <c:ptCount val="1"/>
                <c:pt idx="0">
                  <c:v>Forecast(Loyalty_Level)</c:v>
                </c:pt>
              </c:strCache>
            </c:strRef>
          </c:tx>
          <c:spPr>
            <a:ln w="25400" cap="rnd">
              <a:solidFill>
                <a:schemeClr val="accent2"/>
              </a:solidFill>
              <a:round/>
            </a:ln>
            <a:effectLst/>
          </c:spPr>
          <c:marker>
            <c:symbol val="none"/>
          </c:marker>
          <c:cat>
            <c:numRef>
              <c:f>Sheet3!$A$2:$A$60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Sheet3!$C$2:$C$60</c:f>
              <c:numCache>
                <c:formatCode>General</c:formatCode>
                <c:ptCount val="59"/>
                <c:pt idx="46">
                  <c:v>16</c:v>
                </c:pt>
                <c:pt idx="47">
                  <c:v>8.3340768999552637</c:v>
                </c:pt>
                <c:pt idx="48">
                  <c:v>14.184807838483188</c:v>
                </c:pt>
                <c:pt idx="49">
                  <c:v>8.3522106034517059</c:v>
                </c:pt>
                <c:pt idx="50">
                  <c:v>14.202941541979627</c:v>
                </c:pt>
                <c:pt idx="51">
                  <c:v>8.3703443069481445</c:v>
                </c:pt>
                <c:pt idx="52">
                  <c:v>14.221075245476069</c:v>
                </c:pt>
                <c:pt idx="53">
                  <c:v>8.3884780104445866</c:v>
                </c:pt>
                <c:pt idx="54">
                  <c:v>14.239208948972511</c:v>
                </c:pt>
                <c:pt idx="55">
                  <c:v>8.4066117139410252</c:v>
                </c:pt>
                <c:pt idx="56">
                  <c:v>14.257342652468949</c:v>
                </c:pt>
                <c:pt idx="57">
                  <c:v>8.4247454174374674</c:v>
                </c:pt>
                <c:pt idx="58">
                  <c:v>14.275476355965392</c:v>
                </c:pt>
              </c:numCache>
            </c:numRef>
          </c:val>
          <c:smooth val="0"/>
          <c:extLst>
            <c:ext xmlns:c16="http://schemas.microsoft.com/office/drawing/2014/chart" uri="{C3380CC4-5D6E-409C-BE32-E72D297353CC}">
              <c16:uniqueId val="{00000001-2E54-4FCA-91E4-3361E29342D9}"/>
            </c:ext>
          </c:extLst>
        </c:ser>
        <c:ser>
          <c:idx val="2"/>
          <c:order val="2"/>
          <c:tx>
            <c:strRef>
              <c:f>Sheet3!$D$1</c:f>
              <c:strCache>
                <c:ptCount val="1"/>
                <c:pt idx="0">
                  <c:v>Lower Confidence Bound(Loyalty_Level)</c:v>
                </c:pt>
              </c:strCache>
            </c:strRef>
          </c:tx>
          <c:spPr>
            <a:ln w="12700" cap="rnd">
              <a:solidFill>
                <a:srgbClr val="C0504D"/>
              </a:solidFill>
              <a:prstDash val="solid"/>
              <a:round/>
            </a:ln>
            <a:effectLst/>
          </c:spPr>
          <c:marker>
            <c:symbol val="none"/>
          </c:marker>
          <c:cat>
            <c:numRef>
              <c:f>Sheet3!$A$2:$A$60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Sheet3!$D$2:$D$60</c:f>
              <c:numCache>
                <c:formatCode>General</c:formatCode>
                <c:ptCount val="59"/>
                <c:pt idx="46" formatCode="0.00">
                  <c:v>16</c:v>
                </c:pt>
                <c:pt idx="47" formatCode="0.00">
                  <c:v>1.0155919053804929</c:v>
                </c:pt>
                <c:pt idx="48" formatCode="0.00">
                  <c:v>6.8662899108000417</c:v>
                </c:pt>
                <c:pt idx="49" formatCode="0.00">
                  <c:v>0.80130363937768134</c:v>
                </c:pt>
                <c:pt idx="50" formatCode="0.00">
                  <c:v>6.6519459132120522</c:v>
                </c:pt>
                <c:pt idx="51" formatCode="0.00">
                  <c:v>0.59039201049946222</c:v>
                </c:pt>
                <c:pt idx="52" formatCode="0.00">
                  <c:v>6.4409542833106794</c:v>
                </c:pt>
                <c:pt idx="53" formatCode="0.00">
                  <c:v>0.38251368101340333</c:v>
                </c:pt>
                <c:pt idx="54" formatCode="0.00">
                  <c:v>6.2329736775008833</c:v>
                </c:pt>
                <c:pt idx="55" formatCode="0.00">
                  <c:v>0.17736665312374811</c:v>
                </c:pt>
                <c:pt idx="56" formatCode="0.00">
                  <c:v>6.0277038354902821</c:v>
                </c:pt>
                <c:pt idx="57" formatCode="0.00">
                  <c:v>-2.5316297080486549E-2</c:v>
                </c:pt>
                <c:pt idx="58" formatCode="0.00">
                  <c:v>5.8248790601061096</c:v>
                </c:pt>
              </c:numCache>
            </c:numRef>
          </c:val>
          <c:smooth val="0"/>
          <c:extLst>
            <c:ext xmlns:c16="http://schemas.microsoft.com/office/drawing/2014/chart" uri="{C3380CC4-5D6E-409C-BE32-E72D297353CC}">
              <c16:uniqueId val="{00000002-2E54-4FCA-91E4-3361E29342D9}"/>
            </c:ext>
          </c:extLst>
        </c:ser>
        <c:ser>
          <c:idx val="3"/>
          <c:order val="3"/>
          <c:tx>
            <c:strRef>
              <c:f>Sheet3!$E$1</c:f>
              <c:strCache>
                <c:ptCount val="1"/>
                <c:pt idx="0">
                  <c:v>Upper Confidence Bound(Loyalty_Level)</c:v>
                </c:pt>
              </c:strCache>
            </c:strRef>
          </c:tx>
          <c:spPr>
            <a:ln w="12700" cap="rnd">
              <a:solidFill>
                <a:srgbClr val="C0504D"/>
              </a:solidFill>
              <a:prstDash val="solid"/>
              <a:round/>
            </a:ln>
            <a:effectLst/>
          </c:spPr>
          <c:marker>
            <c:symbol val="none"/>
          </c:marker>
          <c:cat>
            <c:numRef>
              <c:f>Sheet3!$A$2:$A$60</c:f>
              <c:numCache>
                <c:formatCode>General</c:formatCode>
                <c:ptCount val="59"/>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pt idx="53">
                  <c:v>71</c:v>
                </c:pt>
                <c:pt idx="54">
                  <c:v>72</c:v>
                </c:pt>
                <c:pt idx="55">
                  <c:v>73</c:v>
                </c:pt>
                <c:pt idx="56">
                  <c:v>74</c:v>
                </c:pt>
                <c:pt idx="57">
                  <c:v>75</c:v>
                </c:pt>
                <c:pt idx="58">
                  <c:v>76</c:v>
                </c:pt>
              </c:numCache>
            </c:numRef>
          </c:cat>
          <c:val>
            <c:numRef>
              <c:f>Sheet3!$E$2:$E$60</c:f>
              <c:numCache>
                <c:formatCode>General</c:formatCode>
                <c:ptCount val="59"/>
                <c:pt idx="46" formatCode="0.00">
                  <c:v>16</c:v>
                </c:pt>
                <c:pt idx="47" formatCode="0.00">
                  <c:v>15.652561894530034</c:v>
                </c:pt>
                <c:pt idx="48" formatCode="0.00">
                  <c:v>21.503325766166334</c:v>
                </c:pt>
                <c:pt idx="49" formatCode="0.00">
                  <c:v>15.903117567525729</c:v>
                </c:pt>
                <c:pt idx="50" formatCode="0.00">
                  <c:v>21.7539371707472</c:v>
                </c:pt>
                <c:pt idx="51" formatCode="0.00">
                  <c:v>16.150296603396825</c:v>
                </c:pt>
                <c:pt idx="52" formatCode="0.00">
                  <c:v>22.001196207641456</c:v>
                </c:pt>
                <c:pt idx="53" formatCode="0.00">
                  <c:v>16.39444233987577</c:v>
                </c:pt>
                <c:pt idx="54" formatCode="0.00">
                  <c:v>22.245444220444138</c:v>
                </c:pt>
                <c:pt idx="55" formatCode="0.00">
                  <c:v>16.635856774758302</c:v>
                </c:pt>
                <c:pt idx="56" formatCode="0.00">
                  <c:v>22.486981469447617</c:v>
                </c:pt>
                <c:pt idx="57" formatCode="0.00">
                  <c:v>16.874807131955421</c:v>
                </c:pt>
                <c:pt idx="58" formatCode="0.00">
                  <c:v>22.726073651824674</c:v>
                </c:pt>
              </c:numCache>
            </c:numRef>
          </c:val>
          <c:smooth val="0"/>
          <c:extLst>
            <c:ext xmlns:c16="http://schemas.microsoft.com/office/drawing/2014/chart" uri="{C3380CC4-5D6E-409C-BE32-E72D297353CC}">
              <c16:uniqueId val="{00000003-2E54-4FCA-91E4-3361E29342D9}"/>
            </c:ext>
          </c:extLst>
        </c:ser>
        <c:dLbls>
          <c:showLegendKey val="0"/>
          <c:showVal val="0"/>
          <c:showCatName val="0"/>
          <c:showSerName val="0"/>
          <c:showPercent val="0"/>
          <c:showBubbleSize val="0"/>
        </c:dLbls>
        <c:smooth val="0"/>
        <c:axId val="695649760"/>
        <c:axId val="695654080"/>
      </c:lineChart>
      <c:catAx>
        <c:axId val="69564976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654080"/>
        <c:crosses val="autoZero"/>
        <c:auto val="1"/>
        <c:lblAlgn val="ctr"/>
        <c:lblOffset val="100"/>
        <c:noMultiLvlLbl val="0"/>
      </c:catAx>
      <c:valAx>
        <c:axId val="69565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64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Chart PAYMENT MODE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Chart PAYMENT MODE</a:t>
          </a:r>
        </a:p>
      </cx:txPr>
    </cx:title>
    <cx:plotArea>
      <cx:plotAreaRegion>
        <cx:series layoutId="sunburst" uniqueId="{DF47D65E-CCE1-4E09-85D9-0CFCCF58B151}">
          <cx:tx>
            <cx:txData>
              <cx:f>_xlchart.v1.1</cx:f>
              <cx:v>Sum of Total_Amount</cx:v>
            </cx:txData>
          </cx:tx>
          <cx:dataLabels>
            <cx:visibility seriesName="0" categoryName="1" value="0"/>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Chart PAYMENT MODE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Chart PAYMENT MODE</a:t>
          </a:r>
        </a:p>
      </cx:txPr>
    </cx:title>
    <cx:plotArea>
      <cx:plotAreaRegion>
        <cx:series layoutId="sunburst" uniqueId="{DF47D65E-CCE1-4E09-85D9-0CFCCF58B151}">
          <cx:tx>
            <cx:txData>
              <cx:f>_xlchart.v1.7</cx:f>
              <cx:v>Sum of Total_Amount</cx:v>
            </cx:txData>
          </cx:tx>
          <cx:dataLabels>
            <cx:visibility seriesName="0" categoryName="1" value="0"/>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228600</xdr:colOff>
      <xdr:row>0</xdr:row>
      <xdr:rowOff>161925</xdr:rowOff>
    </xdr:from>
    <xdr:to>
      <xdr:col>13</xdr:col>
      <xdr:colOff>38100</xdr:colOff>
      <xdr:row>18</xdr:row>
      <xdr:rowOff>14287</xdr:rowOff>
    </xdr:to>
    <xdr:graphicFrame macro="">
      <xdr:nvGraphicFramePr>
        <xdr:cNvPr id="3" name="Chart 2">
          <a:extLst>
            <a:ext uri="{FF2B5EF4-FFF2-40B4-BE49-F238E27FC236}">
              <a16:creationId xmlns:a16="http://schemas.microsoft.com/office/drawing/2014/main" id="{6B5A72B1-F020-472A-40A3-C5B915882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85725</xdr:colOff>
      <xdr:row>18</xdr:row>
      <xdr:rowOff>33337</xdr:rowOff>
    </xdr:from>
    <xdr:to>
      <xdr:col>11</xdr:col>
      <xdr:colOff>285750</xdr:colOff>
      <xdr:row>29</xdr:row>
      <xdr:rowOff>19050</xdr:rowOff>
    </xdr:to>
    <xdr:graphicFrame macro="">
      <xdr:nvGraphicFramePr>
        <xdr:cNvPr id="4" name="Chart 3">
          <a:extLst>
            <a:ext uri="{FF2B5EF4-FFF2-40B4-BE49-F238E27FC236}">
              <a16:creationId xmlns:a16="http://schemas.microsoft.com/office/drawing/2014/main" id="{EC5BE269-D8A5-88FE-2CA4-B2A279C67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85725</xdr:colOff>
      <xdr:row>29</xdr:row>
      <xdr:rowOff>61912</xdr:rowOff>
    </xdr:from>
    <xdr:to>
      <xdr:col>11</xdr:col>
      <xdr:colOff>152400</xdr:colOff>
      <xdr:row>39</xdr:row>
      <xdr:rowOff>123825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ABF0C730-7303-2ECA-B42A-F240F22181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152900" y="5586412"/>
              <a:ext cx="3724275" cy="19669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104775</xdr:colOff>
      <xdr:row>42</xdr:row>
      <xdr:rowOff>128587</xdr:rowOff>
    </xdr:from>
    <xdr:to>
      <xdr:col>10</xdr:col>
      <xdr:colOff>485775</xdr:colOff>
      <xdr:row>57</xdr:row>
      <xdr:rowOff>14287</xdr:rowOff>
    </xdr:to>
    <xdr:graphicFrame macro="">
      <xdr:nvGraphicFramePr>
        <xdr:cNvPr id="10" name="Chart 9">
          <a:extLst>
            <a:ext uri="{FF2B5EF4-FFF2-40B4-BE49-F238E27FC236}">
              <a16:creationId xmlns:a16="http://schemas.microsoft.com/office/drawing/2014/main" id="{6D1E669F-EF37-447E-0609-28D440254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361950</xdr:colOff>
      <xdr:row>1</xdr:row>
      <xdr:rowOff>85725</xdr:rowOff>
    </xdr:from>
    <xdr:to>
      <xdr:col>10</xdr:col>
      <xdr:colOff>590550</xdr:colOff>
      <xdr:row>15</xdr:row>
      <xdr:rowOff>95250</xdr:rowOff>
    </xdr:to>
    <xdr:graphicFrame macro="">
      <xdr:nvGraphicFramePr>
        <xdr:cNvPr id="2" name="Chart 1">
          <a:extLst>
            <a:ext uri="{FF2B5EF4-FFF2-40B4-BE49-F238E27FC236}">
              <a16:creationId xmlns:a16="http://schemas.microsoft.com/office/drawing/2014/main" id="{894C38F1-2BE7-422B-9634-F9895BC13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19050</xdr:colOff>
      <xdr:row>1</xdr:row>
      <xdr:rowOff>38100</xdr:rowOff>
    </xdr:from>
    <xdr:to>
      <xdr:col>18</xdr:col>
      <xdr:colOff>323849</xdr:colOff>
      <xdr:row>15</xdr:row>
      <xdr:rowOff>47625</xdr:rowOff>
    </xdr:to>
    <xdr:graphicFrame macro="">
      <xdr:nvGraphicFramePr>
        <xdr:cNvPr id="3" name="Chart 2">
          <a:extLst>
            <a:ext uri="{FF2B5EF4-FFF2-40B4-BE49-F238E27FC236}">
              <a16:creationId xmlns:a16="http://schemas.microsoft.com/office/drawing/2014/main" id="{D3DAFC5D-8662-4F0A-8167-B78006350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142874</xdr:colOff>
      <xdr:row>15</xdr:row>
      <xdr:rowOff>133350</xdr:rowOff>
    </xdr:from>
    <xdr:to>
      <xdr:col>10</xdr:col>
      <xdr:colOff>228599</xdr:colOff>
      <xdr:row>31</xdr:row>
      <xdr:rowOff>161925</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4DD0305-B8F0-444D-87B5-4E3120A7DC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62074" y="3200400"/>
              <a:ext cx="4962525" cy="30765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314323</xdr:colOff>
      <xdr:row>16</xdr:row>
      <xdr:rowOff>9525</xdr:rowOff>
    </xdr:from>
    <xdr:to>
      <xdr:col>18</xdr:col>
      <xdr:colOff>276224</xdr:colOff>
      <xdr:row>31</xdr:row>
      <xdr:rowOff>66675</xdr:rowOff>
    </xdr:to>
    <xdr:graphicFrame macro="">
      <xdr:nvGraphicFramePr>
        <xdr:cNvPr id="6" name="Chart 5">
          <a:extLst>
            <a:ext uri="{FF2B5EF4-FFF2-40B4-BE49-F238E27FC236}">
              <a16:creationId xmlns:a16="http://schemas.microsoft.com/office/drawing/2014/main" id="{1FFB615B-0DEE-4D1D-A9B9-32771C2E22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3</xdr:col>
      <xdr:colOff>0</xdr:colOff>
      <xdr:row>12</xdr:row>
      <xdr:rowOff>28575</xdr:rowOff>
    </xdr:to>
    <mc:AlternateContent xmlns:mc="http://schemas.openxmlformats.org/markup-compatibility/2006">
      <mc:Choice xmlns:a14="http://schemas.microsoft.com/office/drawing/2010/main" Requires="a14">
        <xdr:graphicFrame macro="">
          <xdr:nvGraphicFramePr>
            <xdr:cNvPr id="7" name="STORE0">
              <a:extLst>
                <a:ext uri="{FF2B5EF4-FFF2-40B4-BE49-F238E27FC236}">
                  <a16:creationId xmlns:a16="http://schemas.microsoft.com/office/drawing/2014/main" id="{6860A24B-7C9C-A9F2-7E5F-1FD433B29C2F}"/>
                </a:ext>
              </a:extLst>
            </xdr:cNvPr>
            <xdr:cNvGraphicFramePr/>
          </xdr:nvGraphicFramePr>
          <xdr:xfrm>
            <a:off x="0" y="0"/>
            <a:ext cx="0" cy="0"/>
          </xdr:xfrm>
          <a:graphic>
            <a:graphicData uri="http://schemas.microsoft.com/office/drawing/2010/slicer">
              <sle:slicer xmlns:sle="http://schemas.microsoft.com/office/drawing/2010/slicer" name="STORE0"/>
            </a:graphicData>
          </a:graphic>
        </xdr:graphicFrame>
      </mc:Choice>
      <mc:Fallback>
        <xdr:sp macro="" textlink="">
          <xdr:nvSpPr>
            <xdr:cNvPr id="0" name=""/>
            <xdr:cNvSpPr>
              <a:spLocks noTextEdit="1"/>
            </xdr:cNvSpPr>
          </xdr:nvSpPr>
          <xdr:spPr>
            <a:xfrm>
              <a:off x="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19050</xdr:rowOff>
    </xdr:from>
    <xdr:to>
      <xdr:col>3</xdr:col>
      <xdr:colOff>0</xdr:colOff>
      <xdr:row>25</xdr:row>
      <xdr:rowOff>66675</xdr:rowOff>
    </xdr:to>
    <mc:AlternateContent xmlns:mc="http://schemas.openxmlformats.org/markup-compatibility/2006">
      <mc:Choice xmlns:a14="http://schemas.microsoft.com/office/drawing/2010/main" Requires="a14">
        <xdr:graphicFrame macro="">
          <xdr:nvGraphicFramePr>
            <xdr:cNvPr id="10" name="Gibson, Hobbs and Weaver">
              <a:extLst>
                <a:ext uri="{FF2B5EF4-FFF2-40B4-BE49-F238E27FC236}">
                  <a16:creationId xmlns:a16="http://schemas.microsoft.com/office/drawing/2014/main" id="{37C57B25-20A0-993B-C172-CC3E2B952E40}"/>
                </a:ext>
              </a:extLst>
            </xdr:cNvPr>
            <xdr:cNvGraphicFramePr/>
          </xdr:nvGraphicFramePr>
          <xdr:xfrm>
            <a:off x="0" y="0"/>
            <a:ext cx="0" cy="0"/>
          </xdr:xfrm>
          <a:graphic>
            <a:graphicData uri="http://schemas.microsoft.com/office/drawing/2010/slicer">
              <sle:slicer xmlns:sle="http://schemas.microsoft.com/office/drawing/2010/slicer" name="Gibson, Hobbs and Weaver"/>
            </a:graphicData>
          </a:graphic>
        </xdr:graphicFrame>
      </mc:Choice>
      <mc:Fallback>
        <xdr:sp macro="" textlink="">
          <xdr:nvSpPr>
            <xdr:cNvPr id="0" name=""/>
            <xdr:cNvSpPr>
              <a:spLocks noTextEdit="1"/>
            </xdr:cNvSpPr>
          </xdr:nvSpPr>
          <xdr:spPr>
            <a:xfrm>
              <a:off x="0" y="2514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85725</xdr:rowOff>
    </xdr:from>
    <xdr:to>
      <xdr:col>3</xdr:col>
      <xdr:colOff>0</xdr:colOff>
      <xdr:row>30</xdr:row>
      <xdr:rowOff>152400</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21CFA008-487C-375F-A2F8-8FD0F562E93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5248275"/>
              <a:ext cx="1828800" cy="828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180975</xdr:rowOff>
    </xdr:from>
    <xdr:to>
      <xdr:col>3</xdr:col>
      <xdr:colOff>0</xdr:colOff>
      <xdr:row>44</xdr:row>
      <xdr:rowOff>38100</xdr:rowOff>
    </xdr:to>
    <mc:AlternateContent xmlns:mc="http://schemas.openxmlformats.org/markup-compatibility/2006">
      <mc:Choice xmlns:a14="http://schemas.microsoft.com/office/drawing/2010/main" Requires="a14">
        <xdr:graphicFrame macro="">
          <xdr:nvGraphicFramePr>
            <xdr:cNvPr id="14" name="Years (Order_Date)">
              <a:extLst>
                <a:ext uri="{FF2B5EF4-FFF2-40B4-BE49-F238E27FC236}">
                  <a16:creationId xmlns:a16="http://schemas.microsoft.com/office/drawing/2014/main" id="{ADC7EADC-1724-D6F1-C617-32E0FD46B2BA}"/>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0" y="6105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33</xdr:row>
      <xdr:rowOff>0</xdr:rowOff>
    </xdr:from>
    <xdr:to>
      <xdr:col>14</xdr:col>
      <xdr:colOff>38100</xdr:colOff>
      <xdr:row>48</xdr:row>
      <xdr:rowOff>76200</xdr:rowOff>
    </xdr:to>
    <xdr:graphicFrame macro="">
      <xdr:nvGraphicFramePr>
        <xdr:cNvPr id="15" name="Chart 14">
          <a:extLst>
            <a:ext uri="{FF2B5EF4-FFF2-40B4-BE49-F238E27FC236}">
              <a16:creationId xmlns:a16="http://schemas.microsoft.com/office/drawing/2014/main" id="{1B88E570-09A3-4225-BFCD-CA9312B24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771525</xdr:colOff>
      <xdr:row>3</xdr:row>
      <xdr:rowOff>128587</xdr:rowOff>
    </xdr:from>
    <xdr:to>
      <xdr:col>7</xdr:col>
      <xdr:colOff>514350</xdr:colOff>
      <xdr:row>19</xdr:row>
      <xdr:rowOff>14287</xdr:rowOff>
    </xdr:to>
    <xdr:graphicFrame macro="">
      <xdr:nvGraphicFramePr>
        <xdr:cNvPr id="2" name="Chart 1">
          <a:extLst>
            <a:ext uri="{FF2B5EF4-FFF2-40B4-BE49-F238E27FC236}">
              <a16:creationId xmlns:a16="http://schemas.microsoft.com/office/drawing/2014/main" id="{800D65DB-E914-2DFE-F6C4-AE7849C56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5.730649999998" createdVersion="8" refreshedVersion="8" minRefreshableVersion="3" recordCount="1994" xr:uid="{64E7503C-B0EF-4B4E-A772-D3395CEAD0E6}">
  <cacheSource type="worksheet">
    <worksheetSource ref="A2:K1996" sheet="Sales_Fact"/>
  </cacheSource>
  <cacheFields count="11">
    <cacheField name="STORE0" numFmtId="0">
      <sharedItems count="20">
        <s v="STORE0"/>
        <s v="STORE1"/>
        <s v="STORE10"/>
        <s v="STORE11"/>
        <s v="STORE12"/>
        <s v="STORE13"/>
        <s v="STORE14"/>
        <s v="STORE15"/>
        <s v="STORE16"/>
        <s v="STORE17"/>
        <s v="STORE18"/>
        <s v="STORE19"/>
        <s v="STORE2"/>
        <s v="STORE3"/>
        <s v="STORE4"/>
        <s v="STORE5"/>
        <s v="STORE6"/>
        <s v="STORE7"/>
        <s v="STORE8"/>
        <s v="STORE9"/>
      </sharedItems>
    </cacheField>
    <cacheField name="SALE638" numFmtId="0">
      <sharedItems count="1994">
        <s v="SALE1727"/>
        <s v="SALE1814"/>
        <s v="SALE1917"/>
        <s v="SALE244"/>
        <s v="SALE1278"/>
        <s v="SALE535"/>
        <s v="SALE1808"/>
        <s v="SALE236"/>
        <s v="SALE1562"/>
        <s v="SALE494"/>
        <s v="SALE843"/>
        <s v="SALE404"/>
        <s v="SALE667"/>
        <s v="SALE395"/>
        <s v="SALE649"/>
        <s v="SALE929"/>
        <s v="SALE1765"/>
        <s v="SALE1877"/>
        <s v="SALE357"/>
        <s v="SALE1435"/>
        <s v="SALE1048"/>
        <s v="SALE1903"/>
        <s v="SALE9"/>
        <s v="SALE182"/>
        <s v="SALE1612"/>
        <s v="SALE1165"/>
        <s v="SALE1758"/>
        <s v="SALE1556"/>
        <s v="SALE472"/>
        <s v="SALE269"/>
        <s v="SALE88"/>
        <s v="SALE1445"/>
        <s v="SALE1781"/>
        <s v="SALE1292"/>
        <s v="SALE794"/>
        <s v="SALE1122"/>
        <s v="SALE541"/>
        <s v="SALE1334"/>
        <s v="SALE179"/>
        <s v="SALE1871"/>
        <s v="SALE1558"/>
        <s v="SALE141"/>
        <s v="SALE1647"/>
        <s v="SALE156"/>
        <s v="SALE1776"/>
        <s v="SALE345"/>
        <s v="SALE234"/>
        <s v="SALE453"/>
        <s v="SALE1641"/>
        <s v="SALE854"/>
        <s v="SALE1722"/>
        <s v="SALE329"/>
        <s v="SALE1246"/>
        <s v="SALE965"/>
        <s v="SALE427"/>
        <s v="SALE1989"/>
        <s v="SALE1827"/>
        <s v="SALE1517"/>
        <s v="SALE1363"/>
        <s v="SALE762"/>
        <s v="SALE1602"/>
        <s v="SALE1269"/>
        <s v="SALE161"/>
        <s v="SALE919"/>
        <s v="SALE605"/>
        <s v="SALE493"/>
        <s v="SALE1030"/>
        <s v="SALE521"/>
        <s v="SALE819"/>
        <s v="SALE1336"/>
        <s v="SALE1654"/>
        <s v="SALE1026"/>
        <s v="SALE523"/>
        <s v="SALE768"/>
        <s v="SALE1836"/>
        <s v="SALE629"/>
        <s v="SALE440"/>
        <s v="SALE883"/>
        <s v="SALE1252"/>
        <s v="SALE839"/>
        <s v="SALE148"/>
        <s v="SALE519"/>
        <s v="SALE1280"/>
        <s v="SALE1509"/>
        <s v="SALE109"/>
        <s v="SALE1147"/>
        <s v="SALE728"/>
        <s v="SALE892"/>
        <s v="SALE1582"/>
        <s v="SALE818"/>
        <s v="SALE496"/>
        <s v="SALE1739"/>
        <s v="SALE274"/>
        <s v="SALE1865"/>
        <s v="SALE1715"/>
        <s v="SALE326"/>
        <s v="SALE1895"/>
        <s v="SALE1185"/>
        <s v="SALE609"/>
        <s v="SALE91"/>
        <s v="SALE572"/>
        <s v="SALE89"/>
        <s v="SALE297"/>
        <s v="SALE683"/>
        <s v="SALE356"/>
        <s v="SALE647"/>
        <s v="SALE1340"/>
        <s v="SALE1819"/>
        <s v="SALE979"/>
        <s v="SALE1417"/>
        <s v="SALE1036"/>
        <s v="SALE257"/>
        <s v="SALE1003"/>
        <s v="SALE545"/>
        <s v="SALE481"/>
        <s v="SALE939"/>
        <s v="SALE1902"/>
        <s v="SALE1323"/>
        <s v="SALE1685"/>
        <s v="SALE163"/>
        <s v="SALE1635"/>
        <s v="SALE1129"/>
        <s v="SALE946"/>
        <s v="SALE1133"/>
        <s v="SALE1753"/>
        <s v="SALE11"/>
        <s v="SALE1065"/>
        <s v="SALE1433"/>
        <s v="SALE1595"/>
        <s v="SALE823"/>
        <s v="SALE1179"/>
        <s v="SALE1578"/>
        <s v="SALE1049"/>
        <s v="SALE1144"/>
        <s v="SALE1106"/>
        <s v="SALE1811"/>
        <s v="SALE503"/>
        <s v="SALE645"/>
        <s v="SALE644"/>
        <s v="SALE601"/>
        <s v="SALE1175"/>
        <s v="SALE202"/>
        <s v="SALE1549"/>
        <s v="SALE1297"/>
        <s v="SALE1936"/>
        <s v="SALE1437"/>
        <s v="SALE1774"/>
        <s v="SALE651"/>
        <s v="SALE725"/>
        <s v="SALE71"/>
        <s v="SALE218"/>
        <s v="SALE1950"/>
        <s v="SALE1253"/>
        <s v="SALE308"/>
        <s v="SALE585"/>
        <s v="SALE761"/>
        <s v="SALE379"/>
        <s v="SALE34"/>
        <s v="SALE1101"/>
        <s v="SALE791"/>
        <s v="SALE696"/>
        <s v="SALE1163"/>
        <s v="SALE928"/>
        <s v="SALE1849"/>
        <s v="SALE1142"/>
        <s v="SALE1088"/>
        <s v="SALE1099"/>
        <s v="SALE1667"/>
        <s v="SALE462"/>
        <s v="SALE1260"/>
        <s v="SALE1546"/>
        <s v="SALE360"/>
        <s v="SALE1397"/>
        <s v="SALE1462"/>
        <s v="SALE298"/>
        <s v="SALE642"/>
        <s v="SALE1422"/>
        <s v="SALE307"/>
        <s v="SALE881"/>
        <s v="SALE175"/>
        <s v="SALE968"/>
        <s v="SALE747"/>
        <s v="SALE505"/>
        <s v="SALE1326"/>
        <s v="SALE1343"/>
        <s v="SALE1172"/>
        <s v="SALE87"/>
        <s v="SALE1968"/>
        <s v="SALE1461"/>
        <s v="SALE1428"/>
        <s v="SALE402"/>
        <s v="SALE1565"/>
        <s v="SALE887"/>
        <s v="SALE256"/>
        <s v="SALE976"/>
        <s v="SALE1855"/>
        <s v="SALE810"/>
        <s v="SALE1644"/>
        <s v="SALE483"/>
        <s v="SALE1503"/>
        <s v="SALE1104"/>
        <s v="SALE121"/>
        <s v="SALE1847"/>
        <s v="SALE1971"/>
        <s v="SALE695"/>
        <s v="SALE113"/>
        <s v="SALE510"/>
        <s v="SALE1127"/>
        <s v="SALE1579"/>
        <s v="SALE886"/>
        <s v="SALE455"/>
        <s v="SALE60"/>
        <s v="SALE864"/>
        <s v="SALE1217"/>
        <s v="SALE54"/>
        <s v="SALE1421"/>
        <s v="SALE1581"/>
        <s v="SALE840"/>
        <s v="SALE194"/>
        <s v="SALE1637"/>
        <s v="SALE804"/>
        <s v="SALE96"/>
        <s v="SALE961"/>
        <s v="SALE1100"/>
        <s v="SALE905"/>
        <s v="SALE64"/>
        <s v="SALE1650"/>
        <s v="SALE316"/>
        <s v="SALE813"/>
        <s v="SALE1398"/>
        <s v="SALE232"/>
        <s v="SALE1111"/>
        <s v="SALE417"/>
        <s v="SALE602"/>
        <s v="SALE1568"/>
        <s v="SALE1261"/>
        <s v="SALE851"/>
        <s v="SALE1108"/>
        <s v="SALE1008"/>
        <s v="SALE1569"/>
        <s v="SALE748"/>
        <s v="SALE1707"/>
        <s v="SALE342"/>
        <s v="SALE22"/>
        <s v="SALE1770"/>
        <s v="SALE1162"/>
        <s v="SALE68"/>
        <s v="SALE1002"/>
        <s v="SALE1832"/>
        <s v="SALE525"/>
        <s v="SALE473"/>
        <s v="SALE1042"/>
        <s v="SALE613"/>
        <s v="SALE76"/>
        <s v="SALE875"/>
        <s v="SALE937"/>
        <s v="SALE387"/>
        <s v="SALE1599"/>
        <s v="SALE1942"/>
        <s v="SALE475"/>
        <s v="SALE1600"/>
        <s v="SALE790"/>
        <s v="SALE633"/>
        <s v="SALE377"/>
        <s v="SALE1436"/>
        <s v="SALE989"/>
        <s v="SALE1316"/>
        <s v="SALE381"/>
        <s v="SALE1997"/>
        <s v="SALE172"/>
        <s v="SALE616"/>
        <s v="SALE857"/>
        <s v="SALE1807"/>
        <s v="SALE1731"/>
        <s v="SALE1948"/>
        <s v="SALE1890"/>
        <s v="SALE1591"/>
        <s v="SALE1661"/>
        <s v="SALE138"/>
        <s v="SALE1443"/>
        <s v="SALE1630"/>
        <s v="SALE1438"/>
        <s v="SALE583"/>
        <s v="SALE985"/>
        <s v="SALE1543"/>
        <s v="SALE528"/>
        <s v="SALE1178"/>
        <s v="SALE264"/>
        <s v="SALE1471"/>
        <s v="SALE571"/>
        <s v="SALE1032"/>
        <s v="SALE758"/>
        <s v="SALE1478"/>
        <s v="SALE632"/>
        <s v="SALE158"/>
        <s v="SALE47"/>
        <s v="SALE1160"/>
        <s v="SALE1728"/>
        <s v="SALE767"/>
        <s v="SALE1621"/>
        <s v="SALE906"/>
        <s v="SALE1067"/>
        <s v="SALE1254"/>
        <s v="SALE666"/>
        <s v="SALE279"/>
        <s v="SALE933"/>
        <s v="SALE118"/>
        <s v="SALE1632"/>
        <s v="SALE1474"/>
        <s v="SALE1078"/>
        <s v="SALE420"/>
        <s v="SALE726"/>
        <s v="SALE805"/>
        <s v="SALE1864"/>
        <s v="SALE1959"/>
        <s v="SALE197"/>
        <s v="SALE73"/>
        <s v="SALE1991"/>
        <s v="SALE738"/>
        <s v="SALE1384"/>
        <s v="SALE1251"/>
        <s v="SALE171"/>
        <s v="SALE1806"/>
        <s v="SALE55"/>
        <s v="SALE986"/>
        <s v="SALE131"/>
        <s v="SALE1131"/>
        <s v="SALE1693"/>
        <s v="SALE1368"/>
        <s v="SALE740"/>
        <s v="SALE1415"/>
        <s v="SALE1947"/>
        <s v="SALE1784"/>
        <s v="SALE1809"/>
        <s v="SALE1274"/>
        <s v="SALE1833"/>
        <s v="SALE1998"/>
        <s v="SALE1951"/>
        <s v="SALE1418"/>
        <s v="SALE1880"/>
        <s v="SALE1256"/>
        <s v="SALE1747"/>
        <s v="SALE243"/>
        <s v="SALE1755"/>
        <s v="SALE1802"/>
        <s v="SALE1967"/>
        <s v="SALE850"/>
        <s v="SALE1610"/>
        <s v="SALE1352"/>
        <s v="SALE751"/>
        <s v="SALE1552"/>
        <s v="SALE952"/>
        <s v="SALE301"/>
        <s v="SALE104"/>
        <s v="SALE1970"/>
        <s v="SALE1204"/>
        <s v="SALE1294"/>
        <s v="SALE59"/>
        <s v="SALE1395"/>
        <s v="SALE461"/>
        <s v="SALE552"/>
        <s v="SALE799"/>
        <s v="SALE1046"/>
        <s v="SALE617"/>
        <s v="SALE1485"/>
        <s v="SALE1322"/>
        <s v="SALE1195"/>
        <s v="SALE1480"/>
        <s v="SALE1332"/>
        <s v="SALE361"/>
        <s v="SALE1500"/>
        <s v="SALE1900"/>
        <s v="SALE837"/>
        <s v="SALE1476"/>
        <s v="SALE1754"/>
        <s v="SALE1973"/>
        <s v="SALE1642"/>
        <s v="SALE1539"/>
        <s v="SALE1493"/>
        <s v="SALE1381"/>
        <s v="SALE1187"/>
        <s v="SALE1879"/>
        <s v="SALE1577"/>
        <s v="SALE1096"/>
        <s v="SALE1803"/>
        <s v="SALE1521"/>
        <s v="SALE1993"/>
        <s v="SALE991"/>
        <s v="SALE655"/>
        <s v="SALE1786"/>
        <s v="SALE1665"/>
        <s v="SALE353"/>
        <s v="SALE498"/>
        <s v="SALE591"/>
        <s v="SALE1434"/>
        <s v="SALE1234"/>
        <s v="SALE126"/>
        <s v="SALE1925"/>
        <s v="SALE1054"/>
        <s v="SALE436"/>
        <s v="SALE1557"/>
        <s v="SALE305"/>
        <s v="SALE1677"/>
        <s v="SALE1670"/>
        <s v="SALE411"/>
        <s v="SALE1648"/>
        <s v="SALE180"/>
        <s v="SALE909"/>
        <s v="SALE781"/>
        <s v="SALE1499"/>
        <s v="SALE1777"/>
        <s v="SALE44"/>
        <s v="SALE1378"/>
        <s v="SALE132"/>
        <s v="SALE149"/>
        <s v="SALE1310"/>
        <s v="SALE304"/>
        <s v="SALE1885"/>
        <s v="SALE31"/>
        <s v="SALE1186"/>
        <s v="SALE164"/>
        <s v="SALE1719"/>
        <s v="SALE1772"/>
        <s v="SALE1453"/>
        <s v="SALE1580"/>
        <s v="SALE1483"/>
        <s v="SALE1875"/>
        <s v="SALE1276"/>
        <s v="SALE760"/>
        <s v="SALE240"/>
        <s v="SALE323"/>
        <s v="SALE931"/>
        <s v="SALE1976"/>
        <s v="SALE142"/>
        <s v="SALE231"/>
        <s v="SALE679"/>
        <s v="SALE403"/>
        <s v="SALE1856"/>
        <s v="SALE628"/>
        <s v="SALE1905"/>
        <s v="SALE717"/>
        <s v="SALE1899"/>
        <s v="SALE509"/>
        <s v="SALE444"/>
        <s v="SALE1921"/>
        <s v="SALE102"/>
        <s v="SALE1841"/>
        <s v="SALE578"/>
        <s v="SALE1082"/>
        <s v="SALE834"/>
        <s v="SALE1840"/>
        <s v="SALE1060"/>
        <s v="SALE270"/>
        <s v="SALE63"/>
        <s v="SALE1723"/>
        <s v="SALE375"/>
        <s v="SALE1837"/>
        <s v="SALE917"/>
        <s v="SALE565"/>
        <s v="SALE777"/>
        <s v="SALE1197"/>
        <s v="SALE517"/>
        <s v="SALE155"/>
        <s v="SALE368"/>
        <s v="SALE398"/>
        <s v="SALE247"/>
        <s v="SALE898"/>
        <s v="SALE1275"/>
        <s v="SALE75"/>
        <s v="SALE1267"/>
        <s v="SALE1544"/>
        <s v="SALE1349"/>
        <s v="SALE282"/>
        <s v="SALE558"/>
        <s v="SALE1613"/>
        <s v="SALE1145"/>
        <s v="SALE1370"/>
        <s v="SALE978"/>
        <s v="SALE1927"/>
        <s v="SALE1515"/>
        <s v="SALE1812"/>
        <s v="SALE397"/>
        <s v="SALE108"/>
        <s v="SALE987"/>
        <s v="SALE101"/>
        <s v="SALE1554"/>
        <s v="SALE1020"/>
        <s v="SALE349"/>
        <s v="SALE593"/>
        <s v="SALE1103"/>
        <s v="SALE1672"/>
        <s v="SALE1571"/>
        <s v="SALE38"/>
        <s v="SALE181"/>
        <s v="SALE1842"/>
        <s v="SALE1734"/>
        <s v="SALE641"/>
        <s v="SALE471"/>
        <s v="SALE631"/>
        <s v="SALE845"/>
        <s v="SALE1085"/>
        <s v="SALE723"/>
        <s v="SALE876"/>
        <s v="SALE1979"/>
        <s v="SALE566"/>
        <s v="SALE230"/>
        <s v="SALE1243"/>
        <s v="SALE904"/>
        <s v="SALE1177"/>
        <s v="SALE1937"/>
        <s v="SALE1952"/>
        <s v="SALE1511"/>
        <s v="SALE1857"/>
        <s v="SALE447"/>
        <s v="SALE1091"/>
        <s v="SALE401"/>
        <s v="SALE885"/>
        <s v="SALE19"/>
        <s v="SALE1014"/>
        <s v="SALE894"/>
        <s v="SALE1684"/>
        <s v="SALE1132"/>
        <s v="SALE678"/>
        <s v="SALE936"/>
        <s v="SALE1335"/>
        <s v="SALE1785"/>
        <s v="SALE1575"/>
        <s v="SALE1636"/>
        <s v="SALE812"/>
        <s v="SALE861"/>
        <s v="SALE576"/>
        <s v="SALE858"/>
        <s v="SALE947"/>
        <s v="SALE785"/>
        <s v="SALE1062"/>
        <s v="SALE1839"/>
        <s v="SALE488"/>
        <s v="SALE831"/>
        <s v="SALE112"/>
        <s v="SALE646"/>
        <s v="SALE1059"/>
        <s v="SALE424"/>
        <s v="SALE1788"/>
        <s v="SALE1302"/>
        <s v="SALE1762"/>
        <s v="SALE860"/>
        <s v="SALE284"/>
        <s v="SALE1264"/>
        <s v="SALE879"/>
        <s v="SALE1643"/>
        <s v="SALE532"/>
        <s v="SALE607"/>
        <s v="SALE1094"/>
        <s v="SALE685"/>
        <s v="SALE1946"/>
        <s v="SALE1237"/>
        <s v="SALE371"/>
        <s v="SALE971"/>
        <s v="SALE391"/>
        <s v="SALE372"/>
        <s v="SALE1429"/>
        <s v="SALE1939"/>
        <s v="SALE1481"/>
        <s v="SALE619"/>
        <s v="SALE1452"/>
        <s v="SALE994"/>
        <s v="SALE1277"/>
        <s v="SALE1729"/>
        <s v="SALE608"/>
        <s v="SALE1170"/>
        <s v="SALE1686"/>
        <s v="SALE604"/>
        <s v="SALE722"/>
        <s v="SALE1455"/>
        <s v="SALE1790"/>
        <s v="SALE1123"/>
        <s v="SALE468"/>
        <s v="SALE849"/>
        <s v="SALE1212"/>
        <s v="SALE396"/>
        <s v="SALE1553"/>
        <s v="SALE1035"/>
        <s v="SALE1166"/>
        <s v="SALE335"/>
        <s v="SALE1386"/>
        <s v="SALE833"/>
        <s v="SALE1913"/>
        <s v="SALE1653"/>
        <s v="SALE1486"/>
        <s v="SALE10"/>
        <s v="SALE959"/>
        <s v="SALE221"/>
        <s v="SALE1687"/>
        <s v="SALE1699"/>
        <s v="SALE623"/>
        <s v="SALE309"/>
        <s v="SALE710"/>
        <s v="SALE1703"/>
        <s v="SALE464"/>
        <s v="SALE1714"/>
        <s v="SALE553"/>
        <s v="SALE1153"/>
        <s v="SALE1150"/>
        <s v="SALE1572"/>
        <s v="SALE1664"/>
        <s v="SALE1530"/>
        <s v="SALE296"/>
        <s v="SALE754"/>
        <s v="SALE1676"/>
        <s v="SALE1744"/>
        <s v="SALE57"/>
        <s v="SALE1508"/>
        <s v="SALE1228"/>
        <s v="SALE430"/>
        <s v="SALE1881"/>
        <s v="SALE275"/>
        <s v="SALE1411"/>
        <s v="SALE677"/>
        <s v="SALE1815"/>
        <s v="SALE1191"/>
        <s v="SALE229"/>
        <s v="SALE966"/>
        <s v="SALE516"/>
        <s v="SALE418"/>
        <s v="SALE306"/>
        <s v="SALE1073"/>
        <s v="SALE1380"/>
        <s v="SALE1830"/>
        <s v="SALE1375"/>
        <s v="SALE730"/>
        <s v="SALE1001"/>
        <s v="SALE438"/>
        <s v="SALE1848"/>
        <s v="SALE415"/>
        <s v="SALE1892"/>
        <s v="SALE1440"/>
        <s v="SALE407"/>
        <s v="SALE139"/>
        <s v="SALE1039"/>
        <s v="SALE1792"/>
        <s v="SALE1523"/>
        <s v="SALE1124"/>
        <s v="SALE1055"/>
        <s v="SALE923"/>
        <s v="SALE958"/>
        <s v="SALE449"/>
        <s v="SALE1551"/>
        <s v="SALE1268"/>
        <s v="SALE1441"/>
        <s v="SALE1391"/>
        <s v="SALE780"/>
        <s v="SALE1290"/>
        <s v="SALE1351"/>
        <s v="SALE192"/>
        <s v="SALE480"/>
        <s v="SALE775"/>
        <s v="SALE1658"/>
        <s v="SALE665"/>
        <s v="SALE1908"/>
        <s v="SALE640"/>
        <s v="SALE714"/>
        <s v="SALE1698"/>
        <s v="SALE1626"/>
        <s v="SALE1235"/>
        <s v="SALE338"/>
        <s v="SALE1494"/>
        <s v="SALE341"/>
        <s v="SALE1092"/>
        <s v="SALE442"/>
        <s v="SALE639"/>
        <s v="SALE548"/>
        <s v="SALE300"/>
        <s v="SALE935"/>
        <s v="SALE422"/>
        <s v="SALE945"/>
        <s v="SALE347"/>
        <s v="SALE355"/>
        <s v="SALE1098"/>
        <s v="SALE1689"/>
        <s v="SALE635"/>
        <s v="SALE554"/>
        <s v="SALE792"/>
        <s v="SALE1446"/>
        <s v="SALE547"/>
        <s v="SALE637"/>
        <s v="SALE14"/>
        <s v="SALE822"/>
        <s v="SALE1409"/>
        <s v="SALE176"/>
        <s v="SALE932"/>
        <s v="SALE1164"/>
        <s v="SALE841"/>
        <s v="SALE1748"/>
        <s v="SALE1262"/>
        <s v="SALE867"/>
        <s v="SALE1791"/>
        <s v="SALE1140"/>
        <s v="SALE1623"/>
        <s v="SALE1219"/>
        <s v="SALE1681"/>
        <s v="SALE825"/>
        <s v="SALE1306"/>
        <s v="SALE1053"/>
        <s v="SALE1524"/>
        <s v="SALE1427"/>
        <s v="SALE871"/>
        <s v="SALE844"/>
        <s v="SALE855"/>
        <s v="SALE374"/>
        <s v="SALE964"/>
        <s v="SALE1560"/>
        <s v="SALE1281"/>
        <s v="SALE1362"/>
        <s v="SALE145"/>
        <s v="SALE1207"/>
        <s v="SALE1505"/>
        <s v="SALE1745"/>
        <s v="SALE1873"/>
        <s v="SALE223"/>
        <s v="SALE1760"/>
        <s v="SALE938"/>
        <s v="SALE1750"/>
        <s v="SALE1886"/>
        <s v="SALE1501"/>
        <s v="SALE77"/>
        <s v="SALE1233"/>
        <s v="SALE1787"/>
        <s v="SALE853"/>
        <s v="SALE1315"/>
        <s v="SALE1831"/>
        <s v="SALE1898"/>
        <s v="SALE778"/>
        <s v="SALE1822"/>
        <s v="SALE1230"/>
        <s v="SALE1400"/>
        <s v="SALE1507"/>
        <s v="SALE721"/>
        <s v="SALE1585"/>
        <s v="SALE1242"/>
        <s v="SALE1095"/>
        <s v="SALE1327"/>
        <s v="SALE134"/>
        <s v="SALE807"/>
        <s v="SALE612"/>
        <s v="SALE1992"/>
        <s v="SALE1355"/>
        <s v="SALE1477"/>
        <s v="SALE384"/>
        <s v="SALE219"/>
        <s v="SALE1652"/>
        <s v="SALE716"/>
        <s v="SALE1353"/>
        <s v="SALE1125"/>
        <s v="SALE1566"/>
        <s v="SALE1484"/>
        <s v="SALE290"/>
        <s v="SALE1627"/>
        <s v="SALE426"/>
        <s v="SALE1286"/>
        <s v="SALE1712"/>
        <s v="SALE129"/>
        <s v="SALE1660"/>
        <s v="SALE1382"/>
        <s v="SALE1535"/>
        <s v="SALE1767"/>
        <s v="SALE69"/>
        <s v="SALE703"/>
        <s v="SALE409"/>
        <s v="SALE1241"/>
        <s v="SALE1084"/>
        <s v="SALE903"/>
        <s v="SALE1801"/>
        <s v="SALE400"/>
        <s v="SALE1513"/>
        <s v="SALE550"/>
        <s v="SALE49"/>
        <s v="SALE1763"/>
        <s v="SALE452"/>
        <s v="SALE524"/>
        <s v="SALE1413"/>
        <s v="SALE1366"/>
        <s v="SALE1364"/>
        <s v="SALE838"/>
        <s v="SALE1083"/>
        <s v="SALE972"/>
        <s v="SALE618"/>
        <s v="SALE1593"/>
        <s v="SALE940"/>
        <s v="SALE206"/>
        <s v="SALE1838"/>
        <s v="SALE143"/>
        <s v="SALE1017"/>
        <s v="SALE13"/>
        <s v="SALE1120"/>
        <s v="SALE673"/>
        <s v="SALE366"/>
        <s v="SALE1389"/>
        <s v="SALE542"/>
        <s v="SALE513"/>
        <s v="SALE832"/>
        <s v="SALE281"/>
        <s v="SALE214"/>
        <s v="SALE1285"/>
        <s v="SALE796"/>
        <s v="SALE327"/>
        <s v="SALE1348"/>
        <s v="SALE1783"/>
        <s v="SALE1196"/>
        <s v="SALE1622"/>
        <s v="SALE1826"/>
        <s v="SALE1173"/>
        <s v="SALE196"/>
        <s v="SALE474"/>
        <s v="SALE399"/>
        <s v="SALE954"/>
        <s v="SALE358"/>
        <s v="SALE314"/>
        <s v="SALE1607"/>
        <s v="SALE1183"/>
        <s v="SALE388"/>
        <s v="SALE1345"/>
        <s v="SALE1137"/>
        <s v="SALE1520"/>
        <s v="SALE724"/>
        <s v="SALE497"/>
        <s v="SALE1633"/>
        <s v="SALE386"/>
        <s v="SALE1407"/>
        <s v="SALE1851"/>
        <s v="SALE1629"/>
        <s v="SALE1077"/>
        <s v="SALE405"/>
        <s v="SALE1563"/>
        <s v="SALE450"/>
        <s v="SALE1540"/>
        <s v="SALE46"/>
        <s v="SALE1536"/>
        <s v="SALE1972"/>
        <s v="SALE1208"/>
        <s v="SALE242"/>
        <s v="SALE1444"/>
        <s v="SALE1022"/>
        <s v="SALE557"/>
        <s v="SALE1532"/>
        <s v="SALE1245"/>
        <s v="SALE891"/>
        <s v="SALE1775"/>
        <s v="SALE1624"/>
        <s v="SALE466"/>
        <s v="SALE159"/>
        <s v="SALE1199"/>
        <s v="SALE1915"/>
        <s v="SALE948"/>
        <s v="SALE1159"/>
        <s v="SALE627"/>
        <s v="SALE559"/>
        <s v="SALE878"/>
        <s v="SALE62"/>
        <s v="SALE1249"/>
        <s v="SALE1300"/>
        <s v="SALE896"/>
        <s v="SALE1797"/>
        <s v="SALE1870"/>
        <s v="SALE1004"/>
        <s v="SALE1126"/>
        <s v="SALE165"/>
        <s v="SALE37"/>
        <s v="SALE1868"/>
        <s v="SALE561"/>
        <s v="SALE1759"/>
        <s v="SALE1229"/>
        <s v="SALE1169"/>
        <s v="SALE1080"/>
        <s v="SALE1006"/>
        <s v="SALE1367"/>
        <s v="SALE770"/>
        <s v="SALE1736"/>
        <s v="SALE1639"/>
        <s v="SALE1194"/>
        <s v="SALE1291"/>
        <s v="SALE1764"/>
        <s v="SALE237"/>
        <s v="SALE1325"/>
        <s v="SALE499"/>
        <s v="SALE120"/>
        <s v="SALE610"/>
        <s v="SALE1076"/>
        <s v="SALE43"/>
        <s v="SALE1854"/>
        <s v="SALE208"/>
        <s v="SALE998"/>
        <s v="SALE258"/>
        <s v="SALE656"/>
        <s v="SALE1598"/>
        <s v="SALE416"/>
        <s v="SALE1244"/>
        <s v="SALE753"/>
        <s v="SALE1337"/>
        <s v="SALE1079"/>
        <s v="SALE437"/>
        <s v="SALE672"/>
        <s v="SALE291"/>
        <s v="SALE251"/>
        <s v="SALE1431"/>
        <s v="SALE48"/>
        <s v="SALE866"/>
        <s v="SALE1922"/>
        <s v="SALE84"/>
        <s v="SALE477"/>
        <s v="SALE988"/>
        <s v="SALE1379"/>
        <s v="SALE1662"/>
        <s v="SALE529"/>
        <s v="SALE732"/>
        <s v="SALE1538"/>
        <s v="SALE1860"/>
        <s v="SALE1953"/>
        <s v="SALE674"/>
        <s v="SALE1043"/>
        <s v="SALE1510"/>
        <s v="SALE1872"/>
        <s v="SALE1534"/>
        <s v="SALE1691"/>
        <s v="SALE195"/>
        <s v="SALE1938"/>
        <s v="SALE1416"/>
        <s v="SALE720"/>
        <s v="SALE484"/>
        <s v="SALE1673"/>
        <s v="SALE1365"/>
        <s v="SALE1192"/>
        <s v="SALE1013"/>
        <s v="SALE1949"/>
        <s v="SALE1232"/>
        <s v="SALE711"/>
        <s v="SALE20"/>
        <s v="SALE1893"/>
        <s v="SALE459"/>
        <s v="SALE1324"/>
        <s v="SALE1"/>
        <s v="SALE1040"/>
        <s v="SALE1329"/>
        <s v="SALE222"/>
        <s v="SALE1583"/>
        <s v="SALE1605"/>
        <s v="SALE1279"/>
        <s v="SALE105"/>
        <s v="SALE797"/>
        <s v="SALE706"/>
        <s v="SALE312"/>
        <s v="SALE1288"/>
        <s v="SALE1470"/>
        <s v="SALE1383"/>
        <s v="SALE1151"/>
        <s v="SALE1931"/>
        <s v="SALE1075"/>
        <s v="SALE1176"/>
        <s v="SALE774"/>
        <s v="SALE295"/>
        <s v="SALE556"/>
        <s v="SALE1756"/>
        <s v="SALE735"/>
        <s v="SALE82"/>
        <s v="SALE592"/>
        <s v="SALE1735"/>
        <s v="SALE816"/>
        <s v="SALE1945"/>
        <s v="SALE847"/>
        <s v="SALE719"/>
        <s v="SALE1454"/>
        <s v="SALE65"/>
        <s v="SALE412"/>
        <s v="SALE1603"/>
        <s v="SALE351"/>
        <s v="SALE615"/>
        <s v="SALE1472"/>
        <s v="SALE1559"/>
        <s v="SALE1424"/>
        <s v="SALE852"/>
        <s v="SALE697"/>
        <s v="SALE1203"/>
        <s v="SALE220"/>
        <s v="SALE83"/>
        <s v="SALE1697"/>
        <s v="SALE590"/>
        <s v="SALE106"/>
        <s v="SALE1226"/>
        <s v="SALE829"/>
        <s v="SALE1679"/>
        <s v="SALE1518"/>
        <s v="SALE1717"/>
        <s v="SALE370"/>
        <s v="SALE1525"/>
        <s v="SALE1594"/>
        <s v="SALE705"/>
        <s v="SALE1804"/>
        <s v="SALE1271"/>
        <s v="SALE1313"/>
        <s v="SALE470"/>
        <s v="SALE1399"/>
        <s v="SALE1447"/>
        <s v="SALE755"/>
        <s v="SALE1730"/>
        <s v="SALE90"/>
        <s v="SALE925"/>
        <s v="SALE1451"/>
        <s v="SALE364"/>
        <s v="SALE1012"/>
        <s v="SALE652"/>
        <s v="SALE967"/>
        <s v="SALE763"/>
        <s v="SALE1780"/>
        <s v="SALE1889"/>
        <s v="SALE1338"/>
        <s v="SALE1526"/>
        <s v="SALE793"/>
        <s v="SALE800"/>
        <s v="SALE1457"/>
        <s v="SALE1705"/>
        <s v="SALE21"/>
        <s v="SALE317"/>
        <s v="SALE1360"/>
        <s v="SALE191"/>
        <s v="SALE1089"/>
        <s v="SALE1134"/>
        <s v="SALE1516"/>
        <s v="SALE1027"/>
        <s v="SALE973"/>
        <s v="SALE1909"/>
        <s v="SALE1482"/>
        <s v="SALE1688"/>
        <s v="SALE1861"/>
        <s v="SALE1709"/>
        <s v="SALE1805"/>
        <s v="SALE544"/>
        <s v="SALE1533"/>
        <s v="SALE1488"/>
        <s v="SALE1305"/>
        <s v="SALE1985"/>
        <s v="SALE1675"/>
        <s v="SALE1732"/>
        <s v="SALE1056"/>
        <s v="SALE1456"/>
        <s v="SALE1696"/>
        <s v="SALE378"/>
        <s v="SALE160"/>
        <s v="SALE784"/>
        <s v="SALE848"/>
        <s v="SALE588"/>
        <s v="SALE1682"/>
        <s v="SALE942"/>
        <s v="SALE1497"/>
        <s v="SALE1674"/>
        <s v="SALE1052"/>
        <s v="SALE1813"/>
        <s v="SALE927"/>
        <s v="SALE1716"/>
        <s v="SALE277"/>
        <s v="SALE186"/>
        <s v="SALE350"/>
        <s v="SALE811"/>
        <s v="SALE943"/>
        <s v="SALE1894"/>
        <s v="SALE729"/>
        <s v="SALE1473"/>
        <s v="SALE1028"/>
        <s v="SALE490"/>
        <s v="SALE660"/>
        <s v="SALE268"/>
        <s v="SALE1725"/>
        <s v="SALE1331"/>
        <s v="SALE1225"/>
        <s v="SALE253"/>
        <s v="SALE1066"/>
        <s v="SALE877"/>
        <s v="SALE1659"/>
        <s v="SALE783"/>
        <s v="SALE1720"/>
        <s v="SALE153"/>
        <s v="SALE1216"/>
        <s v="SALE914"/>
        <s v="SALE1601"/>
        <s v="SALE1050"/>
        <s v="SALE217"/>
        <s v="SALE1835"/>
        <s v="SALE1522"/>
        <s v="SALE1265"/>
        <s v="SALE241"/>
        <s v="SALE340"/>
        <s v="SALE1504"/>
        <s v="SALE1107"/>
        <s v="SALE1161"/>
        <s v="SALE512"/>
        <s v="SALE365"/>
        <s v="SALE299"/>
        <s v="SALE699"/>
        <s v="SALE343"/>
        <s v="SALE1110"/>
        <s v="SALE40"/>
        <s v="SALE692"/>
        <s v="SALE1570"/>
        <s v="SALE817"/>
        <s v="SALE1282"/>
        <s v="SALE410"/>
        <s v="SALE333"/>
        <s v="SALE1414"/>
        <s v="SALE921"/>
        <s v="SALE1361"/>
        <s v="SALE1590"/>
        <s v="SALE146"/>
        <s v="SALE1740"/>
        <s v="SALE787"/>
        <s v="SALE486"/>
        <s v="SALE380"/>
        <s v="SALE1529"/>
        <s v="SALE1773"/>
        <s v="SALE1374"/>
        <s v="SALE1547"/>
        <s v="SALE582"/>
        <s v="SALE1044"/>
        <s v="SALE286"/>
        <s v="SALE30"/>
        <s v="SALE575"/>
        <s v="SALE1221"/>
        <s v="SALE1420"/>
        <s v="SALE319"/>
        <s v="SALE902"/>
        <s v="SALE212"/>
        <s v="SALE1960"/>
        <s v="SALE1987"/>
        <s v="SALE1963"/>
        <s v="SALE951"/>
        <s v="SALE1958"/>
        <s v="SALE16"/>
        <s v="SALE1115"/>
        <s v="SALE1757"/>
        <s v="SALE1825"/>
        <s v="SALE926"/>
        <s v="SALE835"/>
        <s v="SALE1680"/>
        <s v="SALE152"/>
        <s v="SALE814"/>
        <s v="SALE884"/>
        <s v="SALE636"/>
        <s v="SALE1432"/>
        <s v="SALE1934"/>
        <s v="SALE1999"/>
        <s v="SALE573"/>
        <s v="SALE1920"/>
        <s v="SALE1064"/>
        <s v="SALE1761"/>
        <s v="SALE530"/>
        <s v="SALE1891"/>
        <s v="SALE147"/>
        <s v="SALE908"/>
        <s v="SALE260"/>
        <s v="SALE1402"/>
        <s v="SALE419"/>
        <s v="SALE1701"/>
        <s v="SALE1604"/>
        <s v="SALE772"/>
        <s v="SALE394"/>
        <s v="SALE1608"/>
        <s v="SALE970"/>
        <s v="SALE373"/>
        <s v="SALE1751"/>
        <s v="SALE94"/>
        <s v="SALE1388"/>
        <s v="SALE757"/>
        <s v="SALE252"/>
        <s v="SALE1995"/>
        <s v="SALE562"/>
        <s v="SALE1852"/>
        <s v="SALE67"/>
        <s v="SALE1408"/>
        <s v="SALE28"/>
        <s v="SALE507"/>
        <s v="SALE1669"/>
        <s v="SALE1962"/>
        <s v="SALE1906"/>
        <s v="SALE1393"/>
        <s v="SALE79"/>
        <s v="SALE691"/>
        <s v="SALE1350"/>
        <s v="SALE1222"/>
        <s v="SALE1463"/>
        <s v="SALE173"/>
        <s v="SALE808"/>
        <s v="SALE1977"/>
        <s v="SALE734"/>
        <s v="SALE478"/>
        <s v="SALE1924"/>
        <s v="SALE1109"/>
        <s v="SALE259"/>
        <s v="SALE1944"/>
        <s v="SALE1459"/>
        <s v="SALE227"/>
        <s v="SALE485"/>
        <s v="SALE1550"/>
        <s v="SALE123"/>
        <s v="SALE522"/>
        <s v="SALE551"/>
        <s v="SALE502"/>
        <s v="SALE1850"/>
        <s v="SALE901"/>
        <s v="SALE363"/>
        <s v="SALE504"/>
        <s v="SALE1823"/>
        <s v="SALE693"/>
        <s v="SALE621"/>
        <s v="SALE154"/>
        <s v="SALE451"/>
        <s v="SALE1638"/>
        <s v="SALE210"/>
        <s v="SALE1070"/>
        <s v="SALE313"/>
        <s v="SALE1611"/>
        <s v="SALE1941"/>
        <s v="SALE433"/>
        <s v="SALE1000"/>
        <s v="SALE700"/>
        <s v="SALE1394"/>
        <s v="SALE1330"/>
        <s v="SALE567"/>
        <s v="SALE310"/>
        <s v="SALE1317"/>
        <s v="SALE1867"/>
        <s v="SALE1574"/>
        <s v="SALE597"/>
        <s v="SALE1200"/>
        <s v="SALE1982"/>
        <s v="SALE704"/>
        <s v="SALE321"/>
        <s v="SALE1491"/>
        <s v="SALE491"/>
        <s v="SALE537"/>
        <s v="SALE362"/>
        <s v="SALE1007"/>
        <s v="SALE773"/>
        <s v="SALE1174"/>
        <s v="SALE1139"/>
        <s v="SALE66"/>
        <s v="SALE213"/>
        <s v="SALE859"/>
        <s v="SALE1430"/>
        <s v="SALE311"/>
        <s v="SALE676"/>
        <s v="SALE1339"/>
        <s v="SALE1114"/>
        <s v="SALE577"/>
        <s v="SALE1218"/>
        <s v="SALE555"/>
        <s v="SALE506"/>
        <s v="SALE1071"/>
        <s v="SALE599"/>
        <s v="SALE614"/>
        <s v="SALE1741"/>
        <s v="SALE1198"/>
        <s v="SALE1816"/>
        <s v="SALE1876"/>
        <s v="SALE1914"/>
        <s v="SALE406"/>
        <s v="SALE594"/>
        <s v="SALE1097"/>
        <s v="SALE1843"/>
        <s v="SALE1567"/>
        <s v="SALE1887"/>
        <s v="SALE1057"/>
        <s v="SALE1171"/>
        <s v="SALE1387"/>
        <s v="SALE1495"/>
        <s v="SALE657"/>
        <s v="SALE918"/>
        <s v="SALE124"/>
        <s v="SALE1102"/>
        <s v="SALE1105"/>
        <s v="SALE35"/>
        <s v="SALE130"/>
        <s v="SALE1820"/>
        <s v="SALE1158"/>
        <s v="SALE874"/>
        <s v="SALE1874"/>
        <s v="SALE86"/>
        <s v="SALE1255"/>
        <s v="SALE272"/>
        <s v="SALE764"/>
        <s v="SALE1426"/>
        <s v="SALE997"/>
        <s v="SALE1724"/>
        <s v="SALE1502"/>
        <s v="SALE563"/>
        <s v="SALE97"/>
        <s v="SALE1646"/>
        <s v="SALE827"/>
        <s v="SALE893"/>
        <s v="SALE1479"/>
        <s v="SALE750"/>
        <s v="SALE325"/>
        <s v="SALE1798"/>
        <s v="SALE1087"/>
        <s v="SALE1492"/>
        <s v="SALE1496"/>
        <s v="SALE188"/>
        <s v="SALE432"/>
        <s v="SALE1743"/>
        <s v="SALE1882"/>
        <s v="SALE1778"/>
        <s v="SALE1201"/>
        <s v="SALE1081"/>
        <s v="SALE183"/>
        <s v="SALE661"/>
        <s v="SALE189"/>
        <s v="SALE515"/>
        <s v="SALE25"/>
        <s v="SALE1342"/>
        <s v="SALE348"/>
        <s v="SALE1990"/>
        <s v="SALE1005"/>
        <s v="SALE99"/>
        <s v="SALE1320"/>
        <s v="SALE846"/>
        <s v="SALE1561"/>
        <s v="SALE448"/>
        <s v="SALE390"/>
        <s v="SALE895"/>
        <s v="SALE1620"/>
        <s v="SALE650"/>
        <s v="SALE1425"/>
        <s v="SALE1954"/>
        <s v="SALE1468"/>
        <s v="SALE226"/>
        <s v="SALE690"/>
        <s v="SALE1184"/>
        <s v="SALE185"/>
        <s v="SALE653"/>
        <s v="SALE369"/>
        <s v="SALE570"/>
        <s v="SALE1152"/>
        <s v="SALE1390"/>
        <s v="SALE868"/>
        <s v="SALE249"/>
        <s v="SALE862"/>
        <s v="SALE1742"/>
        <s v="SALE408"/>
        <s v="SALE1713"/>
        <s v="SALE228"/>
        <s v="SALE1907"/>
        <s v="SALE315"/>
        <s v="SALE1718"/>
        <s v="SALE1034"/>
        <s v="SALE1093"/>
        <s v="SALE743"/>
        <s v="SALE207"/>
        <s v="SALE1657"/>
        <s v="SALE630"/>
        <s v="SALE1692"/>
        <s v="SALE836"/>
        <s v="SALE749"/>
        <s v="SALE897"/>
        <s v="SALE654"/>
        <s v="SALE779"/>
        <s v="SALE1789"/>
        <s v="SALE184"/>
        <s v="SALE111"/>
        <s v="SALE803"/>
        <s v="SALE1128"/>
        <s v="SALE39"/>
        <s v="SALE1531"/>
        <s v="SALE1545"/>
        <s v="SALE1117"/>
        <s v="SALE1354"/>
        <s v="SALE1609"/>
        <s v="SALE0"/>
        <s v="SALE586"/>
        <s v="SALE1940"/>
        <s v="SALE786"/>
        <s v="SALE29"/>
        <s v="SALE1121"/>
        <s v="SALE771"/>
        <s v="SALE824"/>
        <s v="SALE1752"/>
        <s v="SALE1980"/>
        <s v="SALE1357"/>
        <s v="SALE1656"/>
        <s v="SALE634"/>
        <s v="SALE93"/>
        <s v="SALE809"/>
        <s v="SALE318"/>
        <s v="SALE802"/>
        <s v="SALE500"/>
        <s v="SALE776"/>
        <s v="SALE1119"/>
        <s v="SALE889"/>
        <s v="SALE1961"/>
        <s v="SALE17"/>
        <s v="SALE842"/>
        <s v="SALE1923"/>
        <s v="SALE820"/>
        <s v="SALE1489"/>
        <s v="SALE669"/>
        <s v="SALE446"/>
        <s v="SALE1817"/>
        <s v="SALE984"/>
        <s v="SALE1209"/>
        <s v="SALE1045"/>
        <s v="SALE708"/>
        <s v="SALE320"/>
        <s v="SALE1263"/>
        <s v="SALE201"/>
        <s v="SALE103"/>
        <s v="SALE382"/>
        <s v="SALE1308"/>
        <s v="SALE1410"/>
        <s v="SALE1589"/>
        <s v="SALE332"/>
        <s v="SALE18"/>
        <s v="SALE1205"/>
        <s v="SALE1377"/>
        <s v="SALE443"/>
        <s v="SALE856"/>
        <s v="SALE712"/>
        <s v="SALE1866"/>
        <s v="SALE511"/>
        <s v="SALE1031"/>
        <s v="SALE1019"/>
        <s v="SALE117"/>
        <s v="SALE1464"/>
        <s v="SALE1975"/>
        <s v="SALE1853"/>
        <s v="SALE1146"/>
        <s v="SALE1708"/>
        <s v="SALE1671"/>
        <s v="SALE1016"/>
        <s v="SALE1663"/>
        <s v="SALE6"/>
        <s v="SALE133"/>
        <s v="SALE1295"/>
        <s v="SALE1737"/>
        <s v="SALE1514"/>
        <s v="SALE1015"/>
        <s v="SALE626"/>
        <s v="SALE266"/>
        <s v="SALE826"/>
        <s v="SALE670"/>
        <s v="SALE1460"/>
        <s v="SALE193"/>
        <s v="SALE429"/>
        <s v="SALE1746"/>
        <s v="SALE1257"/>
        <s v="SALE830"/>
        <s v="SALE1213"/>
        <s v="SALE1863"/>
        <s v="SALE376"/>
        <s v="SALE788"/>
        <s v="SALE292"/>
        <s v="SALE539"/>
        <s v="SALE727"/>
        <s v="SALE1304"/>
        <s v="SALE1738"/>
        <s v="SALE584"/>
        <s v="SALE920"/>
        <s v="SALE580"/>
        <s v="SALE701"/>
        <s v="SALE1619"/>
        <s v="SALE367"/>
        <s v="SALE458"/>
        <s v="SALE92"/>
        <s v="SALE687"/>
        <s v="SALE12"/>
        <s v="SALE1419"/>
        <s v="SALE737"/>
        <s v="SALE702"/>
        <s v="SALE114"/>
        <s v="SALE659"/>
        <s v="SALE414"/>
        <s v="SALE1700"/>
        <s v="SALE624"/>
        <s v="SALE1795"/>
        <s v="SALE1069"/>
        <s v="SALE501"/>
        <s v="SALE1828"/>
        <s v="SALE1926"/>
        <s v="SALE1883"/>
        <s v="SALE238"/>
        <s v="SALE1845"/>
        <s v="SALE276"/>
        <s v="SALE742"/>
        <s v="SALE1710"/>
        <s v="SALE1818"/>
        <s v="SALE1189"/>
        <s v="SALE1858"/>
        <s v="SALE1240"/>
        <s v="SALE1983"/>
        <s v="SALE977"/>
        <s v="SALE100"/>
        <s v="SALE611"/>
        <s v="SALE1978"/>
        <s v="SALE72"/>
        <s v="SALE1645"/>
        <s v="SALE882"/>
        <s v="SALE1155"/>
        <s v="SALE1844"/>
        <s v="SALE1834"/>
        <s v="SALE1928"/>
        <s v="SALE1311"/>
        <s v="SALE821"/>
        <s v="SALE434"/>
        <s v="SALE1929"/>
        <s v="SALE789"/>
        <s v="SALE681"/>
        <s v="SALE334"/>
        <s v="SALE150"/>
        <s v="SALE930"/>
        <s v="SALE916"/>
        <s v="SALE135"/>
        <s v="SALE689"/>
        <s v="SALE1403"/>
        <s v="SALE157"/>
        <s v="SALE1086"/>
        <s v="SALE1592"/>
        <s v="SALE4"/>
        <s v="SALE70"/>
        <s v="SALE1307"/>
        <s v="SALE950"/>
        <s v="SALE1259"/>
        <s v="SALE439"/>
        <s v="SALE1726"/>
        <s v="SALE536"/>
        <s v="SALE199"/>
        <s v="SALE1090"/>
        <s v="SALE910"/>
        <s v="SALE1964"/>
        <s v="SALE423"/>
        <s v="SALE1283"/>
        <s v="SALE1112"/>
        <s v="SALE759"/>
        <s v="SALE1859"/>
        <s v="SALE302"/>
        <s v="SALE1584"/>
        <s v="SALE233"/>
        <s v="SALE441"/>
        <s v="SALE495"/>
        <s v="SALE322"/>
        <s v="SALE1011"/>
        <s v="SALE1587"/>
        <s v="SALE1423"/>
        <s v="SALE1371"/>
        <s v="SALE694"/>
        <s v="SALE581"/>
        <s v="SALE205"/>
        <s v="SALE283"/>
        <s v="SALE1537"/>
        <s v="SALE622"/>
        <s v="SALE140"/>
        <s v="SALE941"/>
        <s v="SALE1113"/>
        <s v="SALE476"/>
        <s v="SALE178"/>
        <s v="SALE1266"/>
        <s v="SALE589"/>
        <s v="SALE463"/>
        <s v="SALE8"/>
        <s v="SALE675"/>
        <s v="SALE546"/>
        <s v="SALE974"/>
        <s v="SALE1376"/>
        <s v="SALE625"/>
        <s v="SALE33"/>
        <s v="SALE1358"/>
        <s v="SALE658"/>
        <s v="SALE1148"/>
        <s v="SALE1333"/>
        <s v="SALE765"/>
        <s v="SALE1586"/>
        <s v="SALE993"/>
        <s v="SALE568"/>
        <s v="SALE1596"/>
        <s v="SALE265"/>
        <s v="SALE663"/>
        <s v="SALE1768"/>
        <s v="SALE1911"/>
        <s v="SALE1933"/>
        <s v="SALE995"/>
        <s v="SALE680"/>
        <s v="SALE1465"/>
        <s v="SALE713"/>
        <s v="SALE863"/>
        <s v="SALE1555"/>
        <s v="SALE1359"/>
        <s v="SALE1564"/>
        <s v="SALE56"/>
        <s v="SALE170"/>
        <s v="SALE1211"/>
        <s v="SALE543"/>
        <s v="SALE489"/>
        <s v="SALE769"/>
        <s v="SALE385"/>
        <s v="SALE287"/>
        <s v="SALE1541"/>
        <s v="SALE733"/>
        <s v="SALE963"/>
        <s v="SALE1617"/>
        <s v="SALE339"/>
        <s v="SALE996"/>
        <s v="SALE137"/>
        <s v="SALE1138"/>
        <s v="SALE428"/>
        <s v="SALE1634"/>
        <s v="SALE1018"/>
        <s v="SALE1796"/>
        <s v="SALE1406"/>
        <s v="SALE682"/>
        <s v="SALE1021"/>
        <s v="SALE922"/>
        <s v="SALE752"/>
        <s v="SALE1136"/>
        <s v="SALE1904"/>
        <s v="SALE736"/>
        <s v="SALE662"/>
        <s v="SALE1769"/>
        <s v="SALE224"/>
        <s v="SALE1862"/>
        <s v="SALE431"/>
        <s v="SALE24"/>
        <s v="SALE915"/>
        <s v="SALE1296"/>
        <s v="SALE1576"/>
        <s v="SALE1984"/>
        <s v="SALE1231"/>
        <s v="SALE162"/>
        <s v="SALE467"/>
        <s v="SALE643"/>
        <s v="SALE1224"/>
        <s v="SALE383"/>
        <s v="SALE872"/>
        <s v="SALE1966"/>
        <s v="SALE1956"/>
        <s v="SALE328"/>
        <s v="SALE392"/>
        <s v="SALE520"/>
        <s v="SALE527"/>
        <s v="SALE1711"/>
        <s v="SALE125"/>
        <s v="SALE1303"/>
        <s v="SALE1029"/>
        <s v="SALE187"/>
        <s v="SALE198"/>
        <s v="SALE1749"/>
        <s v="SALE1154"/>
        <s v="SALE1412"/>
        <s v="SALE200"/>
        <s v="SALE421"/>
        <s v="SALE899"/>
        <s v="SALE1897"/>
        <s v="SALE828"/>
        <s v="SALE956"/>
        <s v="SALE52"/>
        <s v="SALE1135"/>
        <s v="SALE1193"/>
        <s v="SALE254"/>
        <s v="SALE600"/>
        <s v="SALE1912"/>
        <s v="SALE127"/>
        <s v="SALE235"/>
        <s v="SALE1519"/>
        <s v="SALE1794"/>
        <s v="SALE1344"/>
        <s v="SALE95"/>
        <s v="SALE514"/>
        <s v="SALE1695"/>
        <s v="SALE1223"/>
        <s v="SALE1449"/>
        <s v="SALE1779"/>
        <s v="SALE1694"/>
        <s v="SALE1640"/>
        <s v="SALE5"/>
        <s v="SALE1625"/>
        <s v="SALE1618"/>
        <s v="SALE58"/>
        <s v="SALE285"/>
        <s v="SALE61"/>
        <s v="SALE595"/>
        <s v="SALE174"/>
        <s v="SALE1156"/>
        <s v="SALE1373"/>
        <s v="SALE746"/>
        <s v="SALE278"/>
        <s v="SALE648"/>
        <s v="SALE336"/>
        <s v="SALE1272"/>
        <s v="SALE1878"/>
        <s v="SALE1690"/>
        <s v="SALE1063"/>
        <s v="SALE1168"/>
        <s v="SALE1369"/>
        <s v="SALE1810"/>
        <s v="SALE1981"/>
        <s v="SALE1182"/>
        <s v="SALE698"/>
        <s v="SALE1068"/>
        <s v="SALE1683"/>
        <s v="SALE1702"/>
        <s v="SALE389"/>
        <s v="SALE707"/>
        <s v="SALE533"/>
        <s v="SALE579"/>
        <s v="SALE487"/>
        <s v="SALE709"/>
        <s v="SALE992"/>
        <s v="SALE913"/>
        <s v="SALE262"/>
        <s v="SALE1721"/>
        <s v="SALE1141"/>
        <s v="SALE715"/>
        <s v="SALE1542"/>
        <s v="SALE1318"/>
        <s v="SALE1392"/>
        <s v="SALE492"/>
        <s v="SALE36"/>
        <s v="SALE122"/>
        <s v="SALE1935"/>
        <s v="SALE587"/>
        <s v="SALE1038"/>
        <s v="SALE1974"/>
        <s v="SALE549"/>
        <s v="SALE574"/>
        <s v="SALE1487"/>
        <s v="SALE98"/>
        <s v="SALE688"/>
        <s v="SALE1167"/>
        <s v="SALE1270"/>
        <s v="SALE1498"/>
        <s v="SALE564"/>
        <s v="SALE756"/>
        <s v="SALE1061"/>
        <s v="SALE900"/>
        <s v="SALE668"/>
        <s v="SALE912"/>
        <s v="SALE289"/>
        <s v="SALE969"/>
        <s v="SALE51"/>
        <s v="SALE1631"/>
        <s v="SALE1614"/>
        <s v="SALE1616"/>
        <s v="SALE169"/>
        <s v="SALE1405"/>
        <s v="SALE801"/>
        <s v="SALE246"/>
        <s v="SALE1469"/>
        <s v="SALE1157"/>
        <s v="SALE1771"/>
        <s v="SALE167"/>
        <s v="SALE245"/>
        <s v="SALE924"/>
        <s v="SALE603"/>
        <s v="SALE1299"/>
        <s v="SALE267"/>
        <s v="SALE1220"/>
        <s v="SALE115"/>
        <s v="SALE1236"/>
        <s v="SALE107"/>
        <s v="SALE873"/>
        <s v="SALE85"/>
        <s v="SALE1450"/>
        <s v="SALE960"/>
        <s v="SALE540"/>
        <s v="SALE1023"/>
        <s v="SALE1385"/>
        <s v="SALE1439"/>
        <s v="SALE1341"/>
        <s v="SALE1548"/>
        <s v="SALE518"/>
        <s v="SALE620"/>
        <s v="SALE1248"/>
        <s v="SALE324"/>
        <s v="SALE782"/>
        <s v="SALE261"/>
        <s v="SALE1287"/>
        <s v="SALE23"/>
        <s v="SALE151"/>
        <s v="SALE1116"/>
        <s v="SALE869"/>
        <s v="SALE1896"/>
        <s v="SALE870"/>
        <s v="SALE664"/>
        <s v="SALE1025"/>
        <s v="SALE1041"/>
        <s v="SALE1247"/>
        <s v="SALE1704"/>
        <s v="SALE119"/>
        <s v="SALE294"/>
        <s v="SALE1766"/>
        <s v="SALE1782"/>
        <s v="SALE1846"/>
        <s v="SALE739"/>
        <s v="SALE74"/>
        <s v="SALE53"/>
        <s v="SALE1072"/>
        <s v="SALE1588"/>
        <s v="SALE41"/>
        <s v="SALE1901"/>
        <s v="SALE1149"/>
        <s v="SALE1793"/>
        <s v="SALE1298"/>
        <s v="SALE211"/>
        <s v="SALE606"/>
        <s v="SALE482"/>
        <s v="SALE1888"/>
        <s v="SALE116"/>
        <s v="SALE560"/>
        <s v="SALE982"/>
        <s v="SALE1312"/>
        <s v="SALE1919"/>
        <s v="SALE1301"/>
        <s v="SALE1996"/>
        <s v="SALE1506"/>
        <s v="SALE1210"/>
        <s v="SALE957"/>
        <s v="SALE144"/>
        <s v="SALE1821"/>
        <s v="SALE911"/>
        <s v="SALE1969"/>
        <s v="SALE1319"/>
        <s v="SALE293"/>
        <s v="SALE598"/>
        <s v="SALE526"/>
        <s v="SALE766"/>
        <s v="SALE1181"/>
        <s v="SALE1988"/>
        <s v="SALE110"/>
        <s v="SALE531"/>
        <s v="SALE1606"/>
        <s v="SALE1258"/>
        <s v="SALE865"/>
        <s v="SALE393"/>
        <s v="SALE1706"/>
        <s v="SALE1051"/>
        <s v="SALE1347"/>
        <s v="SALE684"/>
        <s v="SALE1058"/>
        <s v="SALE2"/>
        <s v="SALE1466"/>
        <s v="SALE1328"/>
        <s v="SALE346"/>
        <s v="SALE80"/>
        <s v="SALE1527"/>
        <s v="SALE1130"/>
        <s v="SALE1284"/>
        <s v="SALE177"/>
        <s v="SALE288"/>
        <s v="SALE907"/>
        <s v="SALE955"/>
        <s v="SALE45"/>
        <s v="SALE1250"/>
        <s v="SALE1910"/>
        <s v="SALE280"/>
        <s v="SALE1955"/>
        <s v="SALE983"/>
        <s v="SALE980"/>
        <s v="SALE745"/>
        <s v="SALE209"/>
        <s v="SALE888"/>
        <s v="SALE454"/>
        <s v="SALE166"/>
        <s v="SALE795"/>
        <s v="SALE1512"/>
        <s v="SALE271"/>
        <s v="SALE7"/>
        <s v="SALE216"/>
        <s v="SALE1800"/>
        <s v="SALE273"/>
        <s v="SALE1869"/>
        <s v="SALE1309"/>
        <s v="SALE32"/>
        <s v="SALE3"/>
        <s v="SALE27"/>
        <s v="SALE596"/>
        <s v="SALE1932"/>
        <s v="SALE1356"/>
        <s v="SALE1009"/>
        <s v="SALE1824"/>
        <s v="SALE1651"/>
        <s v="SALE949"/>
        <s v="SALE999"/>
        <s v="SALE1448"/>
        <s v="SALE538"/>
        <s v="SALE1238"/>
        <s v="SALE78"/>
        <s v="SALE1918"/>
        <s v="SALE806"/>
        <s v="SALE1994"/>
        <s v="SALE981"/>
        <s v="SALE239"/>
        <s v="SALE354"/>
        <s v="SALE953"/>
        <s v="SALE1467"/>
        <s v="SALE1024"/>
        <s v="SALE1678"/>
        <s v="SALE26"/>
        <s v="SALE1273"/>
        <s v="SALE469"/>
        <s v="SALE1799"/>
        <s v="SALE1475"/>
        <s v="SALE1314"/>
        <s v="SALE1190"/>
        <s v="SALE255"/>
        <s v="SALE1733"/>
        <s v="SALE1458"/>
        <s v="SALE215"/>
        <s v="SALE479"/>
        <s v="SALE975"/>
        <s v="SALE798"/>
        <s v="SALE990"/>
        <s v="SALE445"/>
        <s v="SALE1401"/>
        <s v="SALE344"/>
        <s v="SALE1442"/>
        <s v="SALE1180"/>
        <s v="SALE1666"/>
        <s v="SALE1143"/>
        <s v="SALE42"/>
        <s v="SALE815"/>
        <s v="SALE1528"/>
        <s v="SALE435"/>
        <s v="SALE944"/>
        <s v="SALE168"/>
        <s v="SALE303"/>
        <s v="SALE456"/>
        <s v="SALE1033"/>
        <s v="SALE718"/>
        <s v="SALE1628"/>
        <s v="SALE1188"/>
        <s v="SALE203"/>
        <s v="SALE1289"/>
        <s v="SALE15"/>
        <s v="SALE1957"/>
        <s v="SALE1649"/>
        <s v="SALE1293"/>
        <s v="SALE1597"/>
        <s v="SALE934"/>
        <s v="SALE1372"/>
        <s v="SALE1965"/>
        <s v="SALE671"/>
        <s v="SALE359"/>
        <s v="SALE880"/>
        <s v="SALE1037"/>
        <s v="SALE1615"/>
        <s v="SALE1668"/>
        <s v="SALE248"/>
        <s v="SALE1215"/>
        <s v="SALE465"/>
        <s v="SALE1346"/>
        <s v="SALE1930"/>
        <s v="SALE731"/>
        <s v="SALE508"/>
        <s v="SALE50"/>
        <s v="SALE457"/>
        <s v="SALE1490"/>
        <s v="SALE569"/>
        <s v="SALE1943"/>
        <s v="SALE1214"/>
        <s v="SALE352"/>
        <s v="SALE1227"/>
        <s v="SALE962"/>
        <s v="SALE1655"/>
        <s v="SALE1884"/>
        <s v="SALE413"/>
        <s v="SALE1202"/>
        <s v="SALE204"/>
        <s v="SALE331"/>
        <s v="SALE1239"/>
        <s v="SALE81"/>
        <s v="SALE190"/>
        <s v="SALE136"/>
        <s v="SALE1118"/>
        <s v="SALE225"/>
        <s v="SALE1321"/>
        <s v="SALE250"/>
        <s v="SALE1074"/>
        <s v="SALE460"/>
        <s v="SALE1010"/>
        <s v="SALE744"/>
        <s v="SALE337"/>
        <s v="SALE1047"/>
        <s v="SALE1404"/>
        <s v="SALE1986"/>
        <s v="SALE890"/>
        <s v="SALE741"/>
        <s v="SALE534"/>
        <s v="SALE425"/>
        <s v="SALE1396"/>
        <s v="SALE330"/>
        <s v="SALE1829"/>
        <s v="SALE686"/>
      </sharedItems>
    </cacheField>
    <cacheField name="PROD11" numFmtId="0">
      <sharedItems/>
    </cacheField>
    <cacheField name="2024-02-16" numFmtId="164">
      <sharedItems containsSemiMixedTypes="0" containsNonDate="0" containsDate="1" containsString="0" minDate="2023-10-14T00:00:00" maxDate="2025-10-14T00:00:00"/>
    </cacheField>
    <cacheField name="CUST1390" numFmtId="0">
      <sharedItems/>
    </cacheField>
    <cacheField name="Gibson, Hobbs and Weaver" numFmtId="0">
      <sharedItems/>
    </cacheField>
    <cacheField name="Electronics" numFmtId="0">
      <sharedItems count="5">
        <s v="Beauty"/>
        <s v="Home"/>
        <s v="Sports"/>
        <s v="Clothing"/>
        <s v="Electronics"/>
      </sharedItems>
    </cacheField>
    <cacheField name="1" numFmtId="0">
      <sharedItems containsSemiMixedTypes="0" containsString="0" containsNumber="1" minValue="1" maxValue="4"/>
    </cacheField>
    <cacheField name="362.93" numFmtId="0">
      <sharedItems containsSemiMixedTypes="0" containsString="0" containsNumber="1" minValue="20.09" maxValue="999.89" count="1977">
        <n v="145.47999999999999"/>
        <n v="281.83"/>
        <n v="687.35"/>
        <n v="452.67"/>
        <n v="779.29"/>
        <n v="791.36"/>
        <n v="168.89"/>
        <n v="469.68"/>
        <n v="465.63"/>
        <n v="917.17"/>
        <n v="346.2"/>
        <n v="585.45000000000005"/>
        <n v="242.08"/>
        <n v="276.23"/>
        <n v="347.95"/>
        <n v="588.92999999999995"/>
        <n v="596.84"/>
        <n v="614.21"/>
        <n v="158.72"/>
        <n v="640.92999999999995"/>
        <n v="143.69999999999999"/>
        <n v="476.1"/>
        <n v="873.17"/>
        <n v="741.88"/>
        <n v="905.5"/>
        <n v="961.68"/>
        <n v="324.18"/>
        <n v="887.38"/>
        <n v="416.01"/>
        <n v="747.01"/>
        <n v="217.83"/>
        <n v="158.27000000000001"/>
        <n v="609.29"/>
        <n v="70.52"/>
        <n v="846.19"/>
        <n v="700.95"/>
        <n v="878.84"/>
        <n v="905.47"/>
        <n v="522.16999999999996"/>
        <n v="201.05"/>
        <n v="157.91"/>
        <n v="503.95"/>
        <n v="92.35"/>
        <n v="921.52"/>
        <n v="477.83"/>
        <n v="660.81"/>
        <n v="447.16"/>
        <n v="911.14"/>
        <n v="827.39"/>
        <n v="247.41"/>
        <n v="130.41"/>
        <n v="24.72"/>
        <n v="147.96"/>
        <n v="189.21"/>
        <n v="925.95"/>
        <n v="358.87"/>
        <n v="713.95"/>
        <n v="179.62"/>
        <n v="570.52"/>
        <n v="928.72"/>
        <n v="305.70999999999998"/>
        <n v="305.95"/>
        <n v="479.58"/>
        <n v="550.05999999999995"/>
        <n v="61.11"/>
        <n v="488.02"/>
        <n v="328.51"/>
        <n v="780.69"/>
        <n v="719.94"/>
        <n v="580.45000000000005"/>
        <n v="676.26"/>
        <n v="773.75"/>
        <n v="854.37"/>
        <n v="303.79000000000002"/>
        <n v="63.96"/>
        <n v="92.83"/>
        <n v="226.43"/>
        <n v="762"/>
        <n v="227.35"/>
        <n v="693.42"/>
        <n v="652.03"/>
        <n v="370.09"/>
        <n v="121.67"/>
        <n v="65.569999999999993"/>
        <n v="376.46"/>
        <n v="844.31"/>
        <n v="289.77"/>
        <n v="533.79999999999995"/>
        <n v="681.47"/>
        <n v="698.94"/>
        <n v="264.39"/>
        <n v="330.98"/>
        <n v="406.79"/>
        <n v="972.14"/>
        <n v="120.83"/>
        <n v="610.37"/>
        <n v="660.27"/>
        <n v="86.03"/>
        <n v="479.11"/>
        <n v="102.19"/>
        <n v="282.33"/>
        <n v="187.71"/>
        <n v="353.67"/>
        <n v="401.42"/>
        <n v="691.38"/>
        <n v="79.95"/>
        <n v="684.22"/>
        <n v="486.39"/>
        <n v="614.63"/>
        <n v="54.51"/>
        <n v="688.76"/>
        <n v="679.86"/>
        <n v="996.85"/>
        <n v="90.32"/>
        <n v="205.34"/>
        <n v="182.28"/>
        <n v="594.63"/>
        <n v="629.04999999999995"/>
        <n v="938.6"/>
        <n v="488.31"/>
        <n v="339.7"/>
        <n v="848.48"/>
        <n v="157.18"/>
        <n v="438.41"/>
        <n v="352.72"/>
        <n v="286.92"/>
        <n v="994.29"/>
        <n v="765.21"/>
        <n v="135.87"/>
        <n v="415.02"/>
        <n v="876.01"/>
        <n v="216.02"/>
        <n v="837.34"/>
        <n v="803.31"/>
        <n v="326.2"/>
        <n v="841.47"/>
        <n v="355.41"/>
        <n v="389.2"/>
        <n v="172.04"/>
        <n v="165.37"/>
        <n v="424.54"/>
        <n v="408.07"/>
        <n v="103.66"/>
        <n v="892.46"/>
        <n v="338.83"/>
        <n v="209.93"/>
        <n v="921.84"/>
        <n v="888.05"/>
        <n v="506.55"/>
        <n v="668.3"/>
        <n v="640.97"/>
        <n v="721.74"/>
        <n v="842.46"/>
        <n v="396.53"/>
        <n v="829.15"/>
        <n v="468.25"/>
        <n v="636.03"/>
        <n v="873.22"/>
        <n v="324.29000000000002"/>
        <n v="443.09"/>
        <n v="167.83"/>
        <n v="791.83"/>
        <n v="138.86000000000001"/>
        <n v="740.5"/>
        <n v="460.93"/>
        <n v="204.77"/>
        <n v="784.46"/>
        <n v="119.04"/>
        <n v="291.83999999999997"/>
        <n v="800"/>
        <n v="149.56"/>
        <n v="677.25"/>
        <n v="642.94000000000005"/>
        <n v="122.27"/>
        <n v="61.98"/>
        <n v="853.32"/>
        <n v="410"/>
        <n v="135.94"/>
        <n v="476.37"/>
        <n v="707.65"/>
        <n v="954.1"/>
        <n v="126.09"/>
        <n v="301.60000000000002"/>
        <n v="128.93"/>
        <n v="760.38"/>
        <n v="698.34"/>
        <n v="964.39"/>
        <n v="195.31"/>
        <n v="120.57"/>
        <n v="696.74"/>
        <n v="753.39"/>
        <n v="675.65"/>
        <n v="693.61"/>
        <n v="71.77"/>
        <n v="466.42"/>
        <n v="569.98"/>
        <n v="863.87"/>
        <n v="948.33"/>
        <n v="771.73"/>
        <n v="251.99"/>
        <n v="218.07"/>
        <n v="432.4"/>
        <n v="523.14"/>
        <n v="412.2"/>
        <n v="413.48"/>
        <n v="281.97000000000003"/>
        <n v="125.68"/>
        <n v="47.86"/>
        <n v="613.47"/>
        <n v="465.4"/>
        <n v="780.05"/>
        <n v="198.83"/>
        <n v="379.78"/>
        <n v="145.25"/>
        <n v="428.09"/>
        <n v="557.51"/>
        <n v="209.7"/>
        <n v="751.63"/>
        <n v="958.15"/>
        <n v="824.91"/>
        <n v="516.02"/>
        <n v="842.9"/>
        <n v="918.26"/>
        <n v="70.88"/>
        <n v="295.12"/>
        <n v="480.06"/>
        <n v="899.09"/>
        <n v="977.55"/>
        <n v="250.64"/>
        <n v="559.59"/>
        <n v="794.97"/>
        <n v="937.01"/>
        <n v="466.27"/>
        <n v="483.06"/>
        <n v="458.58"/>
        <n v="118.25"/>
        <n v="597.79999999999995"/>
        <n v="808.87"/>
        <n v="395.18"/>
        <n v="704.49"/>
        <n v="602.39"/>
        <n v="359.71"/>
        <n v="692.72"/>
        <n v="979.42"/>
        <n v="614.76"/>
        <n v="913.08"/>
        <n v="62.48"/>
        <n v="909.11"/>
        <n v="166.93"/>
        <n v="407.46"/>
        <n v="30.94"/>
        <n v="552.38"/>
        <n v="659.03"/>
        <n v="686.31"/>
        <n v="762.94"/>
        <n v="904.48"/>
        <n v="773.81"/>
        <n v="61.31"/>
        <n v="87.83"/>
        <n v="145.26"/>
        <n v="870.13"/>
        <n v="807.1"/>
        <n v="343.05"/>
        <n v="995.52"/>
        <n v="611.25"/>
        <n v="66.14"/>
        <n v="216.81"/>
        <n v="437.96"/>
        <n v="685.31"/>
        <n v="827.92"/>
        <n v="386.41"/>
        <n v="370.5"/>
        <n v="33.630000000000003"/>
        <n v="886.67"/>
        <n v="101.25"/>
        <n v="731.72"/>
        <n v="749.78"/>
        <n v="582.32000000000005"/>
        <n v="237.68"/>
        <n v="679.38"/>
        <n v="443.15"/>
        <n v="130.38999999999999"/>
        <n v="53.83"/>
        <n v="880.26"/>
        <n v="305"/>
        <n v="57.94"/>
        <n v="851.77"/>
        <n v="640.23"/>
        <n v="558.41999999999996"/>
        <n v="974.52"/>
        <n v="663.73"/>
        <n v="202.13"/>
        <n v="588.61"/>
        <n v="151.47"/>
        <n v="60.98"/>
        <n v="135.78"/>
        <n v="723.75"/>
        <n v="862.25"/>
        <n v="827.91"/>
        <n v="324.56"/>
        <n v="414.18"/>
        <n v="164.73"/>
        <n v="120.67"/>
        <n v="917.64"/>
        <n v="995.38"/>
        <n v="649.78"/>
        <n v="165"/>
        <n v="590.30999999999995"/>
        <n v="278.70999999999998"/>
        <n v="769.4"/>
        <n v="74.63"/>
        <n v="28.69"/>
        <n v="705.61"/>
        <n v="271.88"/>
        <n v="249.02"/>
        <n v="541.24"/>
        <n v="556.42999999999995"/>
        <n v="183.47"/>
        <n v="213.69"/>
        <n v="713.63"/>
        <n v="875.2"/>
        <n v="325.08"/>
        <n v="450.3"/>
        <n v="559.71"/>
        <n v="461.02"/>
        <n v="298.35000000000002"/>
        <n v="269.83999999999997"/>
        <n v="73.69"/>
        <n v="23.58"/>
        <n v="81.16"/>
        <n v="511.43"/>
        <n v="410.63"/>
        <n v="687.36"/>
        <n v="141.85"/>
        <n v="257.11"/>
        <n v="861.55"/>
        <n v="945.37"/>
        <n v="527.91"/>
        <n v="964"/>
        <n v="592.67999999999995"/>
        <n v="773.86"/>
        <n v="703.95"/>
        <n v="891.79"/>
        <n v="645.71"/>
        <n v="924.73"/>
        <n v="935.78"/>
        <n v="895.92"/>
        <n v="136.4"/>
        <n v="838.59"/>
        <n v="871.2"/>
        <n v="488.37"/>
        <n v="803.76"/>
        <n v="879.63"/>
        <n v="494.35"/>
        <n v="565.51"/>
        <n v="539.44000000000005"/>
        <n v="996.33"/>
        <n v="413.65"/>
        <n v="202.46"/>
        <n v="862.18"/>
        <n v="23.57"/>
        <n v="209.39"/>
        <n v="265.89"/>
        <n v="861.5"/>
        <n v="206.84"/>
        <n v="845.67"/>
        <n v="181.42"/>
        <n v="862.67"/>
        <n v="645.48"/>
        <n v="736.54"/>
        <n v="237.59"/>
        <n v="240.27"/>
        <n v="228.98"/>
        <n v="470.18"/>
        <n v="68.209999999999994"/>
        <n v="403.2"/>
        <n v="935.98"/>
        <n v="428.55"/>
        <n v="455.49"/>
        <n v="99.77"/>
        <n v="24.29"/>
        <n v="659.17"/>
        <n v="99.35"/>
        <n v="587.12"/>
        <n v="440.48"/>
        <n v="984.12"/>
        <n v="904.92"/>
        <n v="411.68"/>
        <n v="722.06"/>
        <n v="304.67"/>
        <n v="175.91"/>
        <n v="583.51"/>
        <n v="622.72"/>
        <n v="303.56"/>
        <n v="94.13"/>
        <n v="996.48"/>
        <n v="338.81"/>
        <n v="471.31"/>
        <n v="747.56"/>
        <n v="332.97"/>
        <n v="619.74"/>
        <n v="21.14"/>
        <n v="960.81"/>
        <n v="770.87"/>
        <n v="721.54"/>
        <n v="954.29"/>
        <n v="221.7"/>
        <n v="95.06"/>
        <n v="581.19000000000005"/>
        <n v="605.83000000000004"/>
        <n v="209.32"/>
        <n v="591.33000000000004"/>
        <n v="950.04"/>
        <n v="513.36"/>
        <n v="520.45000000000005"/>
        <n v="781.39"/>
        <n v="891.62"/>
        <n v="148.96"/>
        <n v="705.12"/>
        <n v="164.04"/>
        <n v="846.3"/>
        <n v="967.76"/>
        <n v="560.52"/>
        <n v="485.17"/>
        <n v="758.89"/>
        <n v="396.9"/>
        <n v="755.82"/>
        <n v="731.53"/>
        <n v="741.33"/>
        <n v="934.75"/>
        <n v="681.3"/>
        <n v="685.97"/>
        <n v="975.48"/>
        <n v="383.74"/>
        <n v="306.70999999999998"/>
        <n v="849.17"/>
        <n v="306.52"/>
        <n v="322.94"/>
        <n v="979.49"/>
        <n v="453.12"/>
        <n v="984.37"/>
        <n v="616.97"/>
        <n v="619.35"/>
        <n v="471.88"/>
        <n v="966.71"/>
        <n v="64.94"/>
        <n v="435.61"/>
        <n v="354.65"/>
        <n v="163.19999999999999"/>
        <n v="816.22"/>
        <n v="461.83"/>
        <n v="121.37"/>
        <n v="706.67"/>
        <n v="306.36"/>
        <n v="829.83"/>
        <n v="309.77999999999997"/>
        <n v="780.16"/>
        <n v="229.81"/>
        <n v="294.38"/>
        <n v="828.35"/>
        <n v="986.41"/>
        <n v="121.7"/>
        <n v="308.7"/>
        <n v="809.45"/>
        <n v="451.33"/>
        <n v="816.29"/>
        <n v="700.18"/>
        <n v="792.1"/>
        <n v="831.15"/>
        <n v="898.58"/>
        <n v="697.13"/>
        <n v="539.48"/>
        <n v="63.19"/>
        <n v="254.71"/>
        <n v="928.74"/>
        <n v="677.46"/>
        <n v="941.85"/>
        <n v="136.12"/>
        <n v="960.41"/>
        <n v="977.47"/>
        <n v="815.3"/>
        <n v="531.99"/>
        <n v="359.56"/>
        <n v="388.34"/>
        <n v="963.76"/>
        <n v="563.29999999999995"/>
        <n v="951.09"/>
        <n v="664.35"/>
        <n v="830.42"/>
        <n v="785.41"/>
        <n v="735.32"/>
        <n v="53.92"/>
        <n v="873.94"/>
        <n v="208.09"/>
        <n v="338.79"/>
        <n v="546.20000000000005"/>
        <n v="925.78"/>
        <n v="529.84"/>
        <n v="408.99"/>
        <n v="555.54999999999995"/>
        <n v="409.03"/>
        <n v="635.80999999999995"/>
        <n v="354.12"/>
        <n v="449.88"/>
        <n v="161.80000000000001"/>
        <n v="566.16"/>
        <n v="620.71"/>
        <n v="568.80999999999995"/>
        <n v="945.92"/>
        <n v="170.68"/>
        <n v="184.67"/>
        <n v="628.17999999999995"/>
        <n v="714.21"/>
        <n v="651.36"/>
        <n v="992.37"/>
        <n v="445.57279999999997"/>
        <n v="92.64"/>
        <n v="106.48"/>
        <n v="676.58"/>
        <n v="267.36"/>
        <n v="331.73"/>
        <n v="953.74"/>
        <n v="217.13"/>
        <n v="115.39"/>
        <n v="470.55"/>
        <n v="463.16"/>
        <n v="289.82"/>
        <n v="408.72"/>
        <n v="649.54999999999995"/>
        <n v="735.1"/>
        <n v="239.57"/>
        <n v="457.33"/>
        <n v="528.22"/>
        <n v="717.32"/>
        <n v="922.69"/>
        <n v="528.23"/>
        <n v="948.69"/>
        <n v="865.96"/>
        <n v="838.22"/>
        <n v="823.61"/>
        <n v="194.09"/>
        <n v="747.9"/>
        <n v="341.95"/>
        <n v="904.96"/>
        <n v="520.92999999999995"/>
        <n v="905.26"/>
        <n v="652.29999999999995"/>
        <n v="292.31"/>
        <n v="817.92"/>
        <n v="926.85"/>
        <n v="575.94000000000005"/>
        <n v="451.41"/>
        <n v="243.13"/>
        <n v="822.6"/>
        <n v="752.45"/>
        <n v="853.26"/>
        <n v="153.84"/>
        <n v="209.66"/>
        <n v="822.59"/>
        <n v="629.86"/>
        <n v="439.55"/>
        <n v="394.5"/>
        <n v="758.87"/>
        <n v="314.39999999999998"/>
        <n v="449.6"/>
        <n v="146.12"/>
        <n v="874.59"/>
        <n v="424.83"/>
        <n v="859.47"/>
        <n v="970.89"/>
        <n v="31.36"/>
        <n v="761.35"/>
        <n v="878.69"/>
        <n v="456.38"/>
        <n v="880.89"/>
        <n v="329.06"/>
        <n v="884.71"/>
        <n v="991.37"/>
        <n v="317.11"/>
        <n v="760.14"/>
        <n v="90.72"/>
        <n v="971.9"/>
        <n v="740.57"/>
        <n v="977.97"/>
        <n v="958.44"/>
        <n v="833.62"/>
        <n v="588.29999999999995"/>
        <n v="278.63"/>
        <n v="855.4"/>
        <n v="652.28"/>
        <n v="672.98"/>
        <n v="459.83"/>
        <n v="757.71"/>
        <n v="722.45"/>
        <n v="471.89"/>
        <n v="255.02"/>
        <n v="850.83"/>
        <n v="746.36"/>
        <n v="833.64"/>
        <n v="574.58000000000004"/>
        <n v="867.19"/>
        <n v="405.8"/>
        <n v="343.97"/>
        <n v="62.03"/>
        <n v="108.55"/>
        <n v="567.95000000000005"/>
        <n v="984.96"/>
        <n v="588.53"/>
        <n v="680.16"/>
        <n v="994.63"/>
        <n v="38.880000000000003"/>
        <n v="287.70999999999998"/>
        <n v="860.78"/>
        <n v="606.01"/>
        <n v="169.43"/>
        <n v="37.21"/>
        <n v="509.08"/>
        <n v="579.52"/>
        <n v="769.56"/>
        <n v="233.33"/>
        <n v="145.43"/>
        <n v="969.83"/>
        <n v="837.76"/>
        <n v="891.8"/>
        <n v="546.41"/>
        <n v="611.91999999999996"/>
        <n v="207.41"/>
        <n v="522.72"/>
        <n v="593.84"/>
        <n v="527.05999999999995"/>
        <n v="478.62"/>
        <n v="108.27"/>
        <n v="47.3"/>
        <n v="424.53"/>
        <n v="247.67"/>
        <n v="715.85"/>
        <n v="336.09"/>
        <n v="720.15"/>
        <n v="611.21"/>
        <n v="291.05"/>
        <n v="720.32"/>
        <n v="212.87"/>
        <n v="240.51"/>
        <n v="541.39"/>
        <n v="46.66"/>
        <n v="883.36"/>
        <n v="450.42"/>
        <n v="174.27"/>
        <n v="79.75"/>
        <n v="690.27"/>
        <n v="972.58"/>
        <n v="361.65"/>
        <n v="744.88"/>
        <n v="269.94"/>
        <n v="100.42"/>
        <n v="20.09"/>
        <n v="452.29"/>
        <n v="950.83"/>
        <n v="912.61"/>
        <n v="407.39"/>
        <n v="462.93"/>
        <n v="402.3"/>
        <n v="188.25"/>
        <n v="316.18"/>
        <n v="121.64"/>
        <n v="632.24"/>
        <n v="298.01"/>
        <n v="369.22"/>
        <n v="562.97"/>
        <n v="889.47"/>
        <n v="65.44"/>
        <n v="206.45"/>
        <n v="973.9"/>
        <n v="280.37"/>
        <n v="899.27"/>
        <n v="248.43"/>
        <n v="742.15"/>
        <n v="124.98"/>
        <n v="543.22"/>
        <n v="512.16"/>
        <n v="601.5"/>
        <n v="352.43"/>
        <n v="563.32000000000005"/>
        <n v="403.47"/>
        <n v="795.37"/>
        <n v="857.35"/>
        <n v="504.97"/>
        <n v="74.290000000000006"/>
        <n v="108.14"/>
        <n v="31.28"/>
        <n v="223.25"/>
        <n v="667.17"/>
        <n v="161.16999999999999"/>
        <n v="696.61"/>
        <n v="223.73"/>
        <n v="642.04999999999995"/>
        <n v="281.95999999999998"/>
        <n v="184.57"/>
        <n v="235.39"/>
        <n v="132.88999999999999"/>
        <n v="768.08"/>
        <n v="836.27"/>
        <n v="517.82000000000005"/>
        <n v="791.75"/>
        <n v="674.66"/>
        <n v="496.19"/>
        <n v="614.99"/>
        <n v="135.13"/>
        <n v="225.14"/>
        <n v="789.05"/>
        <n v="536.84"/>
        <n v="597.46"/>
        <n v="935.66"/>
        <n v="145.96"/>
        <n v="259.98"/>
        <n v="385.5"/>
        <n v="252.63"/>
        <n v="920.82"/>
        <n v="543.44000000000005"/>
        <n v="558.9"/>
        <n v="524"/>
        <n v="687.82"/>
        <n v="754.02"/>
        <n v="384.57"/>
        <n v="360.18"/>
        <n v="985"/>
        <n v="25.3"/>
        <n v="592.14"/>
        <n v="442.36"/>
        <n v="43.58"/>
        <n v="949.3"/>
        <n v="643.96"/>
        <n v="457.83"/>
        <n v="71.23"/>
        <n v="140.72"/>
        <n v="860.84"/>
        <n v="907.97"/>
        <n v="384.92"/>
        <n v="72.63"/>
        <n v="315.27"/>
        <n v="920.61"/>
        <n v="882.05"/>
        <n v="904.82"/>
        <n v="355.14"/>
        <n v="75.37"/>
        <n v="199.13"/>
        <n v="603.52"/>
        <n v="509.63"/>
        <n v="463.52"/>
        <n v="284.24"/>
        <n v="918.1"/>
        <n v="493.8"/>
        <n v="60.26"/>
        <n v="897.93"/>
        <n v="279.45"/>
        <n v="508.52"/>
        <n v="783.25"/>
        <n v="848.87"/>
        <n v="700.27"/>
        <n v="866.78"/>
        <n v="330.59"/>
        <n v="561.24"/>
        <n v="262.69"/>
        <n v="370.63"/>
        <n v="126.02"/>
        <n v="753.92"/>
        <n v="519.91"/>
        <n v="123.74"/>
        <n v="22.47"/>
        <n v="372.75"/>
        <n v="714.89"/>
        <n v="384.66"/>
        <n v="300.12"/>
        <n v="425.06"/>
        <n v="409.52"/>
        <n v="627.73"/>
        <n v="270.66000000000003"/>
        <n v="310.79000000000002"/>
        <n v="619.12"/>
        <n v="850.06"/>
        <n v="402.47"/>
        <n v="703.16"/>
        <n v="101.84"/>
        <n v="938.68"/>
        <n v="362.81"/>
        <n v="858.15"/>
        <n v="450.12"/>
        <n v="115.42"/>
        <n v="316.89999999999998"/>
        <n v="21.12"/>
        <n v="472.08"/>
        <n v="628.98"/>
        <n v="653.91"/>
        <n v="853.12"/>
        <n v="780.9"/>
        <n v="64.2"/>
        <n v="775.84"/>
        <n v="530.54"/>
        <n v="408.66"/>
        <n v="272.2"/>
        <n v="183.44"/>
        <n v="613.16999999999996"/>
        <n v="750.26"/>
        <n v="570.38"/>
        <n v="753.47"/>
        <n v="805.08"/>
        <n v="689.67"/>
        <n v="666.39"/>
        <n v="733.87"/>
        <n v="824.34"/>
        <n v="537.15"/>
        <n v="299.13"/>
        <n v="780.57"/>
        <n v="198.76"/>
        <n v="664.71"/>
        <n v="841.37"/>
        <n v="453.41"/>
        <n v="578.47"/>
        <n v="805.99"/>
        <n v="414.97"/>
        <n v="696.13"/>
        <n v="847.21"/>
        <n v="362.7"/>
        <n v="579.24"/>
        <n v="505.83"/>
        <n v="575.24"/>
        <n v="745.15"/>
        <n v="675.61"/>
        <n v="761.8"/>
        <n v="539.9"/>
        <n v="418.69"/>
        <n v="392.84"/>
        <n v="650.47"/>
        <n v="581.09"/>
        <n v="394.35"/>
        <n v="483.63"/>
        <n v="756.63"/>
        <n v="366.08"/>
        <n v="615.30999999999995"/>
        <n v="416.44"/>
        <n v="215.59"/>
        <n v="738.47"/>
        <n v="164.93"/>
        <n v="649.95000000000005"/>
        <n v="122.23"/>
        <n v="635.22"/>
        <n v="409.14"/>
        <n v="583.21"/>
        <n v="269.25"/>
        <n v="969.55"/>
        <n v="499.59"/>
        <n v="553.38"/>
        <n v="468.94"/>
        <n v="517.98"/>
        <n v="893.14"/>
        <n v="835.17"/>
        <n v="820.78"/>
        <n v="310.33"/>
        <n v="522.69000000000005"/>
        <n v="241.64"/>
        <n v="707.95"/>
        <n v="121.76"/>
        <n v="838.7"/>
        <n v="813.01"/>
        <n v="839.74"/>
        <n v="484.39"/>
        <n v="391.77"/>
        <n v="127.58"/>
        <n v="644.73"/>
        <n v="373.35"/>
        <n v="852.72"/>
        <n v="849.77"/>
        <n v="543.92999999999995"/>
        <n v="519.29999999999995"/>
        <n v="377.18"/>
        <n v="289.14"/>
        <n v="320.64"/>
        <n v="350.67"/>
        <n v="659.27"/>
        <n v="872.93"/>
        <n v="182.91"/>
        <n v="623.82000000000005"/>
        <n v="863.11"/>
        <n v="858.81"/>
        <n v="931.26"/>
        <n v="336.17"/>
        <n v="222.94"/>
        <n v="637.55999999999995"/>
        <n v="453.19"/>
        <n v="839.24"/>
        <n v="347.82"/>
        <n v="623.88"/>
        <n v="892.88"/>
        <n v="227.28"/>
        <n v="551.22"/>
        <n v="502.95"/>
        <n v="640.54999999999995"/>
        <n v="982.45"/>
        <n v="361.09"/>
        <n v="517.13"/>
        <n v="144.66999999999999"/>
        <n v="569.36"/>
        <n v="773.57"/>
        <n v="708.88"/>
        <n v="274.08999999999997"/>
        <n v="204.89"/>
        <n v="869.43"/>
        <n v="540.1"/>
        <n v="498.61"/>
        <n v="700.91"/>
        <n v="683.74"/>
        <n v="981.35"/>
        <n v="218.11"/>
        <n v="377.26"/>
        <n v="622.98"/>
        <n v="803.37"/>
        <n v="102.85"/>
        <n v="631"/>
        <n v="889.19"/>
        <n v="352.63"/>
        <n v="194.67"/>
        <n v="681.58"/>
        <n v="440.19"/>
        <n v="762.55"/>
        <n v="255.67"/>
        <n v="477.52"/>
        <n v="929.26"/>
        <n v="716.39"/>
        <n v="190.04"/>
        <n v="613.17999999999995"/>
        <n v="986.04"/>
        <n v="389.12"/>
        <n v="736.75"/>
        <n v="529.04"/>
        <n v="104.47"/>
        <n v="202.07"/>
        <n v="661.39"/>
        <n v="207.8"/>
        <n v="877.21"/>
        <n v="915.81"/>
        <n v="748.75"/>
        <n v="418.23"/>
        <n v="170.48"/>
        <n v="846.04"/>
        <n v="588.9"/>
        <n v="408.76"/>
        <n v="461.52"/>
        <n v="160.21"/>
        <n v="816.87"/>
        <n v="63.36"/>
        <n v="604.87"/>
        <n v="235.44"/>
        <n v="846.31"/>
        <n v="626.35"/>
        <n v="338.73"/>
        <n v="433.07"/>
        <n v="230.32"/>
        <n v="601.33000000000004"/>
        <n v="259.74"/>
        <n v="825.78"/>
        <n v="212.96"/>
        <n v="355.31"/>
        <n v="219.81"/>
        <n v="52.35"/>
        <n v="977.18"/>
        <n v="856.57"/>
        <n v="507.33"/>
        <n v="635.39"/>
        <n v="877.71"/>
        <n v="705.64"/>
        <n v="700.98"/>
        <n v="548.15"/>
        <n v="350.58"/>
        <n v="266.98"/>
        <n v="669.12"/>
        <n v="197.93"/>
        <n v="434.55"/>
        <n v="34.39"/>
        <n v="235.28"/>
        <n v="573.37"/>
        <n v="551.72"/>
        <n v="726.97"/>
        <n v="27.83"/>
        <n v="94.83"/>
        <n v="558.83000000000004"/>
        <n v="761.71"/>
        <n v="678.2"/>
        <n v="616.82000000000005"/>
        <n v="641.45000000000005"/>
        <n v="757.9"/>
        <n v="401.18"/>
        <n v="336.1"/>
        <n v="179.77"/>
        <n v="514.19000000000005"/>
        <n v="758.54"/>
        <n v="46.39"/>
        <n v="671.69"/>
        <n v="695.02"/>
        <n v="350.12"/>
        <n v="953.98"/>
        <n v="341.51"/>
        <n v="85.62"/>
        <n v="673.02"/>
        <n v="529.89"/>
        <n v="217.22"/>
        <n v="299.45999999999998"/>
        <n v="38.380000000000003"/>
        <n v="356.28"/>
        <n v="470.34"/>
        <n v="602.54999999999995"/>
        <n v="953.26"/>
        <n v="975.47"/>
        <n v="962.98"/>
        <n v="589.55999999999995"/>
        <n v="459.42"/>
        <n v="459.89"/>
        <n v="804.9"/>
        <n v="106.23"/>
        <n v="86.72"/>
        <n v="634.45000000000005"/>
        <n v="73.88"/>
        <n v="528.29999999999995"/>
        <n v="810.81"/>
        <n v="471.27"/>
        <n v="75.8"/>
        <n v="439.21"/>
        <n v="772.07"/>
        <n v="658.33"/>
        <n v="178.22"/>
        <n v="790.38"/>
        <n v="96.78"/>
        <n v="146.49"/>
        <n v="345.43"/>
        <n v="711.08"/>
        <n v="864.09"/>
        <n v="99.92"/>
        <n v="947.56"/>
        <n v="980.26"/>
        <n v="241.32"/>
        <n v="623.38"/>
        <n v="914.75"/>
        <n v="883.31"/>
        <n v="250.95"/>
        <n v="622.27"/>
        <n v="385.74"/>
        <n v="478.08"/>
        <n v="464.43"/>
        <n v="475.98"/>
        <n v="717.22"/>
        <n v="533.04999999999995"/>
        <n v="68.31"/>
        <n v="463.17"/>
        <n v="504.26"/>
        <n v="827.81"/>
        <n v="450.11"/>
        <n v="830.94"/>
        <n v="543.83000000000004"/>
        <n v="354.26"/>
        <n v="227.97"/>
        <n v="859.3"/>
        <n v="170.43"/>
        <n v="107.44"/>
        <n v="105.0226"/>
        <n v="482.2"/>
        <n v="177.4"/>
        <n v="682.7"/>
        <n v="239.92"/>
        <n v="909.04"/>
        <n v="891.13"/>
        <n v="981.69"/>
        <n v="873.18"/>
        <n v="458.97"/>
        <n v="591.98"/>
        <n v="889.04"/>
        <n v="620.12"/>
        <n v="336.51"/>
        <n v="151.66"/>
        <n v="332.82"/>
        <n v="582.29"/>
        <n v="303.67"/>
        <n v="295.39999999999998"/>
        <n v="922.78"/>
        <n v="997.95"/>
        <n v="259.2"/>
        <n v="244.25"/>
        <n v="58.92"/>
        <n v="505.23"/>
        <n v="99.1"/>
        <n v="873.1"/>
        <n v="648.33000000000004"/>
        <n v="794.59"/>
        <n v="631.20000000000005"/>
        <n v="873.86"/>
        <n v="800.84"/>
        <n v="822.32"/>
        <n v="871.34"/>
        <n v="654.17999999999995"/>
        <n v="349.84"/>
        <n v="455.82"/>
        <n v="327.25"/>
        <n v="892.06"/>
        <n v="885.57"/>
        <n v="62.25"/>
        <n v="584.41"/>
        <n v="442.87"/>
        <n v="122.87"/>
        <n v="134.58000000000001"/>
        <n v="603.30999999999995"/>
        <n v="392.45"/>
        <n v="56.52"/>
        <n v="150.47999999999999"/>
        <n v="661.77"/>
        <n v="156.72999999999999"/>
        <n v="189.07"/>
        <n v="807.95"/>
        <n v="429.38"/>
        <n v="280.16000000000003"/>
        <n v="441.03"/>
        <n v="664.5"/>
        <n v="222.95"/>
        <n v="404.08"/>
        <n v="119.83"/>
        <n v="223.64"/>
        <n v="120.02"/>
        <n v="835.61"/>
        <n v="286.27999999999997"/>
        <n v="449.99"/>
        <n v="451.98"/>
        <n v="549.83000000000004"/>
        <n v="626.71"/>
        <n v="661.53"/>
        <n v="968.88"/>
        <n v="671.62"/>
        <n v="74.66"/>
        <n v="108.74"/>
        <n v="373.49"/>
        <n v="44.08"/>
        <n v="221.49"/>
        <n v="59.37"/>
        <n v="727.7"/>
        <n v="68.45"/>
        <n v="158.46"/>
        <n v="401.87"/>
        <n v="705.97"/>
        <n v="60.53"/>
        <n v="816.28"/>
        <n v="825.33"/>
        <n v="653.87"/>
        <n v="104.33"/>
        <n v="611.29999999999995"/>
        <n v="600.03"/>
        <n v="782.11"/>
        <n v="811.16"/>
        <n v="253.87"/>
        <n v="318.62"/>
        <n v="962.81"/>
        <n v="511.35"/>
        <n v="492.71"/>
        <n v="739.95"/>
        <n v="715.42"/>
        <n v="34.97"/>
        <n v="281.48"/>
        <n v="549.52"/>
        <n v="112.77"/>
        <n v="204.8"/>
        <n v="268.95"/>
        <n v="989.17"/>
        <n v="908.5"/>
        <n v="74.209999999999994"/>
        <n v="414.86"/>
        <n v="268.3"/>
        <n v="988.53"/>
        <n v="493.45"/>
        <n v="341.17"/>
        <n v="419.25"/>
        <n v="152.41"/>
        <n v="377.69"/>
        <n v="182.89"/>
        <n v="593.47"/>
        <n v="974.47"/>
        <n v="722.57"/>
        <n v="371.03"/>
        <n v="790.73"/>
        <n v="788.45"/>
        <n v="826.15"/>
        <n v="355.3"/>
        <n v="410.04"/>
        <n v="824.75"/>
        <n v="999.89"/>
        <n v="409"/>
        <n v="54.4"/>
        <n v="334.6"/>
        <n v="42.97"/>
        <n v="137.77000000000001"/>
        <n v="230.53"/>
        <n v="780.24"/>
        <n v="71.48"/>
        <n v="669.53"/>
        <n v="843.44"/>
        <n v="469.33"/>
        <n v="301.24"/>
        <n v="395.45"/>
        <n v="345.06"/>
        <n v="829.36"/>
        <n v="796.89"/>
        <n v="823.26"/>
        <n v="694.61"/>
        <n v="88.92"/>
        <n v="456.32"/>
        <n v="878.62"/>
        <n v="64.7"/>
        <n v="909.51"/>
        <n v="254.94"/>
        <n v="111.66"/>
        <n v="195.24"/>
        <n v="282.48"/>
        <n v="138.41"/>
        <n v="950.21"/>
        <n v="838.99"/>
        <n v="644.15"/>
        <n v="552.72"/>
        <n v="743.55"/>
        <n v="901.49"/>
        <n v="212.72"/>
        <n v="564.1"/>
        <n v="769.62"/>
        <n v="480.51"/>
        <n v="245.52"/>
        <n v="934"/>
        <n v="541.52"/>
        <n v="402.11"/>
        <n v="934.79"/>
        <n v="257.45"/>
        <n v="814.25"/>
        <n v="575.66"/>
        <n v="448.55"/>
        <n v="462.23"/>
        <n v="741.51"/>
        <n v="111.28"/>
        <n v="806.99"/>
        <n v="121.52"/>
        <n v="994.32"/>
        <n v="898.45"/>
        <n v="691.02"/>
        <n v="21.59"/>
        <n v="753.83"/>
        <n v="823.03"/>
        <n v="312.91000000000003"/>
        <n v="939.66"/>
        <n v="583.52"/>
        <n v="827.09"/>
        <n v="176.84"/>
        <n v="716.29"/>
        <n v="848.69"/>
        <n v="71.709999999999994"/>
        <n v="374.42"/>
        <n v="140.24"/>
        <n v="94.26"/>
        <n v="99.04"/>
        <n v="900.63"/>
        <n v="499.46"/>
        <n v="250.14"/>
        <n v="162.16999999999999"/>
        <n v="706.87"/>
        <n v="183.85"/>
        <n v="44.35"/>
        <n v="243.92"/>
        <n v="921.83"/>
        <n v="109.36"/>
        <n v="942.38"/>
        <n v="603.62"/>
        <n v="382.2"/>
        <n v="270.45"/>
        <n v="591.9"/>
        <n v="899.58"/>
        <n v="176.13"/>
        <n v="610.24"/>
        <n v="387.99"/>
        <n v="247.66"/>
        <n v="530.16999999999996"/>
        <n v="523.45000000000005"/>
        <n v="566.09"/>
        <n v="728.32"/>
        <n v="751.94"/>
        <n v="379.28"/>
        <n v="36.799999999999997"/>
        <n v="732.67"/>
        <n v="695.97"/>
        <n v="35.159999999999997"/>
        <n v="361.11"/>
        <n v="247.55"/>
        <n v="717.81"/>
        <n v="492.05"/>
        <n v="698.14"/>
        <n v="620.22"/>
        <n v="482.58"/>
        <n v="239.54"/>
        <n v="41.97"/>
        <n v="521.44000000000005"/>
        <n v="530.45000000000005"/>
        <n v="793.21"/>
        <n v="547.09"/>
        <n v="608.97"/>
        <n v="580.76"/>
        <n v="169.69"/>
        <n v="852.71"/>
        <n v="721.94"/>
        <n v="85.23"/>
        <n v="212.75"/>
        <n v="261.05"/>
        <n v="541.99"/>
        <n v="477.05"/>
        <n v="582.57000000000005"/>
        <n v="579.26"/>
        <n v="862.31"/>
        <n v="995.55"/>
        <n v="38.950000000000003"/>
        <n v="422.13"/>
        <n v="250.83"/>
        <n v="348.58"/>
        <n v="913.99"/>
        <n v="42.51"/>
        <n v="585.04"/>
        <n v="142.83000000000001"/>
        <n v="975.72"/>
        <n v="476.78"/>
        <n v="492.62"/>
        <n v="269.49"/>
        <n v="345.58"/>
        <n v="258.06"/>
        <n v="997.87"/>
        <n v="984.6"/>
        <n v="894.58"/>
        <n v="770.65"/>
        <n v="24.13"/>
        <n v="220.51"/>
        <n v="492"/>
        <n v="848.98"/>
        <n v="849.29"/>
        <n v="548.29999999999995"/>
        <n v="346.37"/>
        <n v="461.03"/>
        <n v="845.27"/>
        <n v="339.41"/>
        <n v="127.11"/>
        <n v="555.65"/>
        <n v="432.29"/>
        <n v="983.98"/>
        <n v="867.32"/>
        <n v="447.69"/>
        <n v="113.07"/>
        <n v="986.93"/>
        <n v="413.74"/>
        <n v="403.91"/>
        <n v="789.35"/>
        <n v="845.71"/>
        <n v="727.18"/>
        <n v="805.07"/>
        <n v="600.73"/>
        <n v="933.73"/>
        <n v="644.97"/>
        <n v="723.66"/>
        <n v="360.28"/>
        <n v="44.07"/>
        <n v="218.04"/>
        <n v="481.86"/>
        <n v="212.08"/>
        <n v="761.88"/>
        <n v="451.67"/>
        <n v="819.93"/>
        <n v="768.25"/>
        <n v="780.07"/>
        <n v="676.14"/>
        <n v="353.74"/>
        <n v="83.5"/>
        <n v="471.19"/>
        <n v="373.06"/>
        <n v="327.52"/>
        <n v="803.3"/>
        <n v="123.19"/>
        <n v="333.83"/>
        <n v="106.66"/>
        <n v="909.25"/>
        <n v="961.84"/>
        <n v="70.97"/>
        <n v="92.94"/>
        <n v="502.69"/>
        <n v="964.11"/>
        <n v="846.35"/>
        <n v="278.16000000000003"/>
        <n v="199.41"/>
        <n v="145.18"/>
        <n v="527.51"/>
        <n v="823.36"/>
        <n v="465.42"/>
        <n v="153.94999999999999"/>
        <n v="272.27"/>
        <n v="681.08"/>
        <n v="601.92999999999995"/>
        <n v="918.76"/>
        <n v="885.72"/>
        <n v="925.19"/>
        <n v="56.91"/>
        <n v="511.7"/>
        <n v="326.85000000000002"/>
        <n v="811.45"/>
        <n v="399.42"/>
        <n v="559.23"/>
        <n v="983.38"/>
        <n v="995.4"/>
        <n v="753.49"/>
        <n v="913.98"/>
        <n v="651.30999999999995"/>
        <n v="523.66"/>
        <n v="307.48"/>
        <n v="34.51"/>
        <n v="825.04"/>
        <n v="479.63"/>
        <n v="695.26"/>
        <n v="227.95"/>
        <n v="47.47"/>
        <n v="594.89"/>
        <n v="766.47"/>
        <n v="943.36"/>
        <n v="155.87"/>
        <n v="62.26"/>
        <n v="785.31"/>
        <n v="267.19"/>
        <n v="543.49"/>
        <n v="88.78"/>
        <n v="994.18"/>
        <n v="139.05000000000001"/>
        <n v="392.65"/>
        <n v="779.25"/>
        <n v="277.58"/>
        <n v="132.77000000000001"/>
        <n v="821.35"/>
        <n v="271.76"/>
        <n v="149.83000000000001"/>
        <n v="640.91"/>
        <n v="662.43"/>
        <n v="698.72"/>
        <n v="41.39"/>
        <n v="834.7"/>
        <n v="693.16"/>
        <n v="753"/>
        <n v="702.53"/>
        <n v="709.17"/>
        <n v="106.07"/>
        <n v="665.38"/>
        <n v="507.22"/>
        <n v="34.71"/>
        <n v="32.19"/>
        <n v="968.27"/>
        <n v="445.5"/>
        <n v="898.81"/>
        <n v="944.64"/>
        <n v="505.01"/>
        <n v="696.53"/>
        <n v="979.28"/>
        <n v="644.58000000000004"/>
        <n v="170.12"/>
        <n v="492.5"/>
        <n v="900.94"/>
        <n v="731.01"/>
        <n v="718.23"/>
        <n v="772.24"/>
        <n v="706.6"/>
        <n v="647.86"/>
        <n v="649.89"/>
        <n v="904.19"/>
        <n v="168.55"/>
        <n v="596"/>
        <n v="94.48"/>
        <n v="649.59"/>
        <n v="594.44000000000005"/>
        <n v="715.88"/>
        <n v="322.58"/>
        <n v="438.65"/>
        <n v="108.31"/>
        <n v="282.18"/>
        <n v="429.25"/>
        <n v="189.56"/>
        <n v="437.84"/>
        <n v="563.01"/>
        <n v="540.69000000000005"/>
        <n v="401.5"/>
        <n v="745.51"/>
        <n v="585.54999999999995"/>
        <n v="553.82000000000005"/>
        <n v="702.27"/>
        <n v="174.57"/>
        <n v="20.47"/>
        <n v="549.91999999999996"/>
        <n v="56.17"/>
        <n v="336.97"/>
        <n v="340.9"/>
        <n v="678.9"/>
        <n v="589.83000000000004"/>
        <n v="344.16"/>
        <n v="788.05"/>
        <n v="42.04"/>
        <n v="613.23"/>
        <n v="355.64"/>
        <n v="576.83000000000004"/>
        <n v="214.94"/>
        <n v="576.52"/>
        <n v="692.75"/>
        <n v="628.83000000000004"/>
        <n v="83.1"/>
        <n v="404.5"/>
        <n v="630.28"/>
        <n v="745.3"/>
        <n v="92.24"/>
        <n v="38.07"/>
        <n v="372.42"/>
        <n v="85.58"/>
        <n v="875.41"/>
        <n v="688.86"/>
        <n v="839.65"/>
        <n v="397.63"/>
        <n v="769.48"/>
        <n v="491.26"/>
        <n v="120.97"/>
        <n v="815.53"/>
        <n v="504.98"/>
        <n v="644"/>
        <n v="370.66"/>
        <n v="805.24"/>
        <n v="865.14"/>
        <n v="479.77"/>
        <n v="989.63"/>
        <n v="285.39"/>
        <n v="406.46"/>
        <n v="516.62"/>
        <n v="358.36"/>
        <n v="107.8"/>
        <n v="879.93"/>
        <n v="923.38"/>
        <n v="701.49"/>
        <n v="510.33"/>
        <n v="479.93"/>
        <n v="134.30000000000001"/>
        <n v="753.1"/>
        <n v="678.98"/>
        <n v="478.85"/>
        <n v="219.96"/>
        <n v="629.58000000000004"/>
        <n v="940.77"/>
        <n v="638.91"/>
        <n v="252.18"/>
        <n v="882.84"/>
        <n v="261.48"/>
        <n v="448.25"/>
        <n v="845.58"/>
        <n v="370.93"/>
        <n v="599.85"/>
        <n v="56.59"/>
        <n v="179.64"/>
        <n v="717.31"/>
        <n v="629.73"/>
        <n v="884.48"/>
        <n v="101.33"/>
        <n v="55.04"/>
        <n v="186.24"/>
        <n v="764.25"/>
        <n v="957.54"/>
        <n v="740.68"/>
        <n v="388.35"/>
        <n v="518"/>
        <n v="747.03"/>
        <n v="616.42999999999995"/>
        <n v="73.55"/>
        <n v="447.38"/>
        <n v="480.11"/>
        <n v="484.92"/>
        <n v="408.8"/>
        <n v="635.14"/>
        <n v="649.22"/>
        <n v="998.2"/>
        <n v="159.93"/>
        <n v="718.99"/>
        <n v="833.7"/>
        <n v="152.16999999999999"/>
        <n v="328.27"/>
        <n v="763.34"/>
        <n v="992.55"/>
        <n v="365.91"/>
        <n v="960.38"/>
        <n v="766.03"/>
        <n v="312.81"/>
        <n v="758.27"/>
        <n v="824.32"/>
        <n v="62.38"/>
        <n v="344.12"/>
        <n v="826.55"/>
        <n v="245.85"/>
        <n v="629.09"/>
        <n v="573.09"/>
        <n v="194.39"/>
        <n v="593.62"/>
        <n v="952.73"/>
        <n v="676.77"/>
        <n v="599.48"/>
        <n v="238.24"/>
        <n v="127.47"/>
        <n v="867.94"/>
        <n v="180.84"/>
        <n v="546.47"/>
        <n v="985.43"/>
        <n v="260.45999999999998"/>
        <n v="195.89"/>
        <n v="548.19000000000005"/>
        <n v="126.92"/>
        <n v="849.8"/>
        <n v="77.599999999999994"/>
        <n v="354.09"/>
        <n v="547.21"/>
        <n v="598.82000000000005"/>
        <n v="167.25"/>
        <n v="664.75"/>
        <n v="369.32"/>
        <n v="934.96"/>
        <n v="89.78"/>
        <n v="218.01"/>
        <n v="141.79"/>
        <n v="282.45"/>
        <n v="918.87"/>
        <n v="998.58"/>
        <n v="573.1"/>
        <n v="362.11"/>
        <n v="679.22"/>
        <n v="467.24"/>
        <n v="502.53"/>
        <n v="438.92"/>
        <n v="762.43"/>
        <n v="549.33000000000004"/>
        <n v="454.71"/>
        <n v="389.22"/>
        <n v="472.18"/>
        <n v="254.47"/>
        <n v="748.56"/>
        <n v="522.78"/>
        <n v="619.80999999999995"/>
        <n v="152.91"/>
        <n v="539.37"/>
        <n v="23.37"/>
        <n v="162.02110000000002"/>
        <n v="630.21"/>
        <n v="242.58"/>
        <n v="878.05"/>
        <n v="117.37"/>
        <n v="882.03"/>
        <n v="949.19"/>
        <n v="946.9"/>
        <n v="859.74"/>
        <n v="779.84"/>
        <n v="612.53"/>
        <n v="68.290000000000006"/>
        <n v="191.65"/>
        <n v="66.86"/>
        <n v="164.23"/>
        <n v="499.02"/>
        <n v="110.99"/>
        <n v="44.65"/>
        <n v="147.01"/>
        <n v="326.66000000000003"/>
        <n v="977.02"/>
        <n v="733.42"/>
        <n v="374.92"/>
        <n v="894.93"/>
        <n v="756.28"/>
        <n v="235.41"/>
        <n v="608.46"/>
        <n v="412.11"/>
        <n v="285.82"/>
        <n v="566.5"/>
        <n v="884.92"/>
        <n v="310.36"/>
        <n v="604.66"/>
        <n v="637.39"/>
        <n v="36.72"/>
        <n v="168.29"/>
        <n v="185.67"/>
        <n v="617.4"/>
        <n v="377.52"/>
        <n v="514.65"/>
        <n v="346.77"/>
        <n v="606.35"/>
        <n v="78.27"/>
        <n v="985.79"/>
        <n v="482.06"/>
        <n v="179.7"/>
        <n v="358.45"/>
        <n v="507.66"/>
        <n v="284.44"/>
        <n v="723.44"/>
        <n v="490.02"/>
        <n v="94.55"/>
        <n v="553.12"/>
        <n v="536.61"/>
        <n v="143.79"/>
        <n v="79.77"/>
        <n v="855.96"/>
        <n v="271.39999999999998"/>
        <n v="847.44"/>
        <n v="955.66"/>
        <n v="559.52"/>
        <n v="197.76"/>
        <n v="581.34"/>
        <n v="915.17"/>
        <n v="314.29000000000002"/>
        <n v="842.89"/>
        <n v="522.85"/>
        <n v="778.56"/>
        <n v="917.26"/>
        <n v="476.28"/>
        <n v="263.58999999999997"/>
        <n v="458.69"/>
        <n v="742.45"/>
        <n v="958.64"/>
        <n v="836.4"/>
        <n v="257.95999999999998"/>
        <n v="654.12"/>
        <n v="46.97"/>
        <n v="536.67999999999995"/>
        <n v="747.65"/>
        <n v="203.61"/>
        <n v="370.04"/>
        <n v="76.569999999999993"/>
        <n v="784.26"/>
        <n v="687.66"/>
        <n v="475.15"/>
        <n v="343.42"/>
        <n v="282.07"/>
        <n v="405.13"/>
        <n v="130.47999999999999"/>
        <n v="582.1"/>
        <n v="744.9"/>
        <n v="224.49"/>
        <n v="422.09"/>
        <n v="377.3"/>
        <n v="26.37"/>
        <n v="262.05"/>
        <n v="162.13999999999999"/>
        <n v="467.75"/>
        <n v="450.83"/>
        <n v="930.85"/>
        <n v="729.05"/>
        <n v="525.61"/>
        <n v="386.46"/>
        <n v="127.1"/>
        <n v="484.23"/>
        <n v="537.26"/>
        <n v="533.91999999999996"/>
        <n v="159.76"/>
        <n v="224.69"/>
        <n v="846.18"/>
        <n v="99.67"/>
        <n v="268.76"/>
        <n v="411.25"/>
        <n v="938.21"/>
        <n v="548.44000000000005"/>
        <n v="107.08"/>
        <n v="849.21"/>
        <n v="906.99"/>
        <n v="719.28"/>
        <n v="535.4"/>
        <n v="278.38"/>
        <n v="139.29"/>
        <n v="729.31"/>
        <n v="459.57"/>
        <n v="700.88"/>
        <n v="234.06"/>
        <n v="485.25"/>
        <n v="550.26"/>
        <n v="153.57"/>
        <n v="151.51"/>
        <n v="230.85"/>
        <n v="466.24"/>
        <n v="213.74"/>
        <n v="618.83000000000004"/>
        <n v="184.98"/>
        <n v="900.35"/>
        <n v="66.22"/>
        <n v="565.37"/>
        <n v="342.47"/>
        <n v="52.06"/>
        <n v="922.56"/>
        <n v="361.8"/>
        <n v="853.41"/>
        <n v="681.01"/>
        <n v="827.88"/>
        <n v="756.8"/>
        <n v="625.13"/>
        <n v="770.77"/>
        <n v="330.04"/>
        <n v="538.73"/>
        <n v="653.59"/>
        <n v="570.12"/>
        <n v="349.07"/>
        <n v="875.99"/>
        <n v="480.75"/>
        <n v="271.04000000000002"/>
        <n v="579.69000000000005"/>
        <n v="237.24"/>
        <n v="204.17"/>
        <n v="923.14"/>
        <n v="91.38"/>
        <n v="708.19"/>
        <n v="139.94"/>
        <n v="700.43"/>
        <n v="728.84"/>
        <n v="609.05999999999995"/>
        <n v="871.43"/>
        <n v="146.71"/>
        <n v="239.83"/>
        <n v="727.49"/>
        <n v="779.5"/>
        <n v="518.35"/>
        <n v="924.15"/>
        <n v="112.26"/>
        <n v="884.46"/>
        <n v="961.4"/>
        <n v="732.37"/>
        <n v="442.54"/>
        <n v="681.72"/>
        <n v="914.05"/>
        <n v="512.15"/>
        <n v="120.77"/>
        <n v="564.94000000000005"/>
        <n v="442.27"/>
        <n v="616.36"/>
        <n v="568.95000000000005"/>
        <n v="623.20000000000005"/>
        <n v="79"/>
        <n v="545.1"/>
        <n v="433.75"/>
        <n v="437.12"/>
        <n v="288.60000000000002"/>
        <n v="98.27"/>
        <n v="846.67"/>
        <n v="329.31"/>
        <n v="270.69"/>
        <n v="853.93"/>
        <n v="649.52"/>
        <n v="664.87"/>
        <n v="620.80999999999995"/>
        <n v="995.11"/>
        <n v="811.96"/>
        <n v="714.47"/>
        <n v="506.73"/>
        <n v="797.83"/>
        <n v="105.15"/>
        <n v="342.39"/>
        <n v="141.6"/>
        <n v="214.37"/>
        <n v="872.12"/>
        <n v="943.24"/>
        <n v="488.72"/>
        <n v="313.83"/>
        <n v="921.51"/>
        <n v="815.49"/>
        <n v="870.18"/>
        <n v="552.49"/>
        <n v="141.54"/>
        <n v="56.37"/>
        <n v="836.23"/>
        <n v="195.75"/>
        <n v="758.75"/>
        <n v="22.51"/>
        <n v="892.28"/>
        <n v="787.91"/>
        <n v="900.55"/>
        <n v="30.14"/>
        <n v="654.47"/>
        <n v="905.23"/>
        <n v="943.93"/>
        <n v="91.7"/>
        <n v="289.66000000000003"/>
        <n v="662.82"/>
        <n v="329.94"/>
        <n v="343.03"/>
        <n v="156.16"/>
        <n v="992.81"/>
        <n v="610.6"/>
        <n v="561.44000000000005"/>
        <n v="916.12"/>
        <n v="943.8"/>
        <n v="540.48"/>
        <n v="546.96"/>
        <n v="437.65"/>
        <n v="769.06"/>
        <n v="318.43"/>
        <n v="635.13"/>
        <n v="61.42"/>
        <n v="423.48"/>
        <n v="955.82"/>
        <n v="164.02"/>
        <n v="882.73"/>
        <n v="907.95"/>
        <n v="896.91"/>
        <n v="717.21"/>
        <n v="208.34"/>
        <n v="67.55"/>
        <n v="915.15"/>
        <n v="348.91"/>
        <n v="657.24"/>
        <n v="758.49"/>
        <n v="462.75"/>
        <n v="998.19"/>
        <n v="916.49"/>
        <n v="315.95"/>
        <n v="409.41"/>
        <n v="974.35"/>
        <n v="109.5"/>
        <n v="166.26"/>
        <n v="597.07000000000005"/>
        <n v="117.34"/>
        <n v="765.12"/>
        <n v="228.69"/>
        <n v="40.25"/>
        <n v="999.08"/>
        <n v="986.73"/>
        <n v="409.26"/>
        <n v="26.36"/>
        <n v="682.11"/>
        <n v="771.7"/>
        <n v="194.36"/>
        <n v="257.77999999999997"/>
        <n v="639.05999999999995"/>
        <n v="791.65"/>
        <n v="499.12"/>
        <n v="152.25"/>
        <n v="83.83"/>
        <n v="636.51"/>
        <n v="841.53"/>
        <n v="966.02"/>
        <n v="191.6"/>
        <n v="83.7"/>
        <n v="810.17"/>
        <n v="687.91"/>
        <n v="600.58000000000004"/>
        <n v="442.64"/>
        <n v="64.06"/>
        <n v="488.56"/>
        <n v="107.97"/>
        <n v="579.70000000000005"/>
        <n v="666.49"/>
        <n v="386.09"/>
        <n v="87.78"/>
        <n v="972.4"/>
        <n v="723.47"/>
        <n v="78.5"/>
        <n v="930.38"/>
        <n v="363.73"/>
        <n v="444.55"/>
        <n v="849.36"/>
        <n v="724.74"/>
        <n v="927.6"/>
        <n v="627.29"/>
        <n v="578.39"/>
        <n v="255.48"/>
        <n v="700.31"/>
        <n v="202.59"/>
        <n v="848.47"/>
        <n v="125"/>
        <n v="813.87"/>
        <n v="113.87"/>
        <n v="752.48"/>
        <n v="470.42"/>
        <n v="431.69"/>
        <n v="972.06"/>
        <n v="209.96"/>
        <n v="317.14999999999998"/>
        <n v="268.89"/>
        <n v="169.46"/>
      </sharedItems>
    </cacheField>
    <cacheField name="0.27" numFmtId="0">
      <sharedItems containsSemiMixedTypes="0" containsString="0" containsNumber="1" minValue="0" maxValue="0.87"/>
    </cacheField>
    <cacheField name=" 264.94 " numFmtId="43">
      <sharedItems containsSemiMixedTypes="0" containsString="0" containsNumber="1" minValue="18.459" maxValue="3908.2428" count="1994">
        <n v="130.93199999999999"/>
        <n v="236.7372"/>
        <n v="1099.76"/>
        <n v="1303.6895999999999"/>
        <n v="1371.5504000000001"/>
        <n v="743.87839999999994"/>
        <n v="491.46989999999988"/>
        <n v="1521.7632000000001"/>
        <n v="349.22250000000003"/>
        <n v="797.93790000000001"/>
        <n v="245.80199999999999"/>
        <n v="1756.35"/>
        <n v="198.50559999999999"/>
        <n v="972.32960000000003"/>
        <n v="605.43299999999999"/>
        <n v="571.26209999999992"/>
        <n v="1181.7431999999999"/>
        <n v="1093.2937999999999"/>
        <n v="414.25920000000002"/>
        <n v="519.15329999999994"/>
        <n v="116.39700000000001"/>
        <n v="1356.885"/>
        <n v="1344.6818000000001"/>
        <n v="2908.1696000000002"/>
        <n v="642.90499999999997"/>
        <n v="1404.0527999999999"/>
        <n v="609.45839999999998"/>
        <n v="878.50620000000004"/>
        <n v="1223.0694000000001"/>
        <n v="2599.5947999999999"/>
        <n v="374.66759999999999"/>
        <n v="360.85559999999998"/>
        <n v="517.89649999999995"/>
        <n v="64.878399999999999"/>
        <n v="2310.0987"/>
        <n v="1149.558"/>
        <n v="632.76480000000004"/>
        <n v="1448.752"/>
        <n v="762.36819999999989"/>
        <n v="464.42550000000011"/>
        <n v="287.39620000000002"/>
        <n v="372.923"/>
        <n v="313.99"/>
        <n v="1843.04"/>
        <n v="1815.7539999999999"/>
        <n v="1083.7284"/>
        <n v="348.78480000000002"/>
        <n v="1640.0519999999999"/>
        <n v="3110.9863999999998"/>
        <n v="705.11850000000004"/>
        <n v="336.45780000000002"/>
        <n v="71.193599999999989"/>
        <n v="112.4496"/>
        <n v="711.42959999999994"/>
        <n v="3111.192"/>
        <n v="545.48239999999998"/>
        <n v="2141.85"/>
        <n v="682.55600000000004"/>
        <n v="570.52"/>
        <n v="835.84800000000007"/>
        <n v="226.22540000000001"/>
        <n v="1125.896"/>
        <n v="455.60099999999989"/>
        <n v="544.55939999999998"/>
        <n v="54.999000000000002"/>
        <n v="712.50919999999996"/>
        <n v="262.80799999999999"/>
        <n v="2107.8629999999998"/>
        <n v="554.35380000000009"/>
        <n v="1741.35"/>
        <n v="581.58359999999993"/>
        <n v="1299.9000000000001"/>
        <n v="3178.2564000000002"/>
        <n v="230.88040000000001"/>
        <n v="188.04239999999999"/>
        <n v="68.694199999999995"/>
        <n v="439.27420000000001"/>
        <n v="2240.2800000000002"/>
        <n v="213.709"/>
        <n v="1913.8391999999999"/>
        <n v="475.9819"/>
        <n v="1154.6808000000001"/>
        <n v="223.87280000000001"/>
        <n v="137.697"/>
        <n v="1027.7357999999999"/>
        <n v="1570.4166"/>
        <n v="1089.5352"/>
        <n v="389.67399999999998"/>
        <n v="579.24950000000001"/>
        <n v="1314.0072"/>
        <n v="470.61419999999998"/>
        <n v="883.71660000000008"/>
        <n v="394.58629999999999"/>
        <n v="2916.42"/>
        <n v="111.1636"/>
        <n v="1098.6659999999999"/>
        <n v="1307.3345999999999"/>
        <n v="85.169700000000006"/>
        <n v="1456.4944"/>
        <n v="339.27080000000001"/>
        <n v="787.70069999999998"/>
        <n v="705.78959999999995"/>
        <n v="1372.2396000000001"/>
        <n v="1192.2174"/>
        <n v="615.32820000000004"/>
        <n v="191.88"/>
        <n v="1867.9205999999999"/>
        <n v="442.61489999999998"/>
        <n v="1733.2565999999999"/>
        <n v="101.3886"/>
        <n v="1818.3263999999999"/>
        <n v="1060.5816"/>
        <n v="3030.424"/>
        <n v="332.37759999999997"/>
        <n v="462.01499999999999"/>
        <n v="154.93799999999999"/>
        <n v="1046.5488"/>
        <n v="1861.9880000000001"/>
        <n v="1802.1120000000001"/>
        <n v="473.66070000000002"/>
        <n v="305.73"/>
        <n v="2545.44"/>
        <n v="267.20600000000002"/>
        <n v="398.95310000000012"/>
        <n v="1058.1600000000001"/>
        <n v="952.57439999999997"/>
        <n v="1968.6941999999999"/>
        <n v="1974.2418"/>
        <n v="104.6199"/>
        <n v="1643.4792"/>
        <n v="2102.424"/>
        <n v="324.02999999999997"/>
        <n v="3181.8919999999998"/>
        <n v="2168.9369999999999"/>
        <n v="763.30799999999999"/>
        <n v="2145.7485000000001"/>
        <n v="618.41340000000002"/>
        <n v="369.74"/>
        <n v="165.1584"/>
        <n v="469.6508"/>
        <n v="645.30080000000009"/>
        <n v="1175.2416000000001"/>
        <n v="230.12520000000001"/>
        <n v="1659.9756"/>
        <n v="274.45229999999998"/>
        <n v="165.84469999999999"/>
        <n v="3539.8656000000001"/>
        <n v="710.44"/>
        <n v="364.71600000000001"/>
        <n v="1243.038"/>
        <n v="2281.8532"/>
        <n v="548.52240000000006"/>
        <n v="800.33699999999999"/>
        <n v="1475.0916"/>
        <n v="1475.8869999999999"/>
        <n v="1306.4175"/>
        <n v="1793.6045999999999"/>
        <n v="2148.1212"/>
        <n v="817.21080000000006"/>
        <n v="868.45639999999992"/>
        <n v="570.62200000000007"/>
        <n v="570.11760000000004"/>
        <n v="370.75619999999998"/>
        <n v="2458.46"/>
        <n v="1120.0599"/>
        <n v="528.3066"/>
        <n v="674.63560000000007"/>
        <n v="103.56480000000001"/>
        <n v="437.76"/>
        <n v="2560"/>
        <n v="136.09960000000001"/>
        <n v="2329.7399999999998"/>
        <n v="1832.3789999999999"/>
        <n v="90.479799999999997"/>
        <n v="208.25280000000001"/>
        <n v="2380.7628"/>
        <n v="713.4"/>
        <n v="326.25599999999997"/>
        <n v="1128.9969000000001"/>
        <n v="1217.1579999999999"/>
        <n v="1583.806"/>
        <n v="119.7855"/>
        <n v="220.16800000000001"/>
        <n v="95.408200000000008"/>
        <n v="2281.14"/>
        <n v="1187.1780000000001"/>
        <n v="2777.4432000000002"/>
        <n v="509.75909999999999"/>
        <n v="113.33580000000001"/>
        <n v="1818.4914000000001"/>
        <n v="723.25439999999992"/>
        <n v="1081.04"/>
        <n v="1179.1369999999999"/>
        <n v="111.96120000000001"/>
        <n v="820.89920000000006"/>
        <n v="1624.443"/>
        <n v="2729.8292000000001"/>
        <n v="844.01370000000009"/>
        <n v="617.38400000000001"/>
        <n v="229.3109"/>
        <n v="353.27339999999998"/>
        <n v="1245.3119999999999"/>
        <n v="910.2636"/>
        <n v="366.858"/>
        <n v="1620.8416"/>
        <n v="225.57599999999999"/>
        <n v="279.00959999999998"/>
        <n v="92.848399999999998"/>
        <n v="1202.4012"/>
        <n v="991.30199999999979"/>
        <n v="1372.8879999999999"/>
        <n v="180.93530000000001"/>
        <n v="607.64800000000002"/>
        <n v="331.17"/>
        <n v="1592.4947999999999"/>
        <n v="1984.7356"/>
        <n v="167.76"/>
        <n v="2164.6943999999999"/>
        <n v="2184.5819999999999"/>
        <n v="1501.3362"/>
        <n v="835.95240000000001"/>
        <n v="792.32599999999991"/>
        <n v="2286.4674"/>
        <n v="155.22720000000001"/>
        <n v="537.11840000000007"/>
        <n v="1440.17"/>
        <n v="719.27200000000005"/>
        <n v="2873.9969999999989"/>
        <n v="902.30399999999997"/>
        <n v="1813.0716"/>
        <n v="2416.7087999999999"/>
        <n v="871.41929999999991"/>
        <n v="829.9606"/>
        <n v="1376.721"/>
        <n v="1302.3671999999999"/>
        <n v="262.51499999999999"/>
        <n v="1912.96"/>
        <n v="2135.4168"/>
        <n v="359.61380000000003"/>
        <n v="2677.0619999999999"/>
        <n v="1951.7436"/>
        <n v="1366.8979999999999"/>
        <n v="1205.3327999999999"/>
        <n v="2850.1122"/>
        <n v="2065.5936000000002"/>
        <n v="1351.3584000000001"/>
        <n v="204.93440000000001"/>
        <n v="2100.0441000000001"/>
        <n v="654.36559999999997"/>
        <n v="643.78679999999997"/>
        <n v="24.442599999999999"/>
        <n v="1988.568"/>
        <n v="2240.7020000000002"/>
        <n v="1029.4649999999999"/>
        <n v="2777.1016"/>
        <n v="2143.6176"/>
        <n v="2847.6208000000001"/>
        <n v="104.227"/>
        <n v="270.51639999999998"/>
        <n v="235.3212"/>
        <n v="1340.0001999999999"/>
        <n v="1146.0820000000001"/>
        <n v="246.99600000000001"/>
        <n v="776.50559999999996"/>
        <n v="953.55000000000007"/>
        <n v="56.880400000000002"/>
        <n v="615.74040000000002"/>
        <n v="959.13239999999985"/>
        <n v="1014.2588"/>
        <n v="1241.8800000000001"/>
        <n v="1344.7067999999999"/>
        <n v="1289.3399999999999"/>
        <n v="127.794"/>
        <n v="1347.7384"/>
        <n v="340.2"/>
        <n v="2282.9663999999998"/>
        <n v="727.28659999999991"/>
        <n v="1746.96"/>
        <n v="641.73599999999999"/>
        <n v="1426.6980000000001"/>
        <n v="646.99899999999991"/>
        <n v="297.28919999999999"/>
        <n v="122.7324"/>
        <n v="3133.7256000000002"/>
        <n v="905.85"/>
        <n v="50.407799999999988"/>
        <n v="1482.0798"/>
        <n v="2407.2647999999999"/>
        <n v="541.66739999999993"/>
        <n v="964.77480000000003"/>
        <n v="1871.7185999999999"/>
        <n v="175.85310000000001"/>
        <n v="529.74900000000002"/>
        <n v="239.32259999999999"/>
        <n v="93.909199999999998"/>
        <n v="116.77079999999999"/>
        <n v="1404.075"/>
        <n v="2483.2800000000002"/>
        <n v="654.0489"/>
        <n v="314.82319999999999"/>
        <n v="621.27"/>
        <n v="144.9624"/>
        <n v="333.04919999999998"/>
        <n v="2092.2192"/>
        <n v="2687.5259999999998"/>
        <n v="1754.4059999999999"/>
        <n v="115.5"/>
        <n v="1469.8719000000001"/>
        <n v="891.87199999999996"/>
        <n v="646.29599999999994"/>
        <n v="147.76740000000001"/>
        <n v="84.348600000000005"/>
        <n v="1016.0784"/>
        <n v="483.94639999999998"/>
        <n v="493.05959999999999"/>
        <n v="525.00279999999998"/>
        <n v="968.18819999999994"/>
        <n v="152.2801"/>
        <n v="307.71359999999999"/>
        <n v="513.81359999999995"/>
        <n v="1417.8240000000001"/>
        <n v="240.5592"/>
        <n v="1765.1759999999999"/>
        <n v="783.59400000000005"/>
        <n v="981.97259999999994"/>
        <n v="850.29750000000001"/>
        <n v="769.04399999999998"/>
        <n v="271.17919999999998"/>
        <n v="46.216799999999999"/>
        <n v="136.34880000000001"/>
        <n v="1677.4903999999999"/>
        <n v="591.30719999999997"/>
        <n v="1278.4896000000001"/>
        <n v="133.339"/>
        <n v="570.78420000000006"/>
        <n v="3032.6559999999999"/>
        <n v="2694.3045000000002"/>
        <n v="1034.7036000000001"/>
        <n v="3316.16"/>
        <n v="383.00200000000001"/>
        <n v="2299.5983999999999"/>
        <n v="1810.8324"/>
        <n v="1365.663"/>
        <n v="865.03629999999998"/>
        <n v="2324.556"/>
        <n v="1313.1166000000001"/>
        <n v="907.70659999999998"/>
        <n v="1523.0640000000001"/>
        <n v="523.77599999999995"/>
        <n v="1375.2876000000001"/>
        <n v="2474.2080000000001"/>
        <n v="1069.5302999999999"/>
        <n v="1953.1368"/>
        <n v="1636.1117999999999"/>
        <n v="889.83"/>
        <n v="1900.1135999999999"/>
        <n v="1537.404"/>
        <n v="767.17410000000007"/>
        <n v="372.28500000000003"/>
        <n v="615.47840000000008"/>
        <n v="2017.5011999999999"/>
        <n v="84.852000000000004"/>
        <n v="150.76079999999999"/>
        <n v="733.85640000000001"/>
        <n v="818.42499999999995"/>
        <n v="502.62119999999999"/>
        <n v="2232.5688"/>
        <n v="333.81279999999998"/>
        <n v="2760.5439999999999"/>
        <n v="477.65519999999998"/>
        <n v="618.69359999999995"/>
        <n v="418.15839999999997"/>
        <n v="612.68850000000009"/>
        <n v="714.41759999999999"/>
        <n v="380.84580000000011"/>
        <n v="64.799499999999995"/>
        <n v="637.05600000000004"/>
        <n v="3332.0888"/>
        <n v="857.1"/>
        <n v="1512.2267999999999"/>
        <n v="296.31689999999998"/>
        <n v="64.125600000000006"/>
        <n v="2320.2784000000001"/>
        <n v="91.402000000000001"/>
        <n v="1232.952"/>
        <n v="392.02720000000011"/>
        <n v="2155.2228"/>
        <n v="787.28039999999999"/>
        <n v="1547.9168"/>
        <n v="1343.0316"/>
        <n v="813.46889999999996"/>
        <n v="612.16679999999997"/>
        <n v="933.61599999999999"/>
        <n v="1793.4336000000001"/>
        <n v="971.39200000000005"/>
        <n v="361.45920000000001"/>
        <n v="926.7263999999999"/>
        <n v="630.1866"/>
        <n v="1413.93"/>
        <n v="2721.1183999999998"/>
        <n v="958.95360000000005"/>
        <n v="2156.6952000000001"/>
        <n v="19.871600000000001"/>
        <n v="1383.5663999999999"/>
        <n v="693.78300000000002"/>
        <n v="2280.0664000000002"/>
        <n v="2089.8951000000002"/>
        <n v="212.83199999999999"/>
        <n v="368.83280000000002"/>
        <n v="1081.0134"/>
        <n v="1308.5927999999999"/>
        <n v="322.3528"/>
        <n v="898.8216000000001"/>
        <n v="3306.1392000000001"/>
        <n v="1432.2744"/>
        <n v="926.40100000000007"/>
        <n v="2062.8696"/>
        <n v="838.12279999999998"/>
        <n v="288.98239999999998"/>
        <n v="2397.4079999999999"/>
        <n v="485.55839999999989"/>
        <n v="727.81799999999998"/>
        <n v="880.66160000000002"/>
        <n v="1395.6948"/>
        <n v="863.60260000000005"/>
        <n v="683.00099999999998"/>
        <n v="650.91600000000005"/>
        <n v="2358.1583999999998"/>
        <n v="2574.9856"/>
        <n v="2157.2703000000001"/>
        <n v="831.92750000000001"/>
        <n v="647.2349999999999"/>
        <n v="1564.0116"/>
        <n v="1443.7103999999999"/>
        <n v="1519.6104"/>
        <n v="837.31829999999991"/>
        <n v="2989.0783999999999"/>
        <n v="910.36439999999993"/>
        <n v="959.13179999999988"/>
        <n v="793.38690000000008"/>
        <n v="1395.6096"/>
        <n v="984.37"/>
        <n v="962.47320000000002"/>
        <n v="216.44739999999999"/>
        <n v="1734.18"/>
        <n v="717.25760000000002"/>
        <n v="1720.7438"/>
        <n v="51.302599999999998"/>
        <n v="1267.6251"/>
        <n v="1149.066"/>
        <n v="127.29600000000001"/>
        <n v="1191.6812"/>
        <n v="1330.0704000000001"/>
        <n v="230.60300000000001"/>
        <n v="2798.4132"/>
        <n v="303.29640000000001"/>
        <n v="614.07420000000002"/>
        <n v="520.43039999999996"/>
        <n v="764.55679999999995"/>
        <n v="363.09980000000002"/>
        <n v="942.01600000000008"/>
        <n v="2750.1219999999998"/>
        <n v="3077.5992000000001"/>
        <n v="228.79599999999999"/>
        <n v="493.92"/>
        <n v="736.59950000000003"/>
        <n v="695.04819999999995"/>
        <n v="2481.5216"/>
        <n v="2156.5544"/>
        <n v="2566.404"/>
        <n v="2019.6945000000001"/>
        <n v="3019.2287999999999"/>
        <n v="1568.5425"/>
        <n v="1553.7023999999999"/>
        <n v="174.40440000000001"/>
        <n v="815.07200000000012"/>
        <n v="2033.9405999999999"/>
        <n v="1930.761"/>
        <n v="2373.462"/>
        <n v="126.5916"/>
        <n v="1575.0724"/>
        <n v="2785.7894999999999"/>
        <n v="2372.5230000000001"/>
        <n v="441.55169999999998"/>
        <n v="895.30439999999999"/>
        <n v="706.77879999999993"/>
        <n v="828.83359999999993"/>
        <n v="833.68399999999997"/>
        <n v="3271.7496000000001"/>
        <n v="664.35"/>
        <n v="614.51080000000002"/>
        <n v="2733.2267999999999"/>
        <n v="2764.8031999999998"/>
        <n v="137.49600000000001"/>
        <n v="1503.1768"/>
        <n v="303.81139999999999"/>
        <n v="1006.2063000000001"/>
        <n v="426.03600000000012"/>
        <n v="1592.3416"/>
        <n v="460.96080000000001"/>
        <n v="895.68809999999996"/>
        <n v="955.54599999999994"/>
        <n v="306.77249999999998"/>
        <n v="1106.3094000000001"/>
        <n v="1331.4911999999999"/>
        <n v="1214.6759999999999"/>
        <n v="122.968"/>
        <n v="1613.556"/>
        <n v="906.23660000000007"/>
        <n v="1706.43"/>
        <n v="1532.3904"/>
        <n v="148.49160000000001"/>
        <n v="537.38969999999995"/>
        <n v="1394.5596"/>
        <n v="1228.4412"/>
        <n v="2266.7328000000002"/>
        <n v="754.20119999999997"/>
        <n v="1782.4512"/>
        <n v="159.3408"/>
        <n v="383.32799999999997"/>
        <n v="2083.8663999999999"/>
        <n v="780.69119999999998"/>
        <n v="318.46080000000001"/>
        <n v="2746.7712000000001"/>
        <n v="469.00080000000003"/>
        <n v="339.2466"/>
        <n v="362.32350000000002"/>
        <n v="1352.4272000000001"/>
        <n v="237.6524"/>
        <n v="1373.2991999999999"/>
        <n v="922.36099999999988"/>
        <n v="661.59"/>
        <n v="603.71640000000002"/>
        <n v="1646.3879999999999"/>
        <n v="1690.3040000000001"/>
        <n v="1657.0092"/>
        <n v="3100.2384000000002"/>
        <n v="1795.982"/>
        <n v="2020.7097000000001"/>
        <n v="2286.1343999999999"/>
        <n v="1173.508"/>
        <n v="592.99919999999997"/>
        <n v="318.30759999999998"/>
        <n v="590.84100000000001"/>
        <n v="1025.8499999999999"/>
        <n v="2524.8384000000001"/>
        <n v="442.79050000000001"/>
        <n v="1538.942"/>
        <n v="1095.864"/>
        <n v="853.54520000000002"/>
        <n v="2584.6271999999999"/>
        <n v="2280.0509999999999"/>
        <n v="478.03019999999998"/>
        <n v="1697.3016"/>
        <n v="729.39"/>
        <n v="584.04599999999994"/>
        <n v="594.43550000000005"/>
        <n v="2593.9104000000002"/>
        <n v="224.60640000000001"/>
        <n v="331.26280000000003"/>
        <n v="1283.2403999999999"/>
        <n v="1070.7619999999999"/>
        <n v="312.08049999999997"/>
        <n v="560.18999999999994"/>
        <n v="2026.1829"/>
        <n v="584.78399999999988"/>
        <n v="445.10399999999998"/>
        <n v="514.3424"/>
        <n v="620.95889999999997"/>
        <n v="403.58850000000001"/>
        <n v="1701.7506000000001"/>
        <n v="2592.2763"/>
        <n v="24.7744"/>
        <n v="2801.768"/>
        <n v="615.08299999999997"/>
        <n v="803.22879999999998"/>
        <n v="766.37429999999995"/>
        <n v="1263.5904"/>
        <n v="3220.3444"/>
        <n v="2676.6990000000001"/>
        <n v="1065.4896000000001"/>
        <n v="1489.8743999999999"/>
        <n v="81.647999999999996"/>
        <n v="2799.0720000000001"/>
        <n v="1392.2716"/>
        <n v="919.29179999999997"/>
        <n v="757.16760000000011"/>
        <n v="1367.1368"/>
        <n v="435.34199999999998"/>
        <n v="259.1259"/>
        <n v="1573.9359999999999"/>
        <n v="2217.752"/>
        <n v="1554.5838000000001"/>
        <n v="1618.6016"/>
        <n v="2242.8216000000002"/>
        <n v="1127.0219999999999"/>
        <n v="1661.0527999999999"/>
        <n v="178.51400000000001"/>
        <n v="612.59760000000006"/>
        <n v="2925.7312000000002"/>
        <n v="1267.1328000000001"/>
        <n v="1080.2103999999999"/>
        <n v="3225.9468000000002"/>
        <n v="361.16199999999998"/>
        <n v="990.6336"/>
        <n v="184.22909999999999"/>
        <n v="356.04399999999998"/>
        <n v="999.5920000000001"/>
        <n v="1654.7328"/>
        <n v="529.67700000000002"/>
        <n v="979.43039999999996"/>
        <n v="716.1336"/>
        <n v="32.659199999999998"/>
        <n v="837.23609999999985"/>
        <n v="3339.8263999999999"/>
        <n v="581.76959999999997"/>
        <n v="411.71490000000011"/>
        <n v="60.280200000000008"/>
        <n v="488.71679999999998"/>
        <n v="1147.4495999999999"/>
        <n v="2123.9856"/>
        <n v="443.327"/>
        <n v="133.79560000000001"/>
        <n v="2851.3002000000001"/>
        <n v="1625.2544"/>
        <n v="1266.356"/>
        <n v="1005.3944"/>
        <n v="1958.144"/>
        <n v="813.04719999999998"/>
        <n v="392.04"/>
        <n v="1805.2736"/>
        <n v="874.91959999999983"/>
        <n v="794.50919999999996"/>
        <n v="97.442999999999998"/>
        <n v="93.653999999999996"/>
        <n v="730.19159999999999"/>
        <n v="445.80599999999998"/>
        <n v="2147.5500000000002"/>
        <n v="998.18729999999994"/>
        <n v="1123.434"/>
        <n v="953.48760000000004"/>
        <n v="611.20500000000004"/>
        <n v="1066.0735999999999"/>
        <n v="523.66020000000003"/>
        <n v="671.02289999999994"/>
        <n v="1050.2965999999999"/>
        <n v="37.328000000000003"/>
        <n v="786.19040000000007"/>
        <n v="1657.5455999999999"/>
        <n v="127.2171"/>
        <n v="261.58"/>
        <n v="1925.8533"/>
        <n v="2100.7728000000002"/>
        <n v="922.20749999999987"/>
        <n v="633.14800000000002"/>
        <n v="251.04419999999999"/>
        <n v="188.78960000000001"/>
        <n v="67.502399999999994"/>
        <n v="895.53420000000006"/>
        <n v="2681.3406"/>
        <n v="3139.3784000000001"/>
        <n v="1124.3964000000001"/>
        <n v="768.46379999999999"/>
        <n v="953.45100000000014"/>
        <n v="346.38"/>
        <n v="1112.9536000000001"/>
        <n v="339.37560000000002"/>
        <n v="1896.72"/>
        <n v="566.21899999999994"/>
        <n v="1211.0416"/>
        <n v="900.75200000000007"/>
        <n v="2703.9888000000001"/>
        <n v="124.336"/>
        <n v="175.48249999999999"/>
        <n v="3817.6880000000001"/>
        <n v="437.37720000000002"/>
        <n v="1492.7882"/>
        <n v="566.42039999999997"/>
        <n v="2671.74"/>
        <n v="116.23139999999999"/>
        <n v="1548.1769999999999"/>
        <n v="501.91680000000002"/>
        <n v="1972.92"/>
        <n v="303.08980000000003"/>
        <n v="557.68680000000006"/>
        <n v="1145.8548000000001"/>
        <n v="320.04199999999997"/>
        <n v="1272.5920000000001"/>
        <n v="617.29200000000003"/>
        <n v="1060.4369999999999"/>
        <n v="52.003"/>
        <n v="262.78019999999998"/>
        <n v="50.048000000000002"/>
        <n v="158.50749999999999"/>
        <n v="1200.9059999999999"/>
        <n v="153.11150000000001"/>
        <n v="1156.3725999999999"/>
        <n v="398.23939999999999"/>
        <n v="1926.15"/>
        <n v="837.42119999999989"/>
        <n v="531.5616"/>
        <n v="343.6694"/>
        <n v="467.77280000000002"/>
        <n v="1136.7583999999999"/>
        <n v="2107.4004"/>
        <n v="367.65219999999999"/>
        <n v="1686.4275"/>
        <n v="1558.4646"/>
        <n v="456.4948"/>
        <n v="2066.3663999999999"/>
        <n v="129.72479999999999"/>
        <n v="574.10699999999997"/>
        <n v="2367.15"/>
        <n v="977.04880000000014"/>
        <n v="1756.5324000000001"/>
        <n v="692.38839999999993"/>
        <n v="102.172"/>
        <n v="725.3442"/>
        <n v="1495.74"/>
        <n v="545.68079999999998"/>
        <n v="2486.2139999999999"/>
        <n v="1418.3784000000001"/>
        <n v="1061.9100000000001"/>
        <n v="377.28"/>
        <n v="502.10860000000002"/>
        <n v="2035.854"/>
        <n v="361.49579999999997"/>
        <n v="1048.1238000000001"/>
        <n v="1477.5"/>
        <n v="39.973999999999997"/>
        <n v="2084.3328000000001"/>
        <n v="1247.4552000000001"/>
        <n v="43.144199999999998"/>
        <n v="1746.712"/>
        <n v="2163.7055999999998"/>
        <n v="906.50339999999994"/>
        <n v="207.27930000000001"/>
        <n v="140.72"/>
        <n v="800.58119999999997"/>
        <n v="671.89779999999996"/>
        <n v="700.5544000000001"/>
        <n v="273.08879999999999"/>
        <n v="485.51580000000001"/>
        <n v="2651.3568"/>
        <n v="1755.5383999999999"/>
        <n v="2487.3809999999989"/>
        <n v="3293.5448000000001"/>
        <n v="1193.2704000000001"/>
        <n v="295.4504"/>
        <n v="454.01639999999998"/>
        <n v="1810.56"/>
        <n v="372.0299"/>
        <n v="676.73919999999998"/>
        <n v="1023.264"/>
        <n v="2974.6439999999998"/>
        <n v="1501.152"/>
        <n v="173.5488"/>
        <n v="3412.134"/>
        <n v="712.59749999999985"/>
        <n v="905.16559999999993"/>
        <n v="548.27499999999998"/>
        <n v="1544.9434000000001"/>
        <n v="1176.4536000000001"/>
        <n v="1898.2482"/>
        <n v="568.61479999999995"/>
        <n v="1706.1695999999999"/>
        <n v="756.54719999999986"/>
        <n v="1363.9184"/>
        <n v="229.35640000000001"/>
        <n v="1251.5072"/>
        <n v="493.91449999999992"/>
        <n v="285.83940000000001"/>
        <n v="35.053199999999997"/>
        <n v="328.02"/>
        <n v="2430.6260000000002"/>
        <n v="707.77440000000013"/>
        <n v="1140.4559999999999"/>
        <n v="773.60919999999999"/>
        <n v="769.8975999999999"/>
        <n v="2234.7188000000001"/>
        <n v="487.18799999999999"/>
        <n v="969.66480000000013"/>
        <n v="891.53279999999995"/>
        <n v="603.54259999999988"/>
        <n v="326.00070000000011"/>
        <n v="499.24360000000001"/>
        <n v="84.527199999999993"/>
        <n v="2421.7944000000002"/>
        <n v="1146.4795999999999"/>
        <n v="1664.8109999999999"/>
        <n v="1278.3407999999999"/>
        <n v="447.82960000000003"/>
        <n v="443.66"/>
        <n v="69.273600000000002"/>
        <n v="878.0687999999999"/>
        <n v="610.11059999999998"/>
        <n v="457.73700000000002"/>
        <n v="380.42959999999999"/>
        <n v="691.02719999999999"/>
        <n v="1186.9680000000001"/>
        <n v="177.19200000000001"/>
        <n v="574.12160000000006"/>
        <n v="763.97759999999994"/>
        <n v="355.5342"/>
        <n v="190.54"/>
        <n v="396.23039999999992"/>
        <n v="1814.9831999999999"/>
        <n v="2971.0295999999998"/>
        <n v="1688.3248000000001"/>
        <n v="1695.3074999999999"/>
        <n v="1175.4168"/>
        <n v="2620.7460000000001"/>
        <n v="1579.3443"/>
        <n v="1320.9659999999999"/>
        <n v="1483.8119999999999"/>
        <n v="2019.684"/>
        <n v="269.21699999999998"/>
        <n v="1155.2436"/>
        <n v="429.32159999999999"/>
        <n v="598.23900000000003"/>
        <n v="1792.1180999999999"/>
        <n v="435.27359999999999"/>
        <n v="1631.2854"/>
        <n v="3030.5223999999998"/>
        <n v="323.67660000000001"/>
        <n v="654.36219999999992"/>
        <n v="2389.1322"/>
        <n v="660.11400000000003"/>
        <n v="2224.2815999999998"/>
        <n v="435.0138"/>
        <n v="1518.6335999999999"/>
        <n v="558.86249999999995"/>
        <n v="1243.1224"/>
        <n v="2148.2759999999989"/>
        <n v="502.10700000000003"/>
        <n v="393.5686"/>
        <n v="860.31959999999992"/>
        <n v="565.90890000000002"/>
        <n v="1568.943"/>
        <n v="358.85849999999999"/>
        <n v="1450.89"/>
        <n v="726.36479999999995"/>
        <n v="1043.328"/>
        <n v="1587.4998000000001"/>
        <n v="912.00359999999989"/>
        <n v="353.56760000000003"/>
        <n v="1595.0952"/>
        <n v="587.1508"/>
        <n v="1403.8920000000001"/>
        <n v="193.1234"/>
        <n v="889.30799999999999"/>
        <n v="810.09719999999993"/>
        <n v="1866.2719999999999"/>
        <n v="231.55500000000001"/>
        <n v="3529.1619999999998"/>
        <n v="484.60230000000001"/>
        <n v="437.17020000000002"/>
        <n v="412.66719999999998"/>
        <n v="1538.4005999999999"/>
        <n v="812.75739999999996"/>
        <n v="818.46659999999997"/>
        <n v="2462.34"/>
        <n v="459.28840000000002"/>
        <n v="491.32860000000011"/>
        <n v="514.69319999999993"/>
        <n v="1741.557"/>
        <n v="266.65440000000001"/>
        <n v="2650.2919999999999"/>
        <n v="1528.4588000000001"/>
        <n v="2922.2952"/>
        <n v="1031.7507000000001"/>
        <n v="352.59300000000002"/>
        <n v="433.77199999999999"/>
        <n v="1914.8480999999999"/>
        <n v="896.04000000000019"/>
        <n v="2148.8544000000002"/>
        <n v="2243.3928000000001"/>
        <n v="1142.2529999999999"/>
        <n v="945.12599999999998"/>
        <n v="1146.6271999999999"/>
        <n v="508.88639999999998"/>
        <n v="1026.048"/>
        <n v="273.52260000000001"/>
        <n v="560.37950000000001"/>
        <n v="1239.5606"/>
        <n v="389.59829999999999"/>
        <n v="1628.1702"/>
        <n v="1864.3176000000001"/>
        <n v="2396.0799000000002"/>
        <n v="3576.0383999999999"/>
        <n v="968.16959999999995"/>
        <n v="180.5814"/>
        <n v="1211.364"/>
        <n v="1250.8044"/>
        <n v="1325.9992"/>
        <n v="1363.4544000000001"/>
        <n v="467.91"/>
        <n v="1482.1808000000001"/>
        <n v="197.7336"/>
        <n v="1455.2208000000001"/>
        <n v="1730.1479999999999"/>
        <n v="480.41250000000002"/>
        <n v="3143.84"/>
        <n v="339.42459999999988"/>
        <n v="372.33359999999999"/>
        <n v="308.14710000000002"/>
        <n v="1662.5311999999999"/>
        <n v="773.5200000000001"/>
        <n v="645.08080000000007"/>
        <n v="476.91660000000002"/>
        <n v="311.43279999999999"/>
        <n v="1321.5336"/>
        <n v="421.27800000000002"/>
        <n v="478.66559999999998"/>
        <n v="1261.6379999999999"/>
        <n v="1558.9272000000001"/>
        <n v="1648.6679999999999"/>
        <n v="427.49560000000002"/>
        <n v="1177.0512000000001"/>
        <n v="1345.6368"/>
        <n v="562.35899999999992"/>
        <n v="189.244"/>
        <n v="605.76"/>
        <n v="862.51430000000005"/>
        <n v="599.471"/>
        <n v="599.58359999999993"/>
        <n v="1574.4498000000001"/>
        <n v="426.98430000000002"/>
        <n v="617.66549999999995"/>
        <n v="848.82439999999997"/>
        <n v="1776.3743999999999"/>
        <n v="2862.1208000000001"/>
        <n v="2779.5931999999998"/>
        <n v="530.21159999999998"/>
        <n v="527.33479999999997"/>
        <n v="2159.4276"/>
        <n v="319.07839999999999"/>
        <n v="1208.27"/>
        <n v="1904.5440000000001"/>
        <n v="228.7893"/>
        <n v="466.78170000000011"/>
        <n v="2460.3708000000001"/>
        <n v="529.8900000000001"/>
        <n v="1578.9780000000001"/>
        <n v="2280.3669"/>
        <n v="673.875"/>
        <n v="602.25120000000004"/>
        <n v="480.75359999999989"/>
        <n v="778.35680000000002"/>
        <n v="954.01800000000003"/>
        <n v="1438.8352"/>
        <n v="1846.08"/>
        <n v="291.5822"/>
        <n v="2107.5246000000002"/>
        <n v="134.95679999999999"/>
        <n v="1742.0255999999999"/>
        <n v="190.7064"/>
        <n v="2081.9225999999999"/>
        <n v="1879.05"/>
        <n v="1111.0344"/>
        <n v="649.60500000000002"/>
        <n v="218.804"/>
        <n v="1010.2344000000001"/>
        <n v="592.20720000000006"/>
        <n v="3237.0576000000001"/>
        <n v="707.02719999999999"/>
        <n v="259.37630000000001"/>
        <n v="171.45179999999999"/>
        <n v="161.238"/>
        <n v="1583.0316"/>
        <n v="1301.9864"/>
        <n v="1430.6705999999999"/>
        <n v="902.25379999999996"/>
        <n v="2317.1543999999999"/>
        <n v="2512.0783999999999"/>
        <n v="2467.4495999999999"/>
        <n v="487.8535"/>
        <n v="340.06259999999997"/>
        <n v="897.05280000000005"/>
        <n v="1043.8271999999999"/>
        <n v="593.79"/>
        <n v="1199.3579999999999"/>
        <n v="133.4332"/>
        <n v="223.51599999999999"/>
        <n v="2201.7408"/>
        <n v="1605.5052000000001"/>
        <n v="2093.6736000000001"/>
        <n v="19.481000000000002"/>
        <n v="238.9716"/>
        <n v="1877.6687999999999"/>
        <n v="1492.9516000000001"/>
        <n v="583.25200000000007"/>
        <n v="468.78320000000002"/>
        <n v="2155.2719999999999"/>
        <n v="2364.6480000000001"/>
        <n v="341.00299999999999"/>
        <n v="887.30400000000009"/>
        <n v="138.4229"/>
        <n v="411.35200000000009"/>
        <n v="538.5634"/>
        <n v="86.285399999999996"/>
        <n v="1088.1378"/>
        <n v="973.02799999999991"/>
        <n v="616.21119999999996"/>
        <n v="3205.3728000000001"/>
        <n v="799.13340000000005"/>
        <n v="153.85679999999999"/>
        <n v="246.5856"/>
        <n v="1197.9756"/>
        <n v="1255.8393000000001"/>
        <n v="612.56039999999996"/>
        <n v="982.22879999999998"/>
        <n v="128.95679999999999"/>
        <n v="634.17840000000001"/>
        <n v="385.67880000000002"/>
        <n v="927.92699999999991"/>
        <n v="1715.8679999999999"/>
        <n v="3745.8047999999999"/>
        <n v="2282.2626"/>
        <n v="459.85680000000002"/>
        <n v="330.7824"/>
        <n v="377.10980000000001"/>
        <n v="780.75299999999993"/>
        <n v="305.94240000000002"/>
        <n v="124.8768"/>
        <n v="1579.7805000000001"/>
        <n v="70.924799999999991"/>
        <n v="803.01599999999996"/>
        <n v="1443.2418"/>
        <n v="1032.0813000000001"/>
        <n v="53.817999999999998"/>
        <n v="948.69359999999983"/>
        <n v="571.33180000000004"/>
        <n v="1737.9911999999999"/>
        <n v="454.46100000000001"/>
        <n v="2465.9856"/>
        <n v="344.53680000000003"/>
        <n v="105.47280000000001"/>
        <n v="953.38679999999999"/>
        <n v="540.42079999999999"/>
        <n v="1624.4892"/>
        <n v="355.71519999999998"/>
        <n v="1857.2175999999999"/>
        <n v="843.02359999999999"/>
        <n v="685.34879999999998"/>
        <n v="1084.6812"/>
        <n v="823.27499999999998"/>
        <n v="2579.2651999999998"/>
        <n v="243.42150000000001"/>
        <n v="2439.2984000000001"/>
        <n v="844.77059999999994"/>
        <n v="444.61439999999988"/>
        <n v="705.93360000000007"/>
        <n v="1542.1751999999999"/>
        <n v="1635.2616"/>
        <n v="474.41449999999998"/>
        <n v="97.000199999999992"/>
        <n v="1741.5192"/>
        <n v="968.17919999999992"/>
        <n v="1589.3951999999999"/>
        <n v="373.59129999999999"/>
        <n v="1196.5536"/>
        <n v="1549.9155000000001"/>
        <n v="701.4348"/>
        <n v="419.46480000000003"/>
        <n v="721.8119999999999"/>
        <n v="165.31710000000001"/>
        <n v="235.2936"/>
        <n v="315.24779999999998"/>
        <n v="1113.8820000000001"/>
        <n v="287.38799999999998"/>
        <n v="1187.8979999999999"/>
        <n v="403.06560000000002"/>
        <n v="809.04560000000004"/>
        <n v="1550.5662"/>
        <n v="2797.8164999999999"/>
        <n v="846.98459999999989"/>
        <n v="413.07299999999998"/>
        <n v="1491.7896000000001"/>
        <n v="1369.1215999999999"/>
        <n v="1748.7384"/>
        <n v="299.4939"/>
        <n v="127.3944"/>
        <n v="286.22519999999997"/>
        <n v="465.83199999999999"/>
        <n v="576.97299999999996"/>
        <n v="909.83199999999999"/>
        <n v="655.17379999999991"/>
        <n v="2724.4034999999999"/>
        <n v="189.21600000000001"/>
        <n v="222.26750000000001"/>
        <n v="193.2576"/>
        <n v="449.65469999999999"/>
        <n v="158.56"/>
        <n v="1536.6559999999999"/>
        <n v="1555.992"/>
        <n v="2312.2568999999999"/>
        <n v="1439.136"/>
        <n v="1625.3796"/>
        <n v="1169.2264"/>
        <n v="2434.0672"/>
        <n v="2326.4778000000001"/>
        <n v="529.88580000000002"/>
        <n v="1245.4304"/>
        <n v="1353.7854"/>
        <n v="1138.83"/>
        <n v="1641.3904"/>
        <n v="2585.8643999999999"/>
        <n v="221.61"/>
        <n v="1753.23"/>
        <n v="1629.7616"/>
        <n v="427.58760000000001"/>
        <n v="387.59039999999999"/>
        <n v="2051.2539999999999"/>
        <n v="753.50399999999991"/>
        <n v="93.8232"/>
        <n v="547.74720000000002"/>
        <n v="641.91689999999994"/>
        <n v="257.03719999999998"/>
        <n v="680.65200000000004"/>
        <n v="2181.4650000000011"/>
        <n v="373.56060000000002"/>
        <n v="918.92480000000012"/>
        <n v="679.18619999999999"/>
        <n v="1023.33"/>
        <n v="218.49100000000001"/>
        <n v="751.58879999999988"/>
        <n v="417.00839999999999"/>
        <n v="637.37399999999991"/>
        <n v="88.814799999999991"/>
        <n v="3242.1668"/>
        <n v="824.48639999999989"/>
        <n v="1120.4751000000001"/>
        <n v="677.97"/>
        <n v="1022.6838"/>
        <n v="1748.5209"/>
        <n v="1058.4480000000001"/>
        <n v="2470.6439999999998"/>
        <n v="611.17420000000004"/>
        <n v="217.26060000000001"/>
        <n v="193.55719999999999"/>
        <n v="1254.9264000000001"/>
        <n v="41.875999999999998"/>
        <n v="655.61040000000003"/>
        <n v="172.76669999999999"/>
        <n v="574.88300000000004"/>
        <n v="170.44049999999999"/>
        <n v="576.7944"/>
        <n v="855.98310000000004"/>
        <n v="1270.7460000000001"/>
        <n v="99.269200000000012"/>
        <n v="2775.3519999999999"/>
        <n v="1956.0320999999999"/>
        <n v="562.32820000000004"/>
        <n v="272.30130000000003"/>
        <n v="2176.2280000000001"/>
        <n v="888.0444"/>
        <n v="1298.3026"/>
        <n v="2190.1320000000001"/>
        <n v="390.95979999999997"/>
        <n v="624.49519999999995"/>
        <n v="1810.0827999999999"/>
        <n v="511.35"/>
        <n v="1813.1728000000001"/>
        <n v="1331.91"/>
        <n v="2031.7927999999999"/>
        <n v="1138.71"/>
        <n v="103.8609"/>
        <n v="821.92160000000001"/>
        <n v="494.56799999999998"/>
        <n v="274.03109999999998"/>
        <n v="794.62400000000002"/>
        <n v="774.57599999999991"/>
        <n v="791.33600000000001"/>
        <n v="726.80000000000007"/>
        <n v="132.09379999999999"/>
        <n v="1034.6335999999999"/>
        <n v="638.88440000000003"/>
        <n v="1051.7360000000001"/>
        <n v="2075.913"/>
        <n v="449.03949999999998"/>
        <n v="289.99450000000002"/>
        <n v="695.95499999999993"/>
        <n v="342.92250000000001"/>
        <n v="1053.7551000000001"/>
        <n v="325.54419999999999"/>
        <n v="1068.2460000000001"/>
        <n v="925.74649999999997"/>
        <n v="592.50740000000008"/>
        <n v="571.38619999999992"/>
        <n v="600.95479999999998"/>
        <n v="559.79949999999997"/>
        <n v="2478.4499999999998"/>
        <n v="589.798"/>
        <n v="1119.4092000000001"/>
        <n v="1905.1724999999999"/>
        <n v="1819.7998"/>
        <n v="678.93999999999994"/>
        <n v="169.72800000000001"/>
        <n v="893.38200000000006"/>
        <n v="70.470799999999997"/>
        <n v="305.84940000000012"/>
        <n v="216.69820000000001"/>
        <n v="749.03039999999999"/>
        <n v="122.9456"/>
        <n v="535.62400000000002"/>
        <n v="1973.6496"/>
        <n v="1210.8714"/>
        <n v="268.10359999999997"/>
        <n v="1565.982"/>
        <n v="300.2022"/>
        <n v="2952.5216"/>
        <n v="2645.6747999999998"/>
        <n v="600.97979999999995"/>
        <n v="2278.3208"/>
        <n v="72.025200000000012"/>
        <n v="1423.7184"/>
        <n v="2504.067"/>
        <n v="129.4"/>
        <n v="1327.8846000000001"/>
        <n v="958.57439999999997"/>
        <n v="384.11040000000003"/>
        <n v="142.52520000000001"/>
        <n v="1005.6288"/>
        <n v="271.28359999999998"/>
        <n v="2774.6131999999998"/>
        <n v="2819.0064000000002"/>
        <n v="605.50099999999998"/>
        <n v="1039.1135999999999"/>
        <n v="661.7595"/>
        <n v="2704.47"/>
        <n v="497.76479999999998"/>
        <n v="547.17700000000002"/>
        <n v="2101.0626000000002"/>
        <n v="1398.2841000000001"/>
        <n v="437.0256"/>
        <n v="1307.5999999999999"/>
        <n v="801.44959999999992"/>
        <n v="1383.2583999999999"/>
        <n v="3440.0272"/>
        <n v="514.9"/>
        <n v="2670.74"/>
        <n v="558.39019999999994"/>
        <n v="1278.3675000000001"/>
        <n v="323.56099999999998"/>
        <n v="2699.0963999999999"/>
        <n v="191.4016"/>
        <n v="3034.2824000000001"/>
        <n v="199.2928"/>
        <n v="1451.7072000000001"/>
        <n v="1275.799"/>
        <n v="1824.2927999999999"/>
        <n v="54.406799999999997"/>
        <n v="2291.6432"/>
        <n v="1349.7692"/>
        <n v="275.36079999999998"/>
        <n v="1616.2152000000001"/>
        <n v="1628.0208"/>
        <n v="2315.8519999999999"/>
        <n v="143.24039999999999"/>
        <n v="709.12709999999993"/>
        <n v="814.74239999999998"/>
        <n v="55.216700000000003"/>
        <n v="591.58360000000005"/>
        <n v="102.37520000000001"/>
        <n v="77.293200000000013"/>
        <n v="146.57919999999999"/>
        <n v="2404.6821"/>
        <n v="449.51400000000001"/>
        <n v="577.82339999999999"/>
        <n v="413.5335"/>
        <n v="1548.0453"/>
        <n v="316.22199999999998"/>
        <n v="70.960000000000008"/>
        <n v="956.16639999999995"/>
        <n v="2691.7435999999998"/>
        <n v="354.32639999999998"/>
        <n v="782.17539999999997"/>
        <n v="989.93680000000006"/>
        <n v="649.74"/>
        <n v="229.88249999999999"/>
        <n v="1894.08"/>
        <n v="1943.0927999999999"/>
        <n v="514.29959999999994"/>
        <n v="1519.4975999999999"/>
        <n v="271.59300000000002"/>
        <n v="728.12040000000002"/>
        <n v="1304.2182"/>
        <n v="1303.3905"/>
        <n v="1630.3391999999999"/>
        <n v="2163.1104"/>
        <n v="1669.3068000000001"/>
        <n v="561.33439999999996"/>
        <n v="30.175999999999998"/>
        <n v="1113.6584"/>
        <n v="2728.2024000000001"/>
        <n v="101.2608"/>
        <n v="1018.3302"/>
        <n v="940.69"/>
        <n v="1787.3469"/>
        <n v="359.19650000000001"/>
        <n v="2010.6432"/>
        <n v="1786.2336"/>
        <n v="1042.3728000000001"/>
        <n v="510.22019999999998"/>
        <n v="122.1327"/>
        <n v="782.16000000000008"/>
        <n v="1845.9659999999999"/>
        <n v="721.8211"/>
        <n v="541.6191"/>
        <n v="2094.8568"/>
        <n v="522.68399999999997"/>
        <n v="132.35820000000001"/>
        <n v="2933.3224"/>
        <n v="1602.7067999999999"/>
        <n v="148.30019999999999"/>
        <n v="757.39"/>
        <n v="689.17200000000014"/>
        <n v="1235.7372"/>
        <n v="1359.5925"/>
        <n v="1555.4619"/>
        <n v="1407.6017999999999"/>
        <n v="810.57139999999993"/>
        <n v="3225.5819999999999"/>
        <n v="28.044"/>
        <n v="607.86720000000003"/>
        <n v="426.411"/>
        <n v="1171.2288000000001"/>
        <n v="786.03139999999996"/>
        <n v="81.619199999999992"/>
        <n v="1825.3248000000001"/>
        <n v="424.20510000000002"/>
        <n v="1639.2095999999999"/>
        <n v="1301.6094000000001"/>
        <n v="729.07759999999996"/>
        <n v="1002.5028"/>
        <n v="808.65719999999999"/>
        <n v="774.18000000000006"/>
        <n v="758.38120000000004"/>
        <n v="767.98800000000006"/>
        <n v="1341.87"/>
        <n v="2250.2979999999998"/>
        <n v="24.13"/>
        <n v="648.29939999999999"/>
        <n v="364.08"/>
        <n v="1630.0416"/>
        <n v="2513.8984"/>
        <n v="844.38199999999995"/>
        <n v="1136.0935999999999"/>
        <n v="1230.9501"/>
        <n v="1386.2428"/>
        <n v="753.49019999999996"/>
        <n v="125.8389"/>
        <n v="1666.95"/>
        <n v="1452.4944"/>
        <n v="3502.9688000000001"/>
        <n v="615.79719999999998"/>
        <n v="1316.2085999999999"/>
        <n v="85.933199999999999"/>
        <n v="3908.2428"/>
        <n v="1228.8078"/>
        <n v="751.27260000000001"/>
        <n v="678.84100000000001"/>
        <n v="1674.5057999999999"/>
        <n v="1134.4007999999999"/>
        <n v="756.76580000000001"/>
        <n v="1105.3432"/>
        <n v="2801.19"/>
        <n v="980.35440000000006"/>
        <n v="2807.8008"/>
        <n v="1311.4192"/>
        <n v="125.1588"/>
        <n v="198.41640000000001"/>
        <n v="867.34800000000007"/>
        <n v="591.70319999999992"/>
        <n v="1759.9428"/>
        <n v="1535.6780000000001"/>
        <n v="2263.0068000000001"/>
        <n v="629.96500000000003"/>
        <n v="3026.6716000000001"/>
        <n v="2407.0583999999999"/>
        <n v="700.40520000000004"/>
        <n v="192.88499999999999"/>
        <n v="1017.7704"/>
        <n v="332.02339999999998"/>
        <n v="556.78399999999999"/>
        <n v="1333.4780000000001"/>
        <n v="199.56780000000001"/>
        <n v="494.0684"/>
        <n v="341.31200000000001"/>
        <n v="1936.7025000000001"/>
        <n v="1442.76"/>
        <n v="200.1354"/>
        <n v="163.5744"/>
        <n v="774.14260000000002"/>
        <n v="800.21129999999994"/>
        <n v="1184.8900000000001"/>
        <n v="433.92960000000011"/>
        <n v="502.51319999999998"/>
        <n v="214.8664"/>
        <n v="865.1164"/>
        <n v="1267.9744000000001"/>
        <n v="1377.6432"/>
        <n v="548.06200000000001"/>
        <n v="808.64189999999996"/>
        <n v="2724.32"/>
        <n v="1552.9793999999999"/>
        <n v="2205.0239999999999"/>
        <n v="752.86199999999997"/>
        <n v="2997.615600000001"/>
        <n v="104.7144"/>
        <n v="900.59199999999998"/>
        <n v="542.57100000000003"/>
        <n v="1801.4190000000001"/>
        <n v="1174.2947999999999"/>
        <n v="838.84500000000003"/>
        <n v="2950.14"/>
        <n v="2906.5680000000002"/>
        <n v="2230.3303999999998"/>
        <n v="667.20539999999994"/>
        <n v="494.99560000000002"/>
        <n v="1146.8154"/>
        <n v="701.0544000000001"/>
        <n v="33.129600000000003"/>
        <n v="1320.0640000000001"/>
        <n v="1007.223"/>
        <n v="535.35019999999997"/>
        <n v="346.48399999999998"/>
        <n v="34.178400000000003"/>
        <n v="1665.692"/>
        <n v="1885.5162"/>
        <n v="3094.2208000000001"/>
        <n v="453.58170000000001"/>
        <n v="60.392200000000003"/>
        <n v="1335.027"/>
        <n v="496.97340000000003"/>
        <n v="1548.9465"/>
        <n v="72.799600000000012"/>
        <n v="944.47099999999989"/>
        <n v="394.90199999999999"/>
        <n v="977.69849999999985"/>
        <n v="2337.75"/>
        <n v="866.04959999999994"/>
        <n v="231.0198"/>
        <n v="1462.0029999999999"/>
        <n v="263.60719999999998"/>
        <n v="587.33360000000005"/>
        <n v="2409.8216000000002"/>
        <n v="2013.7872"/>
        <n v="1509.2352000000001"/>
        <n v="40.976100000000002"/>
        <n v="2871.3679999999999"/>
        <n v="2634.0079999999998"/>
        <n v="2168.64"/>
        <n v="491.77100000000002"/>
        <n v="1106.3052"/>
        <n v="81.673900000000003"/>
        <n v="2182.4463999999998"/>
        <n v="1744.8368"/>
        <n v="31.239000000000001"/>
        <n v="56.010599999999997"/>
        <n v="3756.8876"/>
        <n v="320.76"/>
        <n v="1348.2149999999999"/>
        <n v="2097.1008000000002"/>
        <n v="1484.7293999999999"/>
        <n v="578.11989999999992"/>
        <n v="783.42399999999998"/>
        <n v="2552.5367999999999"/>
        <n v="125.8888"/>
        <n v="689.5"/>
        <n v="810.84600000000012"/>
        <n v="1388.9190000000001"/>
        <n v="1745.2989"/>
        <n v="1204.6944000000001"/>
        <n v="1759.434"/>
        <n v="615.46699999999998"/>
        <n v="1078.8173999999999"/>
        <n v="2468.4387000000002"/>
        <n v="573.07000000000005"/>
        <n v="1287.3599999999999"/>
        <n v="355.2448"/>
        <n v="571.63920000000007"/>
        <n v="469.60759999999999"/>
        <n v="2319.4512"/>
        <n v="1212.9007999999999"/>
        <n v="934.32449999999983"/>
        <n v="240.44820000000001"/>
        <n v="981.9864"/>
        <n v="304.76749999999998"/>
        <n v="758.24"/>
        <n v="665.51679999999999"/>
        <n v="506.709"/>
        <n v="1968.1116"/>
        <n v="658.46"/>
        <n v="2832.9380000000001"/>
        <n v="1510.7190000000001"/>
        <n v="503.97620000000012"/>
        <n v="582.88409999999999"/>
        <n v="523.71"/>
        <n v="36.027200000000001"/>
        <n v="791.88479999999993"/>
        <n v="166.82490000000001"/>
        <n v="579.58840000000009"/>
        <n v="242.03899999999999"/>
        <n v="563.48699999999997"/>
        <n v="1309.4226000000001"/>
        <n v="626.37120000000004"/>
        <n v="1245.1189999999999"/>
        <n v="78.194399999999987"/>
        <n v="1042.491"/>
        <n v="1194.9503999999999"/>
        <n v="934.46460000000013"/>
        <n v="502.95960000000002"/>
        <n v="1349.0568000000001"/>
        <n v="616.54750000000001"/>
        <n v="1169.6238000000001"/>
        <n v="79.775999999999996"/>
        <n v="946.53000000000009"/>
        <n v="1758.4811999999999"/>
        <n v="1833.4380000000001"/>
        <n v="276.44"/>
        <n v="103.9311"/>
        <n v="1206.6407999999999"/>
        <n v="77.022000000000006"/>
        <n v="2556.1972000000001"/>
        <n v="2700.3312000000001"/>
        <n v="2485.364"/>
        <n v="588.49239999999998"/>
        <n v="1369.6744000000001"/>
        <n v="844.96719999999993"/>
        <n v="322.98989999999998"/>
        <n v="570.87099999999998"/>
        <n v="929.16320000000007"/>
        <n v="1236.48"/>
        <n v="366.95339999999999"/>
        <n v="773.03039999999999"/>
        <n v="1384.2239999999999"/>
        <n v="758.03660000000002"/>
        <n v="940.1484999999999"/>
        <n v="513.702"/>
        <n v="569.04399999999998"/>
        <n v="423.62840000000011"/>
        <n v="680.88400000000001"/>
        <n v="229.614"/>
        <n v="1249.5006000000001"/>
        <n v="2576.2302"/>
        <n v="1276.7118"/>
        <n v="1633.056"/>
        <n v="374.34539999999998"/>
        <n v="346.49400000000003"/>
        <n v="1220.0219999999999"/>
        <n v="1045.6292000000001"/>
        <n v="948.12300000000005"/>
        <n v="541.10160000000008"/>
        <n v="1794.3030000000001"/>
        <n v="2859.9407999999999"/>
        <n v="2555.64"/>
        <n v="194.17859999999999"/>
        <n v="2383.6680000000001"/>
        <n v="434.05680000000001"/>
        <n v="1250.6175000000001"/>
        <n v="3179.3807999999999"/>
        <n v="1112.79"/>
        <n v="1799.55"/>
        <n v="48.101500000000001"/>
        <n v="323.35199999999998"/>
        <n v="1219.4269999999999"/>
        <n v="1171.2978000000001"/>
        <n v="1768.96"/>
        <n v="405.32"/>
        <n v="54.489600000000003"/>
        <n v="573.61920000000009"/>
        <n v="1176.9449999999999"/>
        <n v="1723.5719999999999"/>
        <n v="1451.7328"/>
        <n v="384.4665"/>
        <n v="388.5"/>
        <n v="739.55970000000002"/>
        <n v="1208.2028"/>
        <n v="223.59200000000001"/>
        <n v="1301.8758"/>
        <n v="1281.8937000000001"/>
        <n v="1396.5696"/>
        <n v="678.60799999999995"/>
        <n v="1143.252"/>
        <n v="629.74340000000007"/>
        <n v="3393.88"/>
        <n v="255.88800000000001"/>
        <n v="661.47080000000005"/>
        <n v="1567.356"/>
        <n v="109.5624"/>
        <n v="1194.9028000000001"/>
        <n v="679.37260000000003"/>
        <n v="1429.2719999999999"/>
        <n v="629.36520000000007"/>
        <n v="3265.2919999999999"/>
        <n v="2175.5252"/>
        <n v="269.01659999999998"/>
        <n v="2881.4259999999999"/>
        <n v="675.94240000000013"/>
        <n v="57.389600000000002"/>
        <n v="1032.3599999999999"/>
        <n v="2380.4639999999999"/>
        <n v="201.59700000000001"/>
        <n v="616.50819999999999"/>
        <n v="1111.7945999999999"/>
        <n v="583.16999999999996"/>
        <n v="1638.3912"/>
        <n v="790.76589999999999"/>
        <n v="1685.1573000000001"/>
        <n v="1402.7832000000001"/>
        <n v="209.65119999999999"/>
        <n v="107.0748"/>
        <n v="2569.1024000000002"/>
        <n v="526.24439999999993"/>
        <n v="502.75240000000002"/>
        <n v="1419.0192"/>
        <n v="711.05579999999986"/>
        <n v="493.64280000000002"/>
        <n v="1447.2216000000001"/>
        <n v="96.459199999999996"/>
        <n v="1597.624"/>
        <n v="216.50399999999999"/>
        <n v="623.19839999999999"/>
        <n v="1969.9559999999999"/>
        <n v="1455.1325999999999"/>
        <n v="595.41"/>
        <n v="1754.94"/>
        <n v="952.84559999999999"/>
        <n v="3066.6687999999999"/>
        <n v="215.47200000000001"/>
        <n v="819.71759999999995"/>
        <n v="127.611"/>
        <n v="802.1579999999999"/>
        <n v="817.79430000000002"/>
        <n v="2935.8252000000002"/>
        <n v="1444.212"/>
        <n v="836.47409999999991"/>
        <n v="1813.5174"/>
        <n v="1719.4431999999999"/>
        <n v="502.53"/>
        <n v="803.9944999999999"/>
        <n v="1040.2403999999999"/>
        <n v="2897.233999999999"/>
        <n v="1087.6733999999999"/>
        <n v="381.95639999999997"/>
        <n v="1276.6415999999999"/>
        <n v="689.38279999999997"/>
        <n v="229.023"/>
        <n v="1661.8032000000001"/>
        <n v="1176.2550000000001"/>
        <n v="1561.9212"/>
        <n v="232.42320000000001"/>
        <n v="463.85820000000001"/>
        <n v="59.593499999999999"/>
        <n v="486.06330000000003"/>
        <n v="2167.9223999999999"/>
        <n v="545.80500000000006"/>
        <n v="1562.9290000000001"/>
        <n v="92.722300000000004"/>
        <n v="846.74879999999996"/>
        <n v="2762.1428999999998"/>
        <n v="672.29899999999998"/>
        <n v="1289.6099999999999"/>
        <n v="553.68640000000005"/>
        <n v="1451.6960999999999"/>
        <n v="117.4588"/>
        <n v="620.94600000000003"/>
        <n v="52.150799999999997"/>
        <n v="333.85090000000002"/>
        <n v="272.62180000000001"/>
        <n v="1876.3152"/>
        <n v="263.04629999999997"/>
        <n v="86.620999999999995"/>
        <n v="357.23430000000002"/>
        <n v="705.5856"/>
        <n v="781.61599999999999"/>
        <n v="2552.3015999999998"/>
        <n v="553.18960000000004"/>
        <n v="307.43439999999998"/>
        <n v="3400.733999999999"/>
        <n v="2873.864"/>
        <n v="600.29549999999995"/>
        <n v="1022.2128"/>
        <n v="317.32470000000001"/>
        <n v="937.4896"/>
        <n v="424.875"/>
        <n v="2495.4744000000001"/>
        <n v="800.72879999999998"/>
        <n v="1487.4636"/>
        <n v="497.16419999999999"/>
        <n v="136.5984"/>
        <n v="159.87549999999999"/>
        <n v="586.71719999999993"/>
        <n v="487.74599999999998"/>
        <n v="320.892"/>
        <n v="422.01299999999998"/>
        <n v="853.05420000000004"/>
        <n v="1018.668"/>
        <n v="111.1434"/>
        <n v="1892.7167999999999"/>
        <n v="1793.2632000000001"/>
        <n v="447.45299999999992"/>
        <n v="666.71699999999998"/>
        <n v="1015.32"/>
        <n v="1115.0047999999999"/>
        <n v="2488.6336000000001"/>
        <n v="1087.8444"/>
        <n v="246.77549999999999"/>
        <n v="1194.7392"/>
        <n v="922.9692"/>
        <n v="258.822"/>
        <n v="217.77209999999999"/>
        <n v="1823.1948"/>
        <n v="450.52399999999989"/>
        <n v="2110.1255999999998"/>
        <n v="1357.0372"/>
        <n v="1409.9903999999999"/>
        <n v="379.69920000000002"/>
        <n v="2139.3312000000001"/>
        <n v="2965.1507999999999"/>
        <n v="509.14980000000008"/>
        <n v="1264.335"/>
        <n v="460.108"/>
        <n v="1385.8368"/>
        <n v="871.39699999999993"/>
        <n v="1581.2496000000001"/>
        <n v="1012.1856"/>
        <n v="385.2996"/>
        <n v="1715.0595000000001"/>
        <n v="1533.8240000000001"/>
        <n v="2509.1999999999998"/>
        <n v="407.57679999999999"/>
        <n v="955.01519999999994"/>
        <n v="139.03120000000001"/>
        <n v="391.77640000000002"/>
        <n v="1375.6759999999999"/>
        <n v="154.74359999999999"/>
        <n v="355.23840000000001"/>
        <n v="169.9854"/>
        <n v="1207.7603999999999"/>
        <n v="1939.2012"/>
        <n v="456.14399999999989"/>
        <n v="604.41920000000005"/>
        <n v="925.18960000000004"/>
        <n v="1045.2354"/>
        <n v="200.9392"/>
        <n v="1536.7439999999999"/>
        <n v="1631.3309999999999"/>
        <n v="199.7961"/>
        <n v="1620.8255999999999"/>
        <n v="641.41"/>
        <n v="18.459"/>
        <n v="796.63200000000006"/>
        <n v="150.7902"/>
        <n v="692.27"/>
        <n v="1370.5232000000001"/>
        <n v="3239.3580000000002"/>
        <n v="685.3069999999999"/>
        <n v="2060.3912"/>
        <n v="595.14840000000004"/>
        <n v="386.38400000000001"/>
        <n v="426.12240000000003"/>
        <n v="488.90660000000003"/>
        <n v="929.02079999999989"/>
        <n v="373.83839999999998"/>
        <n v="359.50400000000002"/>
        <n v="1523.124"/>
        <n v="2839.6248000000001"/>
        <n v="248.17830000000001"/>
        <n v="798.21719999999993"/>
        <n v="1172.0625"/>
        <n v="3602.7264"/>
        <n v="2084.0720000000001"/>
        <n v="312.67360000000002"/>
        <n v="3159.0612000000001"/>
        <n v="2013.5178000000001"/>
        <n v="661.73760000000004"/>
        <n v="1584.7840000000001"/>
        <n v="810.08579999999995"/>
        <n v="139.29"/>
        <n v="2829.7228"/>
        <n v="1240.8389999999999"/>
        <n v="2158.7103999999999"/>
        <n v="208.3134"/>
        <n v="698.76"/>
        <n v="1287.6084000000001"/>
        <n v="152.0343"/>
        <n v="215.14420000000001"/>
        <n v="378.59399999999999"/>
        <n v="1566.5663999999999"/>
        <n v="198.7782"/>
        <n v="1296.261"/>
        <n v="2277.2944000000002"/>
        <n v="166.482"/>
        <n v="783.30449999999996"/>
        <n v="64.895600000000002"/>
        <n v="2103.1763999999998"/>
        <n v="945.21720000000016"/>
        <n v="38.003799999999998"/>
        <n v="2269.4976000000001"/>
        <n v="354.56400000000002"/>
        <n v="1280.115"/>
        <n v="1491.4119000000001"/>
        <n v="2011.7483999999999"/>
        <n v="1286.56"/>
        <n v="2350.4888000000001"/>
        <n v="2404.8024"/>
        <n v="792.09600000000012"/>
        <n v="2090.2723999999998"/>
        <n v="1627.4391000000001"/>
        <n v="1505.1168"/>
        <n v="1005.3216"/>
        <n v="2391.4526999999998"/>
        <n v="1884.54"/>
        <n v="954.06080000000009"/>
        <n v="568.09620000000007"/>
        <n v="540.90719999999999"/>
        <n v="551.25900000000001"/>
        <n v="3138.6759999999999"/>
        <n v="78.586799999999997"/>
        <n v="2549.4839999999999"/>
        <n v="425.41759999999999"/>
        <n v="2080.2770999999998"/>
        <n v="524.76480000000004"/>
        <n v="1900.2672"/>
        <n v="1655.7170000000001"/>
        <n v="316.89359999999999"/>
        <n v="882.57440000000008"/>
        <n v="2589.8643999999999"/>
        <n v="2291.73"/>
        <n v="1228.4894999999999"/>
        <n v="2495.2049999999999"/>
        <n v="299.73419999999999"/>
        <n v="1990.0350000000001"/>
        <n v="2826.5160000000001"/>
        <n v="1142.4972"/>
        <n v="1663.9503999999999"/>
        <n v="606.73080000000004"/>
        <n v="2742.15"/>
        <n v="1352.076"/>
        <n v="257.24009999999998"/>
        <n v="1321.9595999999999"/>
        <n v="415.73379999999997"/>
        <n v="1084.7936"/>
        <n v="887.56200000000013"/>
        <n v="1071.904"/>
        <n v="75.84"/>
        <n v="1504.4760000000001"/>
        <n v="867.5"/>
        <n v="345.32479999999998"/>
        <n v="1050.5039999999999"/>
        <n v="82.54679999999999"/>
        <n v="762.00299999999993"/>
        <n v="299.6721"/>
        <n v="887.86320000000001"/>
        <n v="1690.7814000000001"/>
        <n v="2312.2912000000001"/>
        <n v="611.68040000000008"/>
        <n v="595.97759999999994"/>
        <n v="1731.4914000000001"/>
        <n v="1729.4748"/>
        <n v="2343.4616000000001"/>
        <n v="359.7783"/>
        <n v="2936.0144"/>
        <n v="197.68199999999999"/>
        <n v="1054.5612000000001"/>
        <n v="390.81599999999997"/>
        <n v="763.15719999999999"/>
        <n v="811.07159999999999"/>
        <n v="2235.4787999999999"/>
        <n v="1505.2575999999999"/>
        <n v="1154.8943999999999"/>
        <n v="774.0684"/>
        <n v="2030.5700999999999"/>
        <n v="3028.2264"/>
        <n v="994.48200000000008"/>
        <n v="373.66559999999998"/>
        <n v="187.14840000000001"/>
        <n v="2943.5295999999998"/>
        <n v="649.89"/>
        <n v="1661.6624999999999"/>
        <n v="65.729200000000006"/>
        <n v="2748.2224000000001"/>
        <n v="2221.9061999999999"/>
        <n v="530.14499999999998"/>
        <n v="1512.924"/>
        <n v="47.621200000000002"/>
        <n v="1609.9962"/>
        <n v="905.23"/>
        <n v="1472.5308"/>
        <n v="253.09200000000001"/>
        <n v="868.98"/>
        <n v="1968.5753999999999"/>
        <n v="347.82000000000011"/>
        <n v="283.7484"/>
        <n v="288.14519999999999"/>
        <n v="599.65440000000001"/>
        <n v="2859.2928000000002"/>
        <n v="2198.16"/>
        <n v="1347.4559999999999"/>
        <n v="1740.6279999999999"/>
        <n v="1774.3440000000001"/>
        <n v="767.48159999999996"/>
        <n v="1329.1128000000001"/>
        <n v="428.89699999999999"/>
        <n v="1776.5286000000001"/>
        <n v="907.52549999999997"/>
        <n v="1733.9049"/>
        <n v="113.0128"/>
        <n v="347.25360000000012"/>
        <n v="2408.6664000000001"/>
        <n v="649.51920000000007"/>
        <n v="794.45699999999999"/>
        <n v="817.15500000000009"/>
        <n v="3228.8760000000002"/>
        <n v="1219.2570000000001"/>
        <n v="825.02639999999997"/>
        <n v="131.047"/>
        <n v="1537.452"/>
        <n v="1144.4248"/>
        <n v="1616.8104000000001"/>
        <n v="2548.5264000000002"/>
        <n v="1082.835"/>
        <n v="798.55200000000013"/>
        <n v="1283.086"/>
        <n v="1023.678"/>
        <n v="356.18669999999997"/>
        <n v="1656.395"/>
        <n v="308.79000000000002"/>
        <n v="285.96719999999999"/>
        <n v="859.7808"/>
        <n v="213.55879999999999"/>
        <n v="2509.4591999999998"/>
        <n v="1882.1952000000001"/>
        <n v="196.67339999999999"/>
        <n v="36.225000000000001"/>
        <n v="1398.712"/>
        <n v="1874.787"/>
        <n v="736.66800000000001"/>
        <n v="51.138399999999997"/>
        <n v="2346.4584"/>
        <n v="2199.3449999999998"/>
        <n v="637.50080000000014"/>
        <n v="489.78199999999993"/>
        <n v="2249.4911999999999"/>
        <n v="2976.6039999999998"/>
        <n v="1422.492"/>
        <n v="264.91500000000002"/>
        <n v="79.638499999999993"/>
        <n v="954.76499999999999"/>
        <n v="715.30049999999994"/>
        <n v="2811.1181999999999"/>
        <n v="139.86799999999999"/>
        <n v="190.83600000000001"/>
        <n v="1182.8481999999999"/>
        <n v="515.9325"/>
        <n v="1279.2354"/>
        <n v="1128.732"/>
        <n v="189.61760000000001"/>
        <n v="1446.1376"/>
        <n v="202.9836"/>
        <n v="1901.4159999999999"/>
        <n v="1253.0011999999999"/>
        <n v="625.46579999999994"/>
        <n v="82.513199999999998"/>
        <n v="1828.1120000000001"/>
        <n v="1909.9608000000001"/>
        <n v="65.155000000000001"/>
        <n v="3721.52"/>
        <n v="272.79750000000001"/>
        <n v="1146.9390000000001"/>
        <n v="2471.6376"/>
        <n v="616.029"/>
        <n v="2532.348"/>
        <n v="1373.7651000000001"/>
        <n v="2290.4243999999999"/>
        <n v="991.26239999999996"/>
        <n v="2240.9920000000002"/>
        <n v="761.73839999999996"/>
        <n v="2681.1651999999999"/>
        <n v="96.25"/>
        <n v="626.67989999999998"/>
        <n v="269.87189999999998"/>
        <n v="2317.6383999999998"/>
        <n v="1185.4584"/>
        <n v="392.83789999999999"/>
        <n v="680.44199999999989"/>
        <n v="419.92"/>
        <n v="241.03399999999999"/>
        <n v="750.20309999999995"/>
        <n v="328.75240000000002"/>
        <n v="1641.63"/>
      </sharedItems>
    </cacheField>
  </cacheFields>
  <extLst>
    <ext xmlns:x14="http://schemas.microsoft.com/office/spreadsheetml/2009/9/main" uri="{725AE2AE-9491-48be-B2B4-4EB974FC3084}">
      <x14:pivotCacheDefinition pivotCacheId="175155763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5.734817708333" createdVersion="8" refreshedVersion="8" minRefreshableVersion="3" recordCount="1994" xr:uid="{DD45058D-D655-4D4B-A2E2-D018F4EB9B54}">
  <cacheSource type="worksheet">
    <worksheetSource ref="F2:H1996" sheet="Sales_Fact"/>
  </cacheSource>
  <cacheFields count="3">
    <cacheField name="Gibson, Hobbs and Weaver" numFmtId="0">
      <sharedItems count="100">
        <s v="Rice LLC"/>
        <s v="Luna, Anderson and Bowman"/>
        <s v="Erickson-Green"/>
        <s v="Ford, Murphy and Wilson"/>
        <s v="Guerra-Hendrix"/>
        <s v="May-Reese"/>
        <s v="Soto-Ellis"/>
        <s v="Gardner-Montes"/>
        <s v="Flores, Pineda and Rodriguez"/>
        <s v="Brown and Sons"/>
        <s v="Reed-Schmidt"/>
        <s v="Khan, Jones and Paul"/>
        <s v="Burns-Hansen"/>
        <s v="Pineda Ltd"/>
        <s v="Weiss-Watson"/>
        <s v="Lucero LLC"/>
        <s v="Jones LLC"/>
        <s v="Smith-Mills"/>
        <s v="Hogan-Lee"/>
        <s v="Sims-Smith"/>
        <s v="Cummings and Sons"/>
        <s v="Taylor-Hart"/>
        <s v="Holmes LLC"/>
        <s v="Bridges, Banks and Cummings"/>
        <s v="Kelly, Smith and Perez"/>
        <s v="Cook Inc"/>
        <s v="Sullivan and Sons"/>
        <s v="Baldwin, Garza and Gonzalez"/>
        <s v="Smith-King"/>
        <s v="Thompson-French"/>
        <s v="Hatfield, Baird and Torres"/>
        <s v="Hernandez, Kennedy and Porter"/>
        <s v="Shepherd-Gould"/>
        <s v="Davidson PLC"/>
        <s v="Murray, Gould and Ware"/>
        <s v="Anderson-Riley"/>
        <s v="Zhang Inc"/>
        <s v="Torres, Spencer and Potter"/>
        <s v="Flores-Davis"/>
        <s v="Fitzpatrick Ltd"/>
        <s v="Duran Group"/>
        <s v="Davis PLC"/>
        <s v="French Ltd"/>
        <s v="Bruce-Bowen"/>
        <s v="Poole PLC"/>
        <s v="Robinson-Brown"/>
        <s v="Reese-Watson"/>
        <s v="Butler Group"/>
        <s v="Richardson-Carrillo"/>
        <s v="Taylor, Dodson and Johnston"/>
        <s v="Aguilar, Horton and Lewis"/>
        <s v="Olsen-Daniels"/>
        <s v="Taylor-Elliott"/>
        <s v="Sharp, Taylor and Rodriguez"/>
        <s v="Smith-Charles"/>
        <s v="Green, Powell and Palmer"/>
        <s v="Hoffman-Williams"/>
        <s v="Wilson Group"/>
        <s v="Phillips and Sons"/>
        <s v="Hamilton Group"/>
        <s v="Gibson, Hobbs and Weaver"/>
        <s v="Dawson-Perkins"/>
        <s v="Thomas LLC"/>
        <s v="Moon, Mora and Santos"/>
        <s v="Cook Ltd"/>
        <s v="Stevens, Fernandez and Martin"/>
        <s v="Nolan-Snow"/>
        <s v="Griffin Ltd"/>
        <s v="Robinson Inc"/>
        <s v="Cox Inc"/>
        <s v="Hamilton, Woods and Walker"/>
        <s v="Gibson, Green and Lopez"/>
        <s v="Montgomery, Benton and Miller"/>
        <s v="Hopkins Ltd"/>
        <s v="White, Reeves and Woods"/>
        <s v="Hernandez Inc"/>
        <s v="Ramirez-Hanson"/>
        <s v="Perez-Johnston"/>
        <s v="Collins-Stephenson"/>
        <s v="Khan LLC"/>
        <s v="Campbell Ltd"/>
        <s v="Terry-Moore"/>
        <s v="Sims Inc"/>
        <s v="Byrd, Stewart and Valdez"/>
        <s v="Bautista, Green and Hale"/>
        <s v="Harris Inc"/>
        <s v="Atkinson, Camacho and Oliver"/>
        <s v="Lopez LLC"/>
        <s v="Wolfe, Ross and Hester"/>
        <s v="Harrell LLC"/>
        <s v="Larson Ltd"/>
        <s v="Allison Ltd"/>
        <s v="Hill PLC"/>
        <s v="Martin LLC"/>
        <s v="Flores-King"/>
        <s v="Gonzales-Davis"/>
        <s v="Carroll, Long and Mendoza"/>
        <s v="Cline-Mccarthy"/>
        <s v="Hunt Inc"/>
        <s v="Hoffman Group"/>
      </sharedItems>
    </cacheField>
    <cacheField name="Electronics" numFmtId="0">
      <sharedItems count="5">
        <s v="Beauty"/>
        <s v="Home"/>
        <s v="Sports"/>
        <s v="Clothing"/>
        <s v="Electronics"/>
      </sharedItems>
    </cacheField>
    <cacheField name="1" numFmtId="0">
      <sharedItems containsSemiMixedTypes="0" containsString="0" containsNumber="1" minValue="1" maxValue="4" count="9">
        <n v="1"/>
        <n v="2"/>
        <n v="4"/>
        <n v="3"/>
        <n v="2.4605071932557498"/>
        <n v="2.1607009492020444"/>
        <n v="3.4011295180722891"/>
        <n v="2.7904357624168861"/>
        <n v="2.8801322162286236"/>
      </sharedItems>
    </cacheField>
  </cacheFields>
  <extLst>
    <ext xmlns:x14="http://schemas.microsoft.com/office/spreadsheetml/2009/9/main" uri="{725AE2AE-9491-48be-B2B4-4EB974FC3084}">
      <x14:pivotCacheDefinition pivotCacheId="136838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5.740251504627" createdVersion="8" refreshedVersion="8" minRefreshableVersion="3" recordCount="1995" xr:uid="{17261925-8D94-42AB-A24F-78137FEECC95}">
  <cacheSource type="worksheet">
    <worksheetSource ref="E1:L1996" sheet="Sales_Fact"/>
  </cacheSource>
  <cacheFields count="8">
    <cacheField name="Customer_ID" numFmtId="0">
      <sharedItems count="492">
        <s v="CUST1390"/>
        <s v="CUST1023"/>
        <s v="CUST1115"/>
        <s v="CUST1466"/>
        <s v="CUST1200"/>
        <s v="CUST1351"/>
        <s v="CUST1032"/>
        <s v="CUST1035"/>
        <s v="CUST1169"/>
        <s v="CUST1389"/>
        <s v="CUST1240"/>
        <s v="CUST1131"/>
        <s v="CUST1379"/>
        <s v="CUST1051"/>
        <s v="CUST1213"/>
        <s v="CUST1402"/>
        <s v="CUST1159"/>
        <s v="CUST1045"/>
        <s v="CUST1254"/>
        <s v="CUST1165"/>
        <s v="CUST1443"/>
        <s v="CUST1257"/>
        <s v="CUST1167"/>
        <s v="CUST1464"/>
        <s v="CUST1396"/>
        <s v="CUST1420"/>
        <s v="CUST1243"/>
        <s v="CUST1076"/>
        <s v="CUST1493"/>
        <s v="CUST1197"/>
        <s v="CUST1219"/>
        <s v="CUST1183"/>
        <s v="CUST1030"/>
        <s v="CUST1457"/>
        <s v="CUST1112"/>
        <s v="CUST1164"/>
        <s v="CUST1294"/>
        <s v="CUST1492"/>
        <s v="CUST1049"/>
        <s v="CUST1081"/>
        <s v="CUST1346"/>
        <s v="CUST1021"/>
        <s v="CUST1113"/>
        <s v="CUST1132"/>
        <s v="CUST1319"/>
        <s v="CUST1328"/>
        <s v="CUST1287"/>
        <s v="CUST1335"/>
        <s v="CUST1127"/>
        <s v="CUST1250"/>
        <s v="CUST1363"/>
        <s v="CUST1322"/>
        <s v="CUST1005"/>
        <s v="CUST1128"/>
        <s v="CUST1181"/>
        <s v="CUST1082"/>
        <s v="CUST1156"/>
        <s v="CUST1329"/>
        <s v="CUST1154"/>
        <s v="CUST1001"/>
        <s v="CUST1276"/>
        <s v="CUST1058"/>
        <s v="CUST1409"/>
        <s v="CUST1216"/>
        <s v="CUST1451"/>
        <s v="CUST1124"/>
        <s v="CUST1373"/>
        <s v="CUST1316"/>
        <s v="CUST1484"/>
        <s v="CUST1317"/>
        <s v="CUST1286"/>
        <s v="CUST1176"/>
        <s v="CUST1261"/>
        <s v="CUST1362"/>
        <s v="CUST1007"/>
        <s v="CUST1119"/>
        <s v="CUST1305"/>
        <s v="CUST1233"/>
        <s v="CUST1245"/>
        <s v="CUST1214"/>
        <s v="CUST1260"/>
        <s v="CUST1239"/>
        <s v="CUST1326"/>
        <s v="CUST1100"/>
        <s v="CUST1232"/>
        <s v="CUST1433"/>
        <s v="CUST1480"/>
        <s v="CUST1187"/>
        <s v="CUST1024"/>
        <s v="CUST1470"/>
        <s v="CUST1406"/>
        <s v="CUST1040"/>
        <s v="CUST1143"/>
        <s v="CUST1191"/>
        <s v="CUST1357"/>
        <s v="CUST1065"/>
        <s v="CUST1439"/>
        <s v="CUST1172"/>
        <s v="CUST1059"/>
        <s v="CUST1278"/>
        <s v="CUST1013"/>
        <s v="CUST1399"/>
        <s v="CUST1103"/>
        <s v="CUST1455"/>
        <s v="CUST1251"/>
        <s v="CUST1486"/>
        <s v="CUST1330"/>
        <s v="CUST1140"/>
        <s v="CUST1114"/>
        <s v="CUST1089"/>
        <s v="CUST1320"/>
        <s v="CUST1036"/>
        <s v="CUST1471"/>
        <s v="CUST1441"/>
        <s v="CUST1168"/>
        <s v="CUST1104"/>
        <s v="CUST1210"/>
        <s v="CUST1147"/>
        <s v="CUST1467"/>
        <s v="CUST1019"/>
        <s v="CUST1108"/>
        <s v="CUST1221"/>
        <s v="CUST1241"/>
        <s v="CUST1096"/>
        <s v="CUST1461"/>
        <s v="CUST1490"/>
        <s v="CUST1149"/>
        <s v="CUST1388"/>
        <s v="CUST1246"/>
        <s v="CUST1094"/>
        <s v="CUST1479"/>
        <s v="CUST1229"/>
        <s v="CUST1344"/>
        <s v="CUST1110"/>
        <s v="CUST1134"/>
        <s v="CUST1242"/>
        <s v="CUST1381"/>
        <s v="CUST1299"/>
        <s v="CUST1296"/>
        <s v="CUST1468"/>
        <s v="CUST1312"/>
        <s v="CUST1265"/>
        <s v="CUST1095"/>
        <s v="CUST1359"/>
        <s v="CUST1146"/>
        <s v="CUST1397"/>
        <s v="CUST1153"/>
        <s v="CUST1377"/>
        <s v="CUST1489"/>
        <s v="CUST1122"/>
        <s v="CUST1163"/>
        <s v="CUST1371"/>
        <s v="CUST1327"/>
        <s v="CUST1405"/>
        <s v="CUST1195"/>
        <s v="CUST1376"/>
        <s v="CUST1337"/>
        <s v="CUST1249"/>
        <s v="CUST1310"/>
        <s v="CUST1044"/>
        <s v="CUST1259"/>
        <s v="CUST1384"/>
        <s v="CUST1264"/>
        <s v="CUST1375"/>
        <s v="CUST1255"/>
        <s v="CUST1483"/>
        <s v="CUST1201"/>
        <s v="CUST1273"/>
        <s v="CUST1408"/>
        <s v="CUST1348"/>
        <s v="CUST1161"/>
        <s v="CUST1307"/>
        <s v="CUST1323"/>
        <s v="CUST1107"/>
        <s v="CUST1306"/>
        <s v="CUST1244"/>
        <s v="CUST1392"/>
        <s v="CUST1355"/>
        <s v="CUST1262"/>
        <s v="CUST1334"/>
        <s v="CUST1133"/>
        <s v="CUST1148"/>
        <s v="CUST1274"/>
        <s v="CUST1383"/>
        <s v="CUST1378"/>
        <s v="CUST1416"/>
        <s v="CUST1155"/>
        <s v="CUST1369"/>
        <s v="CUST1426"/>
        <s v="CUST1198"/>
        <s v="CUST1437"/>
        <s v="CUST1476"/>
        <s v="CUST1343"/>
        <s v="CUST1188"/>
        <s v="CUST1372"/>
        <s v="CUST1109"/>
        <s v="CUST1171"/>
        <s v="CUST1425"/>
        <s v="CUST1041"/>
        <s v="CUST1067"/>
        <s v="CUST1066"/>
        <s v="CUST1235"/>
        <s v="CUST1166"/>
        <s v="CUST1342"/>
        <s v="CUST1462"/>
        <s v="CUST1449"/>
        <s v="CUST1174"/>
        <s v="CUST1485"/>
        <s v="CUST1075"/>
        <s v="CUST1144"/>
        <s v="CUST1314"/>
        <s v="CUST1145"/>
        <s v="CUST1025"/>
        <s v="CUST1178"/>
        <s v="CUST1142"/>
        <s v="CUST1055"/>
        <s v="CUST1092"/>
        <s v="CUST1478"/>
        <s v="CUST1496"/>
        <s v="CUST1284"/>
        <s v="CUST1105"/>
        <s v="CUST1477"/>
        <s v="CUST1008"/>
        <s v="CUST1365"/>
        <s v="CUST1052"/>
        <s v="CUST1050"/>
        <s v="CUST1349"/>
        <s v="CUST1212"/>
        <s v="CUST1062"/>
        <s v="CUST1060"/>
        <s v="CUST1474"/>
        <s v="CUST1414"/>
        <s v="CUST1130"/>
        <s v="CUST1341"/>
        <s v="CUST1252"/>
        <s v="CUST1135"/>
        <s v="CUST1037"/>
        <s v="CUST1364"/>
        <s v="CUST1031"/>
        <s v="CUST1175"/>
        <s v="CUST1162"/>
        <s v="CUST1054"/>
        <s v="CUST1093"/>
        <s v="CUST1280"/>
        <s v="CUST1121"/>
        <s v="CUST1450"/>
        <s v="CUST1042"/>
        <s v="CUST1230"/>
        <s v="CUST1279"/>
        <s v="CUST1028"/>
        <s v="CUST1029"/>
        <s v="CUST1367"/>
        <s v="CUST1129"/>
        <s v="CUST1027"/>
        <s v="CUST1304"/>
        <s v="CUST1491"/>
        <s v="CUST1301"/>
        <s v="CUST1057"/>
        <s v="CUST1102"/>
        <s v="CUST1292"/>
        <s v="CUST1173"/>
        <s v="CUST1308"/>
        <s v="CUST1072"/>
        <s v="CUST1056"/>
        <s v="CUST1498"/>
        <s v="CUST1101"/>
        <s v="CUST1266"/>
        <s v="CUST1033"/>
        <s v="CUST1472"/>
        <s v="CUST1179"/>
        <s v="CUST1303"/>
        <s v="CUST1360"/>
        <s v="CUST1053"/>
        <s v="CUST1211"/>
        <s v="CUST1043"/>
        <s v="CUST1495"/>
        <s v="CUST1203"/>
        <s v="CUST1064"/>
        <s v="CUST1391"/>
        <s v="CUST1099"/>
        <s v="CUST1412"/>
        <s v="CUST1087"/>
        <s v="CUST1356"/>
        <s v="CUST1098"/>
        <s v="CUST1438"/>
        <s v="CUST1192"/>
        <s v="CUST1275"/>
        <s v="CUST1077"/>
        <s v="CUST1311"/>
        <s v="CUST1488"/>
        <s v="CUST1097"/>
        <s v="CUST1126"/>
        <s v="CUST1223"/>
        <s v="CUST1428"/>
        <s v="CUST1194"/>
        <s v="CUST1199"/>
        <s v="CUST1332"/>
        <s v="CUST1084"/>
        <s v="CUST1206"/>
        <s v="CUST1435"/>
        <s v="CUST1220"/>
        <s v="CUST1152"/>
        <s v="CUST1204"/>
        <s v="CUST1432"/>
        <s v="CUST1120"/>
        <s v="CUST1298"/>
        <s v="CUST1422"/>
        <s v="CUST1026"/>
        <s v="CUST1258"/>
        <s v="CUST1189"/>
        <s v="CUST1202"/>
        <s v="CUST1080"/>
        <s v="CUST1494"/>
        <s v="CUST1309"/>
        <s v="CUST1271"/>
        <s v="CUST1285"/>
        <s v="CUST1253"/>
        <s v="CUST1012"/>
        <s v="CUST1417"/>
        <s v="CUST1048"/>
        <s v="CUST1380"/>
        <s v="CUST1358"/>
        <s v="CUST1009"/>
        <s v="CUST1283"/>
        <s v="CUST1160"/>
        <s v="CUST1017"/>
        <s v="CUST1430"/>
        <s v="CUST1497"/>
        <s v="CUST1456"/>
        <s v="CUST1231"/>
        <s v="CUST1141"/>
        <s v="CUST1003"/>
        <s v="CUST1463"/>
        <s v="CUST1236"/>
        <s v="CUST1234"/>
        <s v="CUST1015"/>
        <s v="CUST1368"/>
        <s v="CUST1458"/>
        <s v="CUST1453"/>
        <s v="CUST1180"/>
        <s v="CUST1382"/>
        <s v="CUST1068"/>
        <s v="CUST1300"/>
        <s v="CUST1177"/>
        <s v="CUST1482"/>
        <s v="CUST1350"/>
        <s v="CUST1269"/>
        <s v="CUST1398"/>
        <s v="CUST1481"/>
        <s v="CUST1090"/>
        <s v="CUST1385"/>
        <s v="CUST1226"/>
        <s v="CUST1047"/>
        <s v="CUST1354"/>
        <s v="CUST1413"/>
        <s v="CUST1336"/>
        <s v="CUST1361"/>
        <s v="CUST1071"/>
        <s v="CUST1208"/>
        <s v="CUST1424"/>
        <s v="CUST1410"/>
        <s v="CUST1182"/>
        <s v="CUST1150"/>
        <s v="CUST1123"/>
        <s v="CUST1338"/>
        <s v="CUST1034"/>
        <s v="CUST1411"/>
        <s v="CUST1270"/>
        <s v="CUST1046"/>
        <s v="CUST1170"/>
        <s v="CUST1421"/>
        <s v="CUST1394"/>
        <s v="CUST1136"/>
        <s v="CUST1139"/>
        <s v="CUST1078"/>
        <s v="CUST1469"/>
        <s v="CUST1209"/>
        <s v="CUST1459"/>
        <s v="CUST1352"/>
        <s v="CUST1446"/>
        <s v="CUST1288"/>
        <s v="CUST1401"/>
        <s v="CUST1277"/>
        <s v="CUST1407"/>
        <s v="CUST1137"/>
        <s v="CUST1018"/>
        <s v="CUST1400"/>
        <s v="CUST1315"/>
        <s v="CUST1039"/>
        <s v="CUST1423"/>
        <s v="CUST1196"/>
        <s v="CUST1070"/>
        <s v="CUST1347"/>
        <s v="CUST1404"/>
        <s v="CUST1418"/>
        <s v="CUST1445"/>
        <s v="CUST1370"/>
        <s v="CUST1442"/>
        <s v="CUST1020"/>
        <s v="CUST1325"/>
        <s v="CUST1118"/>
        <s v="CUST1000"/>
        <s v="CUST1004"/>
        <s v="CUST1106"/>
        <s v="CUST1138"/>
        <s v="CUST1016"/>
        <s v="CUST1006"/>
        <s v="CUST1431"/>
        <s v="CUST1073"/>
        <s v="CUST1069"/>
        <s v="CUST1116"/>
        <s v="CUST1011"/>
        <s v="CUST1184"/>
        <s v="CUST1447"/>
        <s v="CUST1247"/>
        <s v="CUST1224"/>
        <s v="CUST1473"/>
        <s v="CUST1427"/>
        <s v="CUST1353"/>
        <s v="CUST1185"/>
        <s v="CUST1282"/>
        <s v="CUST1366"/>
        <s v="CUST1002"/>
        <s v="CUST1222"/>
        <s v="CUST1440"/>
        <s v="CUST1345"/>
        <s v="CUST1228"/>
        <s v="CUST1263"/>
        <s v="CUST1403"/>
        <s v="CUST1151"/>
        <s v="CUST1010"/>
        <s v="CUST1248"/>
        <s v="CUST1091"/>
        <s v="CUST1238"/>
        <s v="CUST1436"/>
        <s v="CUST1454"/>
        <s v="CUST1125"/>
        <s v="CUST1218"/>
        <s v="CUST1281"/>
        <s v="CUST1190"/>
        <s v="CUST1321"/>
        <s v="CUST1085"/>
        <s v="CUST1217"/>
        <s v="CUST1237"/>
        <s v="CUST1215"/>
        <s v="CUST1272"/>
        <s v="CUST1061"/>
        <s v="CUST1186"/>
        <s v="CUST1193"/>
        <s v="CUST1434"/>
        <s v="CUST1499"/>
        <s v="CUST1452"/>
        <s v="CUST1117"/>
        <s v="CUST1205"/>
        <s v="CUST1297"/>
        <s v="CUST1022"/>
        <s v="CUST1225"/>
        <s v="CUST1339"/>
        <s v="CUST1014"/>
        <s v="CUST1331"/>
        <s v="CUST1444"/>
        <s v="CUST1448"/>
        <s v="CUST1293"/>
        <s v="CUST1393"/>
        <s v="CUST1333"/>
        <s v="CUST1207"/>
        <s v="CUST1460"/>
        <s v="CUST1088"/>
        <s v="CUST1079"/>
        <s v="CUST1256"/>
        <s v="CUST1415"/>
        <s v="CUST1475"/>
        <s v="CUST1387"/>
        <s v="CUST1074"/>
        <s v="CUST1111"/>
        <s v="CUST1340"/>
        <s v="CUST1157"/>
        <s v="CUST1038"/>
        <s v="CUST1318"/>
        <s v="CUST1324"/>
        <s v="CUST1083"/>
        <s v="CUST1289"/>
        <s v="CUST1086"/>
        <s v="CUST1313"/>
        <s v="CUST1227"/>
        <s v="CUST1291"/>
        <s v="CUST1158"/>
        <s v="CUST1302"/>
        <s v="CUST1419"/>
        <s v="CUST1268"/>
        <s v="CUST1465"/>
        <s v="CUST1295"/>
      </sharedItems>
    </cacheField>
    <cacheField name="Brand" numFmtId="0">
      <sharedItems/>
    </cacheField>
    <cacheField name="Category" numFmtId="0">
      <sharedItems/>
    </cacheField>
    <cacheField name="Quantity" numFmtId="0">
      <sharedItems containsSemiMixedTypes="0" containsString="0" containsNumber="1" minValue="1"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87"/>
    </cacheField>
    <cacheField name="Total_Amount" numFmtId="43">
      <sharedItems containsSemiMixedTypes="0" containsString="0" containsNumber="1" minValue="18.459" maxValue="3908.2428"/>
    </cacheField>
    <cacheField name="Payment_Type" numFmtId="0">
      <sharedItems count="3">
        <s v="Credit Card"/>
        <s v="COD"/>
        <s v="PayPal"/>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5.744504629627" createdVersion="8" refreshedVersion="8" minRefreshableVersion="3" recordCount="1995" xr:uid="{C99E4CB8-6276-4903-8B2F-783B3A047BA4}">
  <cacheSource type="worksheet">
    <worksheetSource ref="A1:O1996" sheet="Sales_Fact"/>
  </cacheSource>
  <cacheFields count="18">
    <cacheField name="Store_ID" numFmtId="0">
      <sharedItems count="20">
        <s v="STORE0"/>
        <s v="STORE1"/>
        <s v="STORE10"/>
        <s v="STORE11"/>
        <s v="STORE12"/>
        <s v="STORE13"/>
        <s v="STORE14"/>
        <s v="STORE15"/>
        <s v="STORE16"/>
        <s v="STORE17"/>
        <s v="STORE18"/>
        <s v="STORE19"/>
        <s v="STORE2"/>
        <s v="STORE3"/>
        <s v="STORE4"/>
        <s v="STORE5"/>
        <s v="STORE6"/>
        <s v="STORE7"/>
        <s v="STORE8"/>
        <s v="STORE9"/>
      </sharedItems>
    </cacheField>
    <cacheField name="Sales_ID" numFmtId="0">
      <sharedItems/>
    </cacheField>
    <cacheField name="Product_ID" numFmtId="0">
      <sharedItems count="100">
        <s v="PROD11"/>
        <s v="PROD12"/>
        <s v="PROD14"/>
        <s v="PROD16"/>
        <s v="PROD17"/>
        <s v="PROD18"/>
        <s v="PROD19"/>
        <s v="PROD20"/>
        <s v="PROD21"/>
        <s v="PROD22"/>
        <s v="PROD25"/>
        <s v="PROD26"/>
        <s v="PROD27"/>
        <s v="PROD28"/>
        <s v="PROD3"/>
        <s v="PROD33"/>
        <s v="PROD34"/>
        <s v="PROD35"/>
        <s v="PROD36"/>
        <s v="PROD37"/>
        <s v="PROD38"/>
        <s v="PROD39"/>
        <s v="PROD40"/>
        <s v="PROD42"/>
        <s v="PROD45"/>
        <s v="PROD46"/>
        <s v="PROD47"/>
        <s v="PROD49"/>
        <s v="PROD5"/>
        <s v="PROD50"/>
        <s v="PROD54"/>
        <s v="PROD55"/>
        <s v="PROD56"/>
        <s v="PROD58"/>
        <s v="PROD6"/>
        <s v="PROD62"/>
        <s v="PROD63"/>
        <s v="PROD64"/>
        <s v="PROD66"/>
        <s v="PROD67"/>
        <s v="PROD69"/>
        <s v="PROD70"/>
        <s v="PROD72"/>
        <s v="PROD73"/>
        <s v="PROD74"/>
        <s v="PROD75"/>
        <s v="PROD81"/>
        <s v="PROD82"/>
        <s v="PROD83"/>
        <s v="PROD85"/>
        <s v="PROD86"/>
        <s v="PROD87"/>
        <s v="PROD88"/>
        <s v="PROD89"/>
        <s v="PROD90"/>
        <s v="PROD91"/>
        <s v="PROD92"/>
        <s v="PROD94"/>
        <s v="PROD95"/>
        <s v="PROD96"/>
        <s v="PROD10"/>
        <s v="PROD13"/>
        <s v="PROD15"/>
        <s v="PROD23"/>
        <s v="PROD24"/>
        <s v="PROD30"/>
        <s v="PROD31"/>
        <s v="PROD32"/>
        <s v="PROD43"/>
        <s v="PROD44"/>
        <s v="PROD53"/>
        <s v="PROD60"/>
        <s v="PROD65"/>
        <s v="PROD71"/>
        <s v="PROD77"/>
        <s v="PROD78"/>
        <s v="PROD79"/>
        <s v="PROD8"/>
        <s v="PROD84"/>
        <s v="PROD97"/>
        <s v="PROD99"/>
        <s v="PROD1"/>
        <s v="PROD2"/>
        <s v="PROD48"/>
        <s v="PROD51"/>
        <s v="PROD52"/>
        <s v="PROD57"/>
        <s v="PROD61"/>
        <s v="PROD68"/>
        <s v="PROD7"/>
        <s v="PROD76"/>
        <s v="PROD80"/>
        <s v="PROD9"/>
        <s v="PROD93"/>
        <s v="PROD98"/>
        <s v="PROD4"/>
        <s v="PROD41"/>
        <s v="PROD59"/>
        <s v="PROD0"/>
        <s v="PROD29"/>
      </sharedItems>
    </cacheField>
    <cacheField name="Order_Date" numFmtId="164">
      <sharedItems containsSemiMixedTypes="0" containsNonDate="0" containsDate="1" containsString="0" minDate="2023-10-14T00:00:00" maxDate="2025-10-14T00:00:00" count="681">
        <d v="2024-02-16T00:00:00"/>
        <d v="2023-10-15T00:00:00"/>
        <d v="2025-06-24T00:00:00"/>
        <d v="2025-01-04T00:00:00"/>
        <d v="2025-05-03T00:00:00"/>
        <d v="2024-07-08T00:00:00"/>
        <d v="2023-12-21T00:00:00"/>
        <d v="2024-07-02T00:00:00"/>
        <d v="2025-06-01T00:00:00"/>
        <d v="2024-10-17T00:00:00"/>
        <d v="2024-07-28T00:00:00"/>
        <d v="2024-08-21T00:00:00"/>
        <d v="2024-07-22T00:00:00"/>
        <d v="2024-10-29T00:00:00"/>
        <d v="2024-01-17T00:00:00"/>
        <d v="2025-05-24T00:00:00"/>
        <d v="2025-02-18T00:00:00"/>
        <d v="2025-02-07T00:00:00"/>
        <d v="2023-12-12T00:00:00"/>
        <d v="2024-09-29T00:00:00"/>
        <d v="2025-05-02T00:00:00"/>
        <d v="2025-05-06T00:00:00"/>
        <d v="2024-12-18T00:00:00"/>
        <d v="2025-07-31T00:00:00"/>
        <d v="2025-04-06T00:00:00"/>
        <d v="2025-04-30T00:00:00"/>
        <d v="2023-11-21T00:00:00"/>
        <d v="2025-09-16T00:00:00"/>
        <d v="2024-11-10T00:00:00"/>
        <d v="2024-10-26T00:00:00"/>
        <d v="2025-05-26T00:00:00"/>
        <d v="2024-10-23T00:00:00"/>
        <d v="2024-09-07T00:00:00"/>
        <d v="2023-12-25T00:00:00"/>
        <d v="2024-06-03T00:00:00"/>
        <d v="2025-03-29T00:00:00"/>
        <d v="2025-03-09T00:00:00"/>
        <d v="2024-12-20T00:00:00"/>
        <d v="2025-06-04T00:00:00"/>
        <d v="2025-10-04T00:00:00"/>
        <d v="2025-03-02T00:00:00"/>
        <d v="2025-01-12T00:00:00"/>
        <d v="2024-07-21T00:00:00"/>
        <d v="2024-11-24T00:00:00"/>
        <d v="2025-10-10T00:00:00"/>
        <d v="2025-03-15T00:00:00"/>
        <d v="2024-01-20T00:00:00"/>
        <d v="2025-03-26T00:00:00"/>
        <d v="2025-07-22T00:00:00"/>
        <d v="2025-02-21T00:00:00"/>
        <d v="2025-04-09T00:00:00"/>
        <d v="2025-08-24T00:00:00"/>
        <d v="2025-03-14T00:00:00"/>
        <d v="2025-01-16T00:00:00"/>
        <d v="2024-10-14T00:00:00"/>
        <d v="2023-11-14T00:00:00"/>
        <d v="2024-03-09T00:00:00"/>
        <d v="2024-01-22T00:00:00"/>
        <d v="2023-11-01T00:00:00"/>
        <d v="2025-03-13T00:00:00"/>
        <d v="2023-11-08T00:00:00"/>
        <d v="2023-10-23T00:00:00"/>
        <d v="2025-07-25T00:00:00"/>
        <d v="2024-05-12T00:00:00"/>
        <d v="2024-05-21T00:00:00"/>
        <d v="2025-02-09T00:00:00"/>
        <d v="2025-10-06T00:00:00"/>
        <d v="2024-04-13T00:00:00"/>
        <d v="2023-12-18T00:00:00"/>
        <d v="2024-12-13T00:00:00"/>
        <d v="2024-07-13T00:00:00"/>
        <d v="2025-01-24T00:00:00"/>
        <d v="2025-05-15T00:00:00"/>
        <d v="2025-03-20T00:00:00"/>
        <d v="2024-08-22T00:00:00"/>
        <d v="2024-02-23T00:00:00"/>
        <d v="2025-04-08T00:00:00"/>
        <d v="2025-08-09T00:00:00"/>
        <d v="2024-02-06T00:00:00"/>
        <d v="2025-04-18T00:00:00"/>
        <d v="2025-03-22T00:00:00"/>
        <d v="2025-07-16T00:00:00"/>
        <d v="2023-10-26T00:00:00"/>
        <d v="2025-08-26T00:00:00"/>
        <d v="2024-04-20T00:00:00"/>
        <d v="2025-07-06T00:00:00"/>
        <d v="2025-08-18T00:00:00"/>
        <d v="2024-01-25T00:00:00"/>
        <d v="2025-03-04T00:00:00"/>
        <d v="2025-06-15T00:00:00"/>
        <d v="2025-09-24T00:00:00"/>
        <d v="2024-05-11T00:00:00"/>
        <d v="2024-08-01T00:00:00"/>
        <d v="2025-09-21T00:00:00"/>
        <d v="2024-01-21T00:00:00"/>
        <d v="2023-11-19T00:00:00"/>
        <d v="2025-07-10T00:00:00"/>
        <d v="2025-08-02T00:00:00"/>
        <d v="2023-11-02T00:00:00"/>
        <d v="2024-01-08T00:00:00"/>
        <d v="2024-10-27T00:00:00"/>
        <d v="2025-07-17T00:00:00"/>
        <d v="2024-02-01T00:00:00"/>
        <d v="2025-04-24T00:00:00"/>
        <d v="2024-01-13T00:00:00"/>
        <d v="2025-04-26T00:00:00"/>
        <d v="2025-03-01T00:00:00"/>
        <d v="2023-11-25T00:00:00"/>
        <d v="2025-02-03T00:00:00"/>
        <d v="2025-07-13T00:00:00"/>
        <d v="2024-05-18T00:00:00"/>
        <d v="2024-11-04T00:00:00"/>
        <d v="2024-12-21T00:00:00"/>
        <d v="2024-05-13T00:00:00"/>
        <d v="2025-01-29T00:00:00"/>
        <d v="2025-07-11T00:00:00"/>
        <d v="2025-10-03T00:00:00"/>
        <d v="2024-10-04T00:00:00"/>
        <d v="2024-10-07T00:00:00"/>
        <d v="2024-04-03T00:00:00"/>
        <d v="2024-08-30T00:00:00"/>
        <d v="2025-08-20T00:00:00"/>
        <d v="2024-02-11T00:00:00"/>
        <d v="2024-02-12T00:00:00"/>
        <d v="2025-02-28T00:00:00"/>
        <d v="2025-10-02T00:00:00"/>
        <d v="2025-04-03T00:00:00"/>
        <d v="2024-09-18T00:00:00"/>
        <d v="2024-11-23T00:00:00"/>
        <d v="2025-05-16T00:00:00"/>
        <d v="2023-12-15T00:00:00"/>
        <d v="2025-03-05T00:00:00"/>
        <d v="2024-07-01T00:00:00"/>
        <d v="2024-06-04T00:00:00"/>
        <d v="2023-11-05T00:00:00"/>
        <d v="2025-05-19T00:00:00"/>
        <d v="2024-12-07T00:00:00"/>
        <d v="2024-03-20T00:00:00"/>
        <d v="2023-11-10T00:00:00"/>
        <d v="2023-10-16T00:00:00"/>
        <d v="2024-12-15T00:00:00"/>
        <d v="2024-01-29T00:00:00"/>
        <d v="2024-03-14T00:00:00"/>
        <d v="2024-12-11T00:00:00"/>
        <d v="2024-09-21T00:00:00"/>
        <d v="2024-11-12T00:00:00"/>
        <d v="2023-12-24T00:00:00"/>
        <d v="2024-12-05T00:00:00"/>
        <d v="2023-12-19T00:00:00"/>
        <d v="2025-07-01T00:00:00"/>
        <d v="2024-11-14T00:00:00"/>
        <d v="2025-08-04T00:00:00"/>
        <d v="2024-10-18T00:00:00"/>
        <d v="2025-02-23T00:00:00"/>
        <d v="2025-05-30T00:00:00"/>
        <d v="2025-07-04T00:00:00"/>
        <d v="2025-01-03T00:00:00"/>
        <d v="2024-08-14T00:00:00"/>
        <d v="2024-01-15T00:00:00"/>
        <d v="2024-07-25T00:00:00"/>
        <d v="2024-02-14T00:00:00"/>
        <d v="2025-01-08T00:00:00"/>
        <d v="2025-03-07T00:00:00"/>
        <d v="2025-06-09T00:00:00"/>
        <d v="2025-10-13T00:00:00"/>
        <d v="2025-03-08T00:00:00"/>
        <d v="2025-02-05T00:00:00"/>
        <d v="2025-02-22T00:00:00"/>
        <d v="2025-05-29T00:00:00"/>
        <d v="2025-04-25T00:00:00"/>
        <d v="2024-06-25T00:00:00"/>
        <d v="2024-09-23T00:00:00"/>
        <d v="2025-08-14T00:00:00"/>
        <d v="2024-10-12T00:00:00"/>
        <d v="2024-11-19T00:00:00"/>
        <d v="2024-05-01T00:00:00"/>
        <d v="2024-10-15T00:00:00"/>
        <d v="2025-04-27T00:00:00"/>
        <d v="2025-08-07T00:00:00"/>
        <d v="2024-03-29T00:00:00"/>
        <d v="2024-05-16T00:00:00"/>
        <d v="2024-01-31T00:00:00"/>
        <d v="2023-12-08T00:00:00"/>
        <d v="2024-11-22T00:00:00"/>
        <d v="2025-05-01T00:00:00"/>
        <d v="2024-08-19T00:00:00"/>
        <d v="2024-03-28T00:00:00"/>
        <d v="2025-05-22T00:00:00"/>
        <d v="2025-09-14T00:00:00"/>
        <d v="2025-09-29T00:00:00"/>
        <d v="2024-05-23T00:00:00"/>
        <d v="2025-08-21T00:00:00"/>
        <d v="2024-11-05T00:00:00"/>
        <d v="2024-04-27T00:00:00"/>
        <d v="2024-02-09T00:00:00"/>
        <d v="2025-05-12T00:00:00"/>
        <d v="2024-07-11T00:00:00"/>
        <d v="2024-06-05T00:00:00"/>
        <d v="2023-11-29T00:00:00"/>
        <d v="2024-06-09T00:00:00"/>
        <d v="2025-09-17T00:00:00"/>
        <d v="2024-09-22T00:00:00"/>
        <d v="2024-04-12T00:00:00"/>
        <d v="2024-07-14T00:00:00"/>
        <d v="2024-05-26T00:00:00"/>
        <d v="2023-12-10T00:00:00"/>
        <d v="2024-10-01T00:00:00"/>
        <d v="2024-02-05T00:00:00"/>
        <d v="2025-07-26T00:00:00"/>
        <d v="2025-09-06T00:00:00"/>
        <d v="2024-07-20T00:00:00"/>
        <d v="2024-09-08T00:00:00"/>
        <d v="2025-08-23T00:00:00"/>
        <d v="2024-10-02T00:00:00"/>
        <d v="2025-01-22T00:00:00"/>
        <d v="2025-05-20T00:00:00"/>
        <d v="2023-10-24T00:00:00"/>
        <d v="2025-08-06T00:00:00"/>
        <d v="2025-03-28T00:00:00"/>
        <d v="2025-06-22T00:00:00"/>
        <d v="2025-02-06T00:00:00"/>
        <d v="2024-04-23T00:00:00"/>
        <d v="2024-05-15T00:00:00"/>
        <d v="2024-06-17T00:00:00"/>
        <d v="2023-12-07T00:00:00"/>
        <d v="2024-07-24T00:00:00"/>
        <d v="2025-04-22T00:00:00"/>
        <d v="2025-04-10T00:00:00"/>
        <d v="2024-01-02T00:00:00"/>
        <d v="2024-04-22T00:00:00"/>
        <d v="2023-10-31T00:00:00"/>
        <d v="2024-10-24T00:00:00"/>
        <d v="2025-06-06T00:00:00"/>
        <d v="2024-08-07T00:00:00"/>
        <d v="2025-07-09T00:00:00"/>
        <d v="2025-06-02T00:00:00"/>
        <d v="2025-04-11T00:00:00"/>
        <d v="2024-02-04T00:00:00"/>
        <d v="2024-06-14T00:00:00"/>
        <d v="2024-04-15T00:00:00"/>
        <d v="2024-12-22T00:00:00"/>
        <d v="2024-09-17T00:00:00"/>
        <d v="2025-01-31T00:00:00"/>
        <d v="2023-11-20T00:00:00"/>
        <d v="2024-06-27T00:00:00"/>
        <d v="2024-11-09T00:00:00"/>
        <d v="2024-06-23T00:00:00"/>
        <d v="2024-03-16T00:00:00"/>
        <d v="2024-09-12T00:00:00"/>
        <d v="2024-05-22T00:00:00"/>
        <d v="2024-08-20T00:00:00"/>
        <d v="2024-12-28T00:00:00"/>
        <d v="2025-07-30T00:00:00"/>
        <d v="2024-04-14T00:00:00"/>
        <d v="2024-08-29T00:00:00"/>
        <d v="2024-08-12T00:00:00"/>
        <d v="2024-12-14T00:00:00"/>
        <d v="2024-03-10T00:00:00"/>
        <d v="2025-09-09T00:00:00"/>
        <d v="2023-10-28T00:00:00"/>
        <d v="2024-11-30T00:00:00"/>
        <d v="2024-06-07T00:00:00"/>
        <d v="2024-12-31T00:00:00"/>
        <d v="2024-07-07T00:00:00"/>
        <d v="2025-05-18T00:00:00"/>
        <d v="2024-05-17T00:00:00"/>
        <d v="2024-06-01T00:00:00"/>
        <d v="2025-04-17T00:00:00"/>
        <d v="2024-03-02T00:00:00"/>
        <d v="2024-05-20T00:00:00"/>
        <d v="2024-11-18T00:00:00"/>
        <d v="2024-09-11T00:00:00"/>
        <d v="2023-10-18T00:00:00"/>
        <d v="2024-11-11T00:00:00"/>
        <d v="2025-02-14T00:00:00"/>
        <d v="2024-07-09T00:00:00"/>
        <d v="2025-01-14T00:00:00"/>
        <d v="2025-08-29T00:00:00"/>
        <d v="2025-05-17T00:00:00"/>
        <d v="2025-01-21T00:00:00"/>
        <d v="2025-03-24T00:00:00"/>
        <d v="2025-01-06T00:00:00"/>
        <d v="2024-10-31T00:00:00"/>
        <d v="2024-02-08T00:00:00"/>
        <d v="2024-09-28T00:00:00"/>
        <d v="2024-10-10T00:00:00"/>
        <d v="2024-04-06T00:00:00"/>
        <d v="2023-11-27T00:00:00"/>
        <d v="2024-02-21T00:00:00"/>
        <d v="2023-10-14T00:00:00"/>
        <d v="2024-02-13T00:00:00"/>
        <d v="2025-01-27T00:00:00"/>
        <d v="2024-01-18T00:00:00"/>
        <d v="2025-04-16T00:00:00"/>
        <d v="2024-02-07T00:00:00"/>
        <d v="2023-11-26T00:00:00"/>
        <d v="2024-01-10T00:00:00"/>
        <d v="2025-04-28T00:00:00"/>
        <d v="2024-01-01T00:00:00"/>
        <d v="2024-11-06T00:00:00"/>
        <d v="2024-02-22T00:00:00"/>
        <d v="2023-12-14T00:00:00"/>
        <d v="2024-03-08T00:00:00"/>
        <d v="2023-12-20T00:00:00"/>
        <d v="2024-01-27T00:00:00"/>
        <d v="2024-06-29T00:00:00"/>
        <d v="2025-08-15T00:00:00"/>
        <d v="2025-08-11T00:00:00"/>
        <d v="2025-07-12T00:00:00"/>
        <d v="2024-09-20T00:00:00"/>
        <d v="2024-05-19T00:00:00"/>
        <d v="2025-04-12T00:00:00"/>
        <d v="2024-07-04T00:00:00"/>
        <d v="2024-10-25T00:00:00"/>
        <d v="2025-06-23T00:00:00"/>
        <d v="2024-09-03T00:00:00"/>
        <d v="2024-12-30T00:00:00"/>
        <d v="2025-01-05T00:00:00"/>
        <d v="2024-07-29T00:00:00"/>
        <d v="2024-10-28T00:00:00"/>
        <d v="2025-08-28T00:00:00"/>
        <d v="2024-05-06T00:00:00"/>
        <d v="2024-02-19T00:00:00"/>
        <d v="2024-10-08T00:00:00"/>
        <d v="2023-12-13T00:00:00"/>
        <d v="2024-10-11T00:00:00"/>
        <d v="2025-04-13T00:00:00"/>
        <d v="2024-11-29T00:00:00"/>
        <d v="2025-04-15T00:00:00"/>
        <d v="2024-11-28T00:00:00"/>
        <d v="2024-07-16T00:00:00"/>
        <d v="2024-12-23T00:00:00"/>
        <d v="2024-01-19T00:00:00"/>
        <d v="2025-07-15T00:00:00"/>
        <d v="2025-03-19T00:00:00"/>
        <d v="2025-09-27T00:00:00"/>
        <d v="2024-04-10T00:00:00"/>
        <d v="2025-07-05T00:00:00"/>
        <d v="2024-03-31T00:00:00"/>
        <d v="2025-09-30T00:00:00"/>
        <d v="2025-03-23T00:00:00"/>
        <d v="2024-07-27T00:00:00"/>
        <d v="2024-03-22T00:00:00"/>
        <d v="2025-06-21T00:00:00"/>
        <d v="2025-07-02T00:00:00"/>
        <d v="2025-06-13T00:00:00"/>
        <d v="2025-03-21T00:00:00"/>
        <d v="2024-09-10T00:00:00"/>
        <d v="2024-07-31T00:00:00"/>
        <d v="2025-05-08T00:00:00"/>
        <d v="2024-10-13T00:00:00"/>
        <d v="2024-06-10T00:00:00"/>
        <d v="2025-04-01T00:00:00"/>
        <d v="2024-09-26T00:00:00"/>
        <d v="2024-02-03T00:00:00"/>
        <d v="2024-03-27T00:00:00"/>
        <d v="2025-04-14T00:00:00"/>
        <d v="2023-12-05T00:00:00"/>
        <d v="2025-01-17T00:00:00"/>
        <d v="2023-11-12T00:00:00"/>
        <d v="2025-01-09T00:00:00"/>
        <d v="2025-05-27T00:00:00"/>
        <d v="2025-01-19T00:00:00"/>
        <d v="2025-01-20T00:00:00"/>
        <d v="2025-01-15T00:00:00"/>
        <d v="2024-10-03T00:00:00"/>
        <d v="2024-03-03T00:00:00"/>
        <d v="2025-10-09T00:00:00"/>
        <d v="2025-07-29T00:00:00"/>
        <d v="2024-03-18T00:00:00"/>
        <d v="2023-11-17T00:00:00"/>
        <d v="2025-07-07T00:00:00"/>
        <d v="2025-03-30T00:00:00"/>
        <d v="2023-10-21T00:00:00"/>
        <d v="2025-06-16T00:00:00"/>
        <d v="2024-09-04T00:00:00"/>
        <d v="2025-09-15T00:00:00"/>
        <d v="2025-09-12T00:00:00"/>
        <d v="2024-05-03T00:00:00"/>
        <d v="2024-02-18T00:00:00"/>
        <d v="2025-03-10T00:00:00"/>
        <d v="2025-02-10T00:00:00"/>
        <d v="2025-02-17T00:00:00"/>
        <d v="2024-07-18T00:00:00"/>
        <d v="2025-06-08T00:00:00"/>
        <d v="2024-08-16T00:00:00"/>
        <d v="2024-08-26T00:00:00"/>
        <d v="2024-07-05T00:00:00"/>
        <d v="2024-03-24T00:00:00"/>
        <d v="2025-05-11T00:00:00"/>
        <d v="2025-09-26T00:00:00"/>
        <d v="2024-01-05T00:00:00"/>
        <d v="2025-08-31T00:00:00"/>
        <d v="2024-12-09T00:00:00"/>
        <d v="2025-09-10T00:00:00"/>
        <d v="2024-12-01T00:00:00"/>
        <d v="2024-04-25T00:00:00"/>
        <d v="2025-03-06T00:00:00"/>
        <d v="2025-03-17T00:00:00"/>
        <d v="2023-11-06T00:00:00"/>
        <d v="2025-01-07T00:00:00"/>
        <d v="2024-03-12T00:00:00"/>
        <d v="2025-01-18T00:00:00"/>
        <d v="2023-12-04T00:00:00"/>
        <d v="2024-08-17T00:00:00"/>
        <d v="2025-10-08T00:00:00"/>
        <d v="2024-02-25T00:00:00"/>
        <d v="2025-06-14T00:00:00"/>
        <d v="2024-03-01T00:00:00"/>
        <d v="2024-06-22T00:00:00"/>
        <d v="2025-05-21T00:00:00"/>
        <d v="2024-02-24T00:00:00"/>
        <d v="2024-06-19T00:00:00"/>
        <d v="2025-09-05T00:00:00"/>
        <d v="2024-06-02T00:00:00"/>
        <d v="2024-11-07T00:00:00"/>
        <d v="2024-04-18T00:00:00"/>
        <d v="2024-02-26T00:00:00"/>
        <d v="2024-12-03T00:00:00"/>
        <d v="2024-03-21T00:00:00"/>
        <d v="2025-10-12T00:00:00"/>
        <d v="2023-11-11T00:00:00"/>
        <d v="2024-09-14T00:00:00"/>
        <d v="2024-09-19T00:00:00"/>
        <d v="2025-04-29T00:00:00"/>
        <d v="2025-06-03T00:00:00"/>
        <d v="2025-06-05T00:00:00"/>
        <d v="2023-12-09T00:00:00"/>
        <d v="2024-04-05T00:00:00"/>
        <d v="2024-05-29T00:00:00"/>
        <d v="2024-05-14T00:00:00"/>
        <d v="2024-02-27T00:00:00"/>
        <d v="2024-03-25T00:00:00"/>
        <d v="2025-08-03T00:00:00"/>
        <d v="2024-11-21T00:00:00"/>
        <d v="2023-11-03T00:00:00"/>
        <d v="2023-12-22T00:00:00"/>
        <d v="2025-05-04T00:00:00"/>
        <d v="2025-04-05T00:00:00"/>
        <d v="2025-03-11T00:00:00"/>
        <d v="2024-01-04T00:00:00"/>
        <d v="2024-09-06T00:00:00"/>
        <d v="2024-09-01T00:00:00"/>
        <d v="2025-08-01T00:00:00"/>
        <d v="2024-08-02T00:00:00"/>
        <d v="2023-11-23T00:00:00"/>
        <d v="2025-02-12T00:00:00"/>
        <d v="2025-07-23T00:00:00"/>
        <d v="2024-07-06T00:00:00"/>
        <d v="2025-08-08T00:00:00"/>
        <d v="2024-09-16T00:00:00"/>
        <d v="2023-11-09T00:00:00"/>
        <d v="2024-01-11T00:00:00"/>
        <d v="2024-08-23T00:00:00"/>
        <d v="2023-12-16T00:00:00"/>
        <d v="2025-01-25T00:00:00"/>
        <d v="2025-05-10T00:00:00"/>
        <d v="2024-06-11T00:00:00"/>
        <d v="2024-08-18T00:00:00"/>
        <d v="2025-08-17T00:00:00"/>
        <d v="2024-10-30T00:00:00"/>
        <d v="2024-10-21T00:00:00"/>
        <d v="2025-05-23T00:00:00"/>
        <d v="2024-12-26T00:00:00"/>
        <d v="2023-11-04T00:00:00"/>
        <d v="2025-02-16T00:00:00"/>
        <d v="2024-06-08T00:00:00"/>
        <d v="2024-04-02T00:00:00"/>
        <d v="2025-02-04T00:00:00"/>
        <d v="2024-09-09T00:00:00"/>
        <d v="2025-06-19T00:00:00"/>
        <d v="2025-03-18T00:00:00"/>
        <d v="2024-11-02T00:00:00"/>
        <d v="2024-08-06T00:00:00"/>
        <d v="2024-08-28T00:00:00"/>
        <d v="2025-08-25T00:00:00"/>
        <d v="2024-01-16T00:00:00"/>
        <d v="2024-03-23T00:00:00"/>
        <d v="2025-07-18T00:00:00"/>
        <d v="2025-08-16T00:00:00"/>
        <d v="2024-09-13T00:00:00"/>
        <d v="2025-06-29T00:00:00"/>
        <d v="2025-05-09T00:00:00"/>
        <d v="2024-12-27T00:00:00"/>
        <d v="2025-03-25T00:00:00"/>
        <d v="2025-09-22T00:00:00"/>
        <d v="2025-03-12T00:00:00"/>
        <d v="2024-08-27T00:00:00"/>
        <d v="2025-09-25T00:00:00"/>
        <d v="2024-03-04T00:00:00"/>
        <d v="2024-06-26T00:00:00"/>
        <d v="2023-12-27T00:00:00"/>
        <d v="2024-11-26T00:00:00"/>
        <d v="2025-09-03T00:00:00"/>
        <d v="2025-09-04T00:00:00"/>
        <d v="2024-04-30T00:00:00"/>
        <d v="2024-02-17T00:00:00"/>
        <d v="2024-12-24T00:00:00"/>
        <d v="2025-04-07T00:00:00"/>
        <d v="2024-12-12T00:00:00"/>
        <d v="2025-08-13T00:00:00"/>
        <d v="2024-12-02T00:00:00"/>
        <d v="2024-10-05T00:00:00"/>
        <d v="2024-10-06T00:00:00"/>
        <d v="2024-04-07T00:00:00"/>
        <d v="2025-09-28T00:00:00"/>
        <d v="2024-01-28T00:00:00"/>
        <d v="2025-02-25T00:00:00"/>
        <d v="2024-04-26T00:00:00"/>
        <d v="2025-08-12T00:00:00"/>
        <d v="2024-08-11T00:00:00"/>
        <d v="2024-06-24T00:00:00"/>
        <d v="2024-01-03T00:00:00"/>
        <d v="2025-01-02T00:00:00"/>
        <d v="2025-06-26T00:00:00"/>
        <d v="2024-08-04T00:00:00"/>
        <d v="2024-06-16T00:00:00"/>
        <d v="2025-09-18T00:00:00"/>
        <d v="2024-09-24T00:00:00"/>
        <d v="2025-09-11T00:00:00"/>
        <d v="2024-07-17T00:00:00"/>
        <d v="2024-03-19T00:00:00"/>
        <d v="2024-04-29T00:00:00"/>
        <d v="2024-01-09T00:00:00"/>
        <d v="2024-05-08T00:00:00"/>
        <d v="2024-07-12T00:00:00"/>
        <d v="2024-03-05T00:00:00"/>
        <d v="2023-10-19T00:00:00"/>
        <d v="2023-12-30T00:00:00"/>
        <d v="2024-06-30T00:00:00"/>
        <d v="2024-01-24T00:00:00"/>
        <d v="2025-01-10T00:00:00"/>
        <d v="2024-11-15T00:00:00"/>
        <d v="2025-04-02T00:00:00"/>
        <d v="2025-06-17T00:00:00"/>
        <d v="2024-04-08T00:00:00"/>
        <d v="2023-10-25T00:00:00"/>
        <d v="2024-11-25T00:00:00"/>
        <d v="2023-12-28T00:00:00"/>
        <d v="2025-08-22T00:00:00"/>
        <d v="2023-11-07T00:00:00"/>
        <d v="2025-01-01T00:00:00"/>
        <d v="2025-10-11T00:00:00"/>
        <d v="2024-06-15T00:00:00"/>
        <d v="2024-07-10T00:00:00"/>
        <d v="2025-04-23T00:00:00"/>
        <d v="2024-04-01T00:00:00"/>
        <d v="2024-08-31T00:00:00"/>
        <d v="2024-07-26T00:00:00"/>
        <d v="2025-07-20T00:00:00"/>
        <d v="2024-05-31T00:00:00"/>
        <d v="2025-07-24T00:00:00"/>
        <d v="2024-05-10T00:00:00"/>
        <d v="2024-07-19T00:00:00"/>
        <d v="2024-06-06T00:00:00"/>
        <d v="2024-11-20T00:00:00"/>
        <d v="2023-10-30T00:00:00"/>
        <d v="2024-05-25T00:00:00"/>
        <d v="2024-03-06T00:00:00"/>
        <d v="2025-07-03T00:00:00"/>
        <d v="2024-07-30T00:00:00"/>
        <d v="2023-12-29T00:00:00"/>
        <d v="2024-08-09T00:00:00"/>
        <d v="2023-12-03T00:00:00"/>
        <d v="2024-02-15T00:00:00"/>
        <d v="2025-02-13T00:00:00"/>
        <d v="2023-10-20T00:00:00"/>
        <d v="2024-11-27T00:00:00"/>
        <d v="2024-04-24T00:00:00"/>
        <d v="2024-09-27T00:00:00"/>
        <d v="2024-08-03T00:00:00"/>
        <d v="2023-10-17T00:00:00"/>
        <d v="2025-08-10T00:00:00"/>
        <d v="2025-02-11T00:00:00"/>
        <d v="2025-09-13T00:00:00"/>
        <d v="2025-05-13T00:00:00"/>
        <d v="2023-11-13T00:00:00"/>
        <d v="2024-10-16T00:00:00"/>
        <d v="2025-06-11T00:00:00"/>
        <d v="2023-11-24T00:00:00"/>
        <d v="2024-01-06T00:00:00"/>
        <d v="2024-12-29T00:00:00"/>
        <d v="2025-02-27T00:00:00"/>
        <d v="2025-09-23T00:00:00"/>
        <d v="2024-04-19T00:00:00"/>
        <d v="2025-07-19T00:00:00"/>
        <d v="2024-08-25T00:00:00"/>
        <d v="2024-01-23T00:00:00"/>
        <d v="2025-09-19T00:00:00"/>
        <d v="2023-11-28T00:00:00"/>
        <d v="2025-04-19T00:00:00"/>
        <d v="2025-08-30T00:00:00"/>
        <d v="2025-05-07T00:00:00"/>
        <d v="2025-02-24T00:00:00"/>
        <d v="2024-11-17T00:00:00"/>
        <d v="2024-06-13T00:00:00"/>
        <d v="2023-12-01T00:00:00"/>
        <d v="2024-04-04T00:00:00"/>
        <d v="2025-01-26T00:00:00"/>
        <d v="2025-05-14T00:00:00"/>
        <d v="2024-09-25T00:00:00"/>
        <d v="2023-10-29T00:00:00"/>
        <d v="2025-05-28T00:00:00"/>
        <d v="2025-01-28T00:00:00"/>
        <d v="2024-10-22T00:00:00"/>
        <d v="2024-03-26T00:00:00"/>
        <d v="2023-12-26T00:00:00"/>
        <d v="2025-02-08T00:00:00"/>
        <d v="2024-02-10T00:00:00"/>
        <d v="2024-08-05T00:00:00"/>
        <d v="2024-06-18T00:00:00"/>
        <d v="2024-12-16T00:00:00"/>
        <d v="2023-11-18T00:00:00"/>
        <d v="2023-12-11T00:00:00"/>
        <d v="2025-10-05T00:00:00"/>
        <d v="2025-06-10T00:00:00"/>
        <d v="2025-09-07T00:00:00"/>
        <d v="2025-09-02T00:00:00"/>
        <d v="2025-06-07T00:00:00"/>
        <d v="2024-08-13T00:00:00"/>
        <d v="2025-08-05T00:00:00"/>
        <d v="2025-03-03T00:00:00"/>
        <d v="2025-01-11T00:00:00"/>
        <d v="2024-05-28T00:00:00"/>
        <d v="2024-02-28T00:00:00"/>
        <d v="2024-08-24T00:00:00"/>
        <d v="2023-12-31T00:00:00"/>
        <d v="2024-06-12T00:00:00"/>
        <d v="2024-03-13T00:00:00"/>
        <d v="2023-12-06T00:00:00"/>
        <d v="2024-11-13T00:00:00"/>
        <d v="2024-07-23T00:00:00"/>
        <d v="2024-12-25T00:00:00"/>
        <d v="2025-02-01T00:00:00"/>
        <d v="2025-01-13T00:00:00"/>
        <d v="2024-05-09T00:00:00"/>
        <d v="2025-02-02T00:00:00"/>
        <d v="2025-08-19T00:00:00"/>
        <d v="2023-11-22T00:00:00"/>
        <d v="2025-07-21T00:00:00"/>
        <d v="2024-09-30T00:00:00"/>
        <d v="2025-06-28T00:00:00"/>
        <d v="2025-04-20T00:00:00"/>
        <d v="2024-01-12T00:00:00"/>
        <d v="2024-08-10T00:00:00"/>
        <d v="2025-09-08T00:00:00"/>
        <d v="2023-10-22T00:00:00"/>
        <d v="2025-01-30T00:00:00"/>
        <d v="2024-03-11T00:00:00"/>
        <d v="2024-05-04T00:00:00"/>
        <d v="2024-08-15T00:00:00"/>
        <d v="2024-10-19T00:00:00"/>
        <d v="2024-01-30T00:00:00"/>
        <d v="2025-06-30T00:00:00"/>
        <d v="2024-03-17T00:00:00"/>
        <d v="2024-12-06T00:00:00"/>
        <d v="2023-11-30T00:00:00"/>
        <d v="2023-12-23T00:00:00"/>
        <d v="2024-12-19T00:00:00"/>
        <d v="2024-02-29T00:00:00"/>
        <d v="2023-12-17T00:00:00"/>
        <d v="2025-07-08T00:00:00"/>
        <d v="2025-07-28T00:00:00"/>
        <d v="2024-06-28T00:00:00"/>
        <d v="2024-01-14T00:00:00"/>
        <d v="2024-12-04T00:00:00"/>
        <d v="2025-06-18T00:00:00"/>
        <d v="2024-07-15T00:00:00"/>
        <d v="2024-08-08T00:00:00"/>
        <d v="2025-03-31T00:00:00"/>
        <d v="2024-11-01T00:00:00"/>
        <d v="2024-04-17T00:00:00"/>
        <d v="2024-05-02T00:00:00"/>
        <d v="2024-04-16T00:00:00"/>
        <d v="2024-10-09T00:00:00"/>
        <d v="2024-09-02T00:00:00"/>
        <d v="2024-12-10T00:00:00"/>
        <d v="2024-01-26T00:00:00"/>
        <d v="2025-04-21T00:00:00"/>
        <d v="2025-02-20T00:00:00"/>
        <d v="2025-04-04T00:00:00"/>
      </sharedItems>
      <fieldGroup par="17"/>
    </cacheField>
    <cacheField name="Customer_ID" numFmtId="0">
      <sharedItems count="492">
        <s v="CUST1390"/>
        <s v="CUST1023"/>
        <s v="CUST1115"/>
        <s v="CUST1466"/>
        <s v="CUST1200"/>
        <s v="CUST1351"/>
        <s v="CUST1032"/>
        <s v="CUST1035"/>
        <s v="CUST1169"/>
        <s v="CUST1389"/>
        <s v="CUST1240"/>
        <s v="CUST1131"/>
        <s v="CUST1379"/>
        <s v="CUST1051"/>
        <s v="CUST1213"/>
        <s v="CUST1402"/>
        <s v="CUST1159"/>
        <s v="CUST1045"/>
        <s v="CUST1254"/>
        <s v="CUST1165"/>
        <s v="CUST1443"/>
        <s v="CUST1257"/>
        <s v="CUST1167"/>
        <s v="CUST1464"/>
        <s v="CUST1396"/>
        <s v="CUST1420"/>
        <s v="CUST1243"/>
        <s v="CUST1076"/>
        <s v="CUST1493"/>
        <s v="CUST1197"/>
        <s v="CUST1219"/>
        <s v="CUST1183"/>
        <s v="CUST1030"/>
        <s v="CUST1457"/>
        <s v="CUST1112"/>
        <s v="CUST1164"/>
        <s v="CUST1294"/>
        <s v="CUST1492"/>
        <s v="CUST1049"/>
        <s v="CUST1081"/>
        <s v="CUST1346"/>
        <s v="CUST1021"/>
        <s v="CUST1113"/>
        <s v="CUST1132"/>
        <s v="CUST1319"/>
        <s v="CUST1328"/>
        <s v="CUST1287"/>
        <s v="CUST1335"/>
        <s v="CUST1127"/>
        <s v="CUST1250"/>
        <s v="CUST1363"/>
        <s v="CUST1322"/>
        <s v="CUST1005"/>
        <s v="CUST1128"/>
        <s v="CUST1181"/>
        <s v="CUST1082"/>
        <s v="CUST1156"/>
        <s v="CUST1329"/>
        <s v="CUST1154"/>
        <s v="CUST1001"/>
        <s v="CUST1276"/>
        <s v="CUST1058"/>
        <s v="CUST1409"/>
        <s v="CUST1216"/>
        <s v="CUST1451"/>
        <s v="CUST1124"/>
        <s v="CUST1373"/>
        <s v="CUST1316"/>
        <s v="CUST1484"/>
        <s v="CUST1317"/>
        <s v="CUST1286"/>
        <s v="CUST1176"/>
        <s v="CUST1261"/>
        <s v="CUST1362"/>
        <s v="CUST1007"/>
        <s v="CUST1119"/>
        <s v="CUST1305"/>
        <s v="CUST1233"/>
        <s v="CUST1245"/>
        <s v="CUST1214"/>
        <s v="CUST1260"/>
        <s v="CUST1239"/>
        <s v="CUST1326"/>
        <s v="CUST1100"/>
        <s v="CUST1232"/>
        <s v="CUST1433"/>
        <s v="CUST1480"/>
        <s v="CUST1187"/>
        <s v="CUST1024"/>
        <s v="CUST1470"/>
        <s v="CUST1406"/>
        <s v="CUST1040"/>
        <s v="CUST1143"/>
        <s v="CUST1191"/>
        <s v="CUST1357"/>
        <s v="CUST1065"/>
        <s v="CUST1439"/>
        <s v="CUST1172"/>
        <s v="CUST1059"/>
        <s v="CUST1278"/>
        <s v="CUST1013"/>
        <s v="CUST1399"/>
        <s v="CUST1103"/>
        <s v="CUST1455"/>
        <s v="CUST1251"/>
        <s v="CUST1486"/>
        <s v="CUST1330"/>
        <s v="CUST1140"/>
        <s v="CUST1114"/>
        <s v="CUST1089"/>
        <s v="CUST1320"/>
        <s v="CUST1036"/>
        <s v="CUST1471"/>
        <s v="CUST1441"/>
        <s v="CUST1168"/>
        <s v="CUST1104"/>
        <s v="CUST1210"/>
        <s v="CUST1147"/>
        <s v="CUST1467"/>
        <s v="CUST1019"/>
        <s v="CUST1108"/>
        <s v="CUST1221"/>
        <s v="CUST1241"/>
        <s v="CUST1096"/>
        <s v="CUST1461"/>
        <s v="CUST1490"/>
        <s v="CUST1149"/>
        <s v="CUST1388"/>
        <s v="CUST1246"/>
        <s v="CUST1094"/>
        <s v="CUST1479"/>
        <s v="CUST1229"/>
        <s v="CUST1344"/>
        <s v="CUST1110"/>
        <s v="CUST1134"/>
        <s v="CUST1242"/>
        <s v="CUST1381"/>
        <s v="CUST1299"/>
        <s v="CUST1296"/>
        <s v="CUST1468"/>
        <s v="CUST1312"/>
        <s v="CUST1265"/>
        <s v="CUST1095"/>
        <s v="CUST1359"/>
        <s v="CUST1146"/>
        <s v="CUST1397"/>
        <s v="CUST1153"/>
        <s v="CUST1377"/>
        <s v="CUST1489"/>
        <s v="CUST1122"/>
        <s v="CUST1163"/>
        <s v="CUST1371"/>
        <s v="CUST1327"/>
        <s v="CUST1405"/>
        <s v="CUST1195"/>
        <s v="CUST1376"/>
        <s v="CUST1337"/>
        <s v="CUST1249"/>
        <s v="CUST1310"/>
        <s v="CUST1044"/>
        <s v="CUST1259"/>
        <s v="CUST1384"/>
        <s v="CUST1264"/>
        <s v="CUST1375"/>
        <s v="CUST1255"/>
        <s v="CUST1483"/>
        <s v="CUST1201"/>
        <s v="CUST1273"/>
        <s v="CUST1408"/>
        <s v="CUST1348"/>
        <s v="CUST1161"/>
        <s v="CUST1307"/>
        <s v="CUST1323"/>
        <s v="CUST1107"/>
        <s v="CUST1306"/>
        <s v="CUST1244"/>
        <s v="CUST1392"/>
        <s v="CUST1355"/>
        <s v="CUST1262"/>
        <s v="CUST1334"/>
        <s v="CUST1133"/>
        <s v="CUST1148"/>
        <s v="CUST1274"/>
        <s v="CUST1383"/>
        <s v="CUST1378"/>
        <s v="CUST1416"/>
        <s v="CUST1155"/>
        <s v="CUST1369"/>
        <s v="CUST1426"/>
        <s v="CUST1198"/>
        <s v="CUST1437"/>
        <s v="CUST1476"/>
        <s v="CUST1343"/>
        <s v="CUST1188"/>
        <s v="CUST1372"/>
        <s v="CUST1109"/>
        <s v="CUST1171"/>
        <s v="CUST1425"/>
        <s v="CUST1041"/>
        <s v="CUST1067"/>
        <s v="CUST1066"/>
        <s v="CUST1235"/>
        <s v="CUST1166"/>
        <s v="CUST1342"/>
        <s v="CUST1462"/>
        <s v="CUST1449"/>
        <s v="CUST1174"/>
        <s v="CUST1485"/>
        <s v="CUST1075"/>
        <s v="CUST1144"/>
        <s v="CUST1314"/>
        <s v="CUST1145"/>
        <s v="CUST1025"/>
        <s v="CUST1178"/>
        <s v="CUST1142"/>
        <s v="CUST1055"/>
        <s v="CUST1092"/>
        <s v="CUST1478"/>
        <s v="CUST1496"/>
        <s v="CUST1284"/>
        <s v="CUST1105"/>
        <s v="CUST1477"/>
        <s v="CUST1008"/>
        <s v="CUST1365"/>
        <s v="CUST1052"/>
        <s v="CUST1050"/>
        <s v="CUST1349"/>
        <s v="CUST1212"/>
        <s v="CUST1062"/>
        <s v="CUST1060"/>
        <s v="CUST1474"/>
        <s v="CUST1414"/>
        <s v="CUST1130"/>
        <s v="CUST1341"/>
        <s v="CUST1252"/>
        <s v="CUST1135"/>
        <s v="CUST1037"/>
        <s v="CUST1364"/>
        <s v="CUST1031"/>
        <s v="CUST1175"/>
        <s v="CUST1162"/>
        <s v="CUST1054"/>
        <s v="CUST1093"/>
        <s v="CUST1280"/>
        <s v="CUST1121"/>
        <s v="CUST1450"/>
        <s v="CUST1042"/>
        <s v="CUST1230"/>
        <s v="CUST1279"/>
        <s v="CUST1028"/>
        <s v="CUST1029"/>
        <s v="CUST1367"/>
        <s v="CUST1129"/>
        <s v="CUST1027"/>
        <s v="CUST1304"/>
        <s v="CUST1491"/>
        <s v="CUST1301"/>
        <s v="CUST1057"/>
        <s v="CUST1102"/>
        <s v="CUST1292"/>
        <s v="CUST1173"/>
        <s v="CUST1308"/>
        <s v="CUST1072"/>
        <s v="CUST1056"/>
        <s v="CUST1498"/>
        <s v="CUST1101"/>
        <s v="CUST1266"/>
        <s v="CUST1033"/>
        <s v="CUST1472"/>
        <s v="CUST1179"/>
        <s v="CUST1303"/>
        <s v="CUST1360"/>
        <s v="CUST1053"/>
        <s v="CUST1211"/>
        <s v="CUST1043"/>
        <s v="CUST1495"/>
        <s v="CUST1203"/>
        <s v="CUST1064"/>
        <s v="CUST1391"/>
        <s v="CUST1099"/>
        <s v="CUST1412"/>
        <s v="CUST1087"/>
        <s v="CUST1356"/>
        <s v="CUST1098"/>
        <s v="CUST1438"/>
        <s v="CUST1192"/>
        <s v="CUST1275"/>
        <s v="CUST1077"/>
        <s v="CUST1311"/>
        <s v="CUST1488"/>
        <s v="CUST1097"/>
        <s v="CUST1126"/>
        <s v="CUST1223"/>
        <s v="CUST1428"/>
        <s v="CUST1194"/>
        <s v="CUST1199"/>
        <s v="CUST1332"/>
        <s v="CUST1084"/>
        <s v="CUST1206"/>
        <s v="CUST1435"/>
        <s v="CUST1220"/>
        <s v="CUST1152"/>
        <s v="CUST1204"/>
        <s v="CUST1432"/>
        <s v="CUST1120"/>
        <s v="CUST1298"/>
        <s v="CUST1422"/>
        <s v="CUST1026"/>
        <s v="CUST1258"/>
        <s v="CUST1189"/>
        <s v="CUST1202"/>
        <s v="CUST1080"/>
        <s v="CUST1494"/>
        <s v="CUST1309"/>
        <s v="CUST1271"/>
        <s v="CUST1285"/>
        <s v="CUST1253"/>
        <s v="CUST1012"/>
        <s v="CUST1417"/>
        <s v="CUST1048"/>
        <s v="CUST1380"/>
        <s v="CUST1358"/>
        <s v="CUST1009"/>
        <s v="CUST1283"/>
        <s v="CUST1160"/>
        <s v="CUST1017"/>
        <s v="CUST1430"/>
        <s v="CUST1497"/>
        <s v="CUST1456"/>
        <s v="CUST1231"/>
        <s v="CUST1141"/>
        <s v="CUST1003"/>
        <s v="CUST1463"/>
        <s v="CUST1236"/>
        <s v="CUST1234"/>
        <s v="CUST1015"/>
        <s v="CUST1368"/>
        <s v="CUST1458"/>
        <s v="CUST1453"/>
        <s v="CUST1180"/>
        <s v="CUST1382"/>
        <s v="CUST1068"/>
        <s v="CUST1300"/>
        <s v="CUST1177"/>
        <s v="CUST1482"/>
        <s v="CUST1350"/>
        <s v="CUST1269"/>
        <s v="CUST1398"/>
        <s v="CUST1481"/>
        <s v="CUST1090"/>
        <s v="CUST1385"/>
        <s v="CUST1226"/>
        <s v="CUST1047"/>
        <s v="CUST1354"/>
        <s v="CUST1413"/>
        <s v="CUST1336"/>
        <s v="CUST1361"/>
        <s v="CUST1071"/>
        <s v="CUST1208"/>
        <s v="CUST1424"/>
        <s v="CUST1410"/>
        <s v="CUST1182"/>
        <s v="CUST1150"/>
        <s v="CUST1123"/>
        <s v="CUST1338"/>
        <s v="CUST1034"/>
        <s v="CUST1411"/>
        <s v="CUST1270"/>
        <s v="CUST1046"/>
        <s v="CUST1170"/>
        <s v="CUST1421"/>
        <s v="CUST1394"/>
        <s v="CUST1136"/>
        <s v="CUST1139"/>
        <s v="CUST1078"/>
        <s v="CUST1469"/>
        <s v="CUST1209"/>
        <s v="CUST1459"/>
        <s v="CUST1352"/>
        <s v="CUST1446"/>
        <s v="CUST1288"/>
        <s v="CUST1401"/>
        <s v="CUST1277"/>
        <s v="CUST1407"/>
        <s v="CUST1137"/>
        <s v="CUST1018"/>
        <s v="CUST1400"/>
        <s v="CUST1315"/>
        <s v="CUST1039"/>
        <s v="CUST1423"/>
        <s v="CUST1196"/>
        <s v="CUST1070"/>
        <s v="CUST1347"/>
        <s v="CUST1404"/>
        <s v="CUST1418"/>
        <s v="CUST1445"/>
        <s v="CUST1370"/>
        <s v="CUST1442"/>
        <s v="CUST1020"/>
        <s v="CUST1325"/>
        <s v="CUST1118"/>
        <s v="CUST1000"/>
        <s v="CUST1004"/>
        <s v="CUST1106"/>
        <s v="CUST1138"/>
        <s v="CUST1016"/>
        <s v="CUST1006"/>
        <s v="CUST1431"/>
        <s v="CUST1073"/>
        <s v="CUST1069"/>
        <s v="CUST1116"/>
        <s v="CUST1011"/>
        <s v="CUST1184"/>
        <s v="CUST1447"/>
        <s v="CUST1247"/>
        <s v="CUST1224"/>
        <s v="CUST1473"/>
        <s v="CUST1427"/>
        <s v="CUST1353"/>
        <s v="CUST1185"/>
        <s v="CUST1282"/>
        <s v="CUST1366"/>
        <s v="CUST1002"/>
        <s v="CUST1222"/>
        <s v="CUST1440"/>
        <s v="CUST1345"/>
        <s v="CUST1228"/>
        <s v="CUST1263"/>
        <s v="CUST1403"/>
        <s v="CUST1151"/>
        <s v="CUST1010"/>
        <s v="CUST1248"/>
        <s v="CUST1091"/>
        <s v="CUST1238"/>
        <s v="CUST1436"/>
        <s v="CUST1454"/>
        <s v="CUST1125"/>
        <s v="CUST1218"/>
        <s v="CUST1281"/>
        <s v="CUST1190"/>
        <s v="CUST1321"/>
        <s v="CUST1085"/>
        <s v="CUST1217"/>
        <s v="CUST1237"/>
        <s v="CUST1215"/>
        <s v="CUST1272"/>
        <s v="CUST1061"/>
        <s v="CUST1186"/>
        <s v="CUST1193"/>
        <s v="CUST1434"/>
        <s v="CUST1499"/>
        <s v="CUST1452"/>
        <s v="CUST1117"/>
        <s v="CUST1205"/>
        <s v="CUST1297"/>
        <s v="CUST1022"/>
        <s v="CUST1225"/>
        <s v="CUST1339"/>
        <s v="CUST1014"/>
        <s v="CUST1331"/>
        <s v="CUST1444"/>
        <s v="CUST1448"/>
        <s v="CUST1293"/>
        <s v="CUST1393"/>
        <s v="CUST1333"/>
        <s v="CUST1207"/>
        <s v="CUST1460"/>
        <s v="CUST1088"/>
        <s v="CUST1079"/>
        <s v="CUST1256"/>
        <s v="CUST1415"/>
        <s v="CUST1475"/>
        <s v="CUST1387"/>
        <s v="CUST1074"/>
        <s v="CUST1111"/>
        <s v="CUST1340"/>
        <s v="CUST1157"/>
        <s v="CUST1038"/>
        <s v="CUST1318"/>
        <s v="CUST1324"/>
        <s v="CUST1083"/>
        <s v="CUST1289"/>
        <s v="CUST1086"/>
        <s v="CUST1313"/>
        <s v="CUST1227"/>
        <s v="CUST1291"/>
        <s v="CUST1158"/>
        <s v="CUST1302"/>
        <s v="CUST1419"/>
        <s v="CUST1268"/>
        <s v="CUST1465"/>
        <s v="CUST1295"/>
      </sharedItems>
    </cacheField>
    <cacheField name="Brand" numFmtId="0">
      <sharedItems count="100">
        <s v="Gibson, Hobbs and Weaver"/>
        <s v="Rice LLC"/>
        <s v="Luna, Anderson and Bowman"/>
        <s v="Erickson-Green"/>
        <s v="Ford, Murphy and Wilson"/>
        <s v="Guerra-Hendrix"/>
        <s v="May-Reese"/>
        <s v="Soto-Ellis"/>
        <s v="Gardner-Montes"/>
        <s v="Flores, Pineda and Rodriguez"/>
        <s v="Brown and Sons"/>
        <s v="Reed-Schmidt"/>
        <s v="Khan, Jones and Paul"/>
        <s v="Burns-Hansen"/>
        <s v="Pineda Ltd"/>
        <s v="Weiss-Watson"/>
        <s v="Lucero LLC"/>
        <s v="Jones LLC"/>
        <s v="Smith-Mills"/>
        <s v="Hogan-Lee"/>
        <s v="Sims-Smith"/>
        <s v="Cummings and Sons"/>
        <s v="Taylor-Hart"/>
        <s v="Holmes LLC"/>
        <s v="Bridges, Banks and Cummings"/>
        <s v="Kelly, Smith and Perez"/>
        <s v="Cook Inc"/>
        <s v="Sullivan and Sons"/>
        <s v="Baldwin, Garza and Gonzalez"/>
        <s v="Smith-King"/>
        <s v="Thompson-French"/>
        <s v="Hatfield, Baird and Torres"/>
        <s v="Hernandez, Kennedy and Porter"/>
        <s v="Shepherd-Gould"/>
        <s v="Davidson PLC"/>
        <s v="Murray, Gould and Ware"/>
        <s v="Anderson-Riley"/>
        <s v="Zhang Inc"/>
        <s v="Torres, Spencer and Potter"/>
        <s v="Flores-Davis"/>
        <s v="Fitzpatrick Ltd"/>
        <s v="Duran Group"/>
        <s v="Davis PLC"/>
        <s v="French Ltd"/>
        <s v="Bruce-Bowen"/>
        <s v="Poole PLC"/>
        <s v="Robinson-Brown"/>
        <s v="Reese-Watson"/>
        <s v="Butler Group"/>
        <s v="Richardson-Carrillo"/>
        <s v="Taylor, Dodson and Johnston"/>
        <s v="Aguilar, Horton and Lewis"/>
        <s v="Olsen-Daniels"/>
        <s v="Taylor-Elliott"/>
        <s v="Sharp, Taylor and Rodriguez"/>
        <s v="Smith-Charles"/>
        <s v="Green, Powell and Palmer"/>
        <s v="Hoffman-Williams"/>
        <s v="Wilson Group"/>
        <s v="Phillips and Sons"/>
        <s v="Hamilton Group"/>
        <s v="Dawson-Perkins"/>
        <s v="Thomas LLC"/>
        <s v="Moon, Mora and Santos"/>
        <s v="Cook Ltd"/>
        <s v="Stevens, Fernandez and Martin"/>
        <s v="Nolan-Snow"/>
        <s v="Griffin Ltd"/>
        <s v="Robinson Inc"/>
        <s v="Cox Inc"/>
        <s v="Hamilton, Woods and Walker"/>
        <s v="Gibson, Green and Lopez"/>
        <s v="Montgomery, Benton and Miller"/>
        <s v="Hopkins Ltd"/>
        <s v="White, Reeves and Woods"/>
        <s v="Hernandez Inc"/>
        <s v="Ramirez-Hanson"/>
        <s v="Perez-Johnston"/>
        <s v="Collins-Stephenson"/>
        <s v="Khan LLC"/>
        <s v="Campbell Ltd"/>
        <s v="Terry-Moore"/>
        <s v="Sims Inc"/>
        <s v="Byrd, Stewart and Valdez"/>
        <s v="Bautista, Green and Hale"/>
        <s v="Harris Inc"/>
        <s v="Atkinson, Camacho and Oliver"/>
        <s v="Lopez LLC"/>
        <s v="Wolfe, Ross and Hester"/>
        <s v="Harrell LLC"/>
        <s v="Larson Ltd"/>
        <s v="Allison Ltd"/>
        <s v="Hill PLC"/>
        <s v="Martin LLC"/>
        <s v="Flores-King"/>
        <s v="Gonzales-Davis"/>
        <s v="Carroll, Long and Mendoza"/>
        <s v="Cline-Mccarthy"/>
        <s v="Hunt Inc"/>
        <s v="Hoffman Group"/>
      </sharedItems>
    </cacheField>
    <cacheField name="Category" numFmtId="0">
      <sharedItems count="5">
        <s v="Electronics"/>
        <s v="Beauty"/>
        <s v="Home"/>
        <s v="Sports"/>
        <s v="Clothing"/>
      </sharedItems>
    </cacheField>
    <cacheField name="Quantity" numFmtId="0">
      <sharedItems containsSemiMixedTypes="0" containsString="0" containsNumber="1" minValue="1" maxValue="4"/>
    </cacheField>
    <cacheField name="Unit_Price" numFmtId="0">
      <sharedItems containsSemiMixedTypes="0" containsString="0" containsNumber="1" minValue="20.09" maxValue="999.89"/>
    </cacheField>
    <cacheField name="Discount" numFmtId="0">
      <sharedItems containsSemiMixedTypes="0" containsString="0" containsNumber="1" minValue="0" maxValue="0.87"/>
    </cacheField>
    <cacheField name="Total_Amount" numFmtId="43">
      <sharedItems containsSemiMixedTypes="0" containsString="0" containsNumber="1" minValue="18.459" maxValue="3908.2428"/>
    </cacheField>
    <cacheField name="Payment_Type" numFmtId="0">
      <sharedItems/>
    </cacheField>
    <cacheField name="Gender" numFmtId="0">
      <sharedItems count="2">
        <s v="Male"/>
        <s v="Female"/>
      </sharedItems>
    </cacheField>
    <cacheField name="Country" numFmtId="0">
      <sharedItems count="1">
        <s v="USA"/>
      </sharedItems>
    </cacheField>
    <cacheField name="Loyalty_Level" numFmtId="0">
      <sharedItems count="5">
        <s v="Silver"/>
        <s v="Platinum"/>
        <s v="Bronze"/>
        <s v="Gold"/>
        <s v="UNKNOWN"/>
      </sharedItems>
    </cacheField>
    <cacheField name="Months (Order_Date)" numFmtId="0" databaseField="0">
      <fieldGroup base="3">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3">
        <rangePr groupBy="quarters" startDate="2023-10-14T00:00:00" endDate="2025-10-14T00:00:00"/>
        <groupItems count="6">
          <s v="&lt;14-10-2023"/>
          <s v="Qtr1"/>
          <s v="Qtr2"/>
          <s v="Qtr3"/>
          <s v="Qtr4"/>
          <s v="&gt;14-10-2025"/>
        </groupItems>
      </fieldGroup>
    </cacheField>
    <cacheField name="Years (Order_Date)" numFmtId="0" databaseField="0">
      <fieldGroup base="3">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792309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4">
  <r>
    <x v="0"/>
    <x v="0"/>
    <s v="PROD12"/>
    <d v="2023-10-15T00:00:00"/>
    <s v="CUST1023"/>
    <s v="Rice LLC"/>
    <x v="0"/>
    <n v="1"/>
    <x v="0"/>
    <n v="0.1"/>
    <x v="0"/>
  </r>
  <r>
    <x v="0"/>
    <x v="1"/>
    <s v="PROD12"/>
    <d v="2025-06-24T00:00:00"/>
    <s v="CUST1115"/>
    <s v="Rice LLC"/>
    <x v="0"/>
    <n v="1"/>
    <x v="1"/>
    <n v="0.16"/>
    <x v="1"/>
  </r>
  <r>
    <x v="0"/>
    <x v="2"/>
    <s v="PROD12"/>
    <d v="2025-01-04T00:00:00"/>
    <s v="CUST1466"/>
    <s v="Rice LLC"/>
    <x v="0"/>
    <n v="2"/>
    <x v="2"/>
    <n v="0.2"/>
    <x v="2"/>
  </r>
  <r>
    <x v="0"/>
    <x v="3"/>
    <s v="PROD14"/>
    <d v="2025-05-03T00:00:00"/>
    <s v="CUST1200"/>
    <s v="Luna, Anderson and Bowman"/>
    <x v="1"/>
    <n v="4"/>
    <x v="3"/>
    <n v="0.28000000000000003"/>
    <x v="3"/>
  </r>
  <r>
    <x v="0"/>
    <x v="4"/>
    <s v="PROD14"/>
    <d v="2024-07-08T00:00:00"/>
    <s v="CUST1351"/>
    <s v="Luna, Anderson and Bowman"/>
    <x v="1"/>
    <n v="2"/>
    <x v="4"/>
    <n v="0.12"/>
    <x v="4"/>
  </r>
  <r>
    <x v="0"/>
    <x v="5"/>
    <s v="PROD16"/>
    <d v="2023-12-21T00:00:00"/>
    <s v="CUST1032"/>
    <s v="Erickson-Green"/>
    <x v="0"/>
    <n v="1"/>
    <x v="5"/>
    <n v="0.06"/>
    <x v="5"/>
  </r>
  <r>
    <x v="0"/>
    <x v="6"/>
    <s v="PROD16"/>
    <d v="2024-07-02T00:00:00"/>
    <s v="CUST1035"/>
    <s v="Erickson-Green"/>
    <x v="0"/>
    <n v="3"/>
    <x v="6"/>
    <n v="0.03"/>
    <x v="6"/>
  </r>
  <r>
    <x v="0"/>
    <x v="7"/>
    <s v="PROD17"/>
    <d v="2025-06-01T00:00:00"/>
    <s v="CUST1169"/>
    <s v="Ford, Murphy and Wilson"/>
    <x v="2"/>
    <n v="4"/>
    <x v="7"/>
    <n v="0.19"/>
    <x v="7"/>
  </r>
  <r>
    <x v="0"/>
    <x v="8"/>
    <s v="PROD17"/>
    <d v="2024-10-17T00:00:00"/>
    <s v="CUST1389"/>
    <s v="Ford, Murphy and Wilson"/>
    <x v="2"/>
    <n v="1"/>
    <x v="8"/>
    <n v="0.25"/>
    <x v="8"/>
  </r>
  <r>
    <x v="0"/>
    <x v="9"/>
    <s v="PROD18"/>
    <d v="2024-07-28T00:00:00"/>
    <s v="CUST1240"/>
    <s v="Guerra-Hendrix"/>
    <x v="3"/>
    <n v="1"/>
    <x v="9"/>
    <n v="0.13"/>
    <x v="9"/>
  </r>
  <r>
    <x v="0"/>
    <x v="10"/>
    <s v="PROD19"/>
    <d v="2024-08-21T00:00:00"/>
    <s v="CUST1131"/>
    <s v="May-Reese"/>
    <x v="2"/>
    <n v="1"/>
    <x v="10"/>
    <n v="0.28999999999999998"/>
    <x v="10"/>
  </r>
  <r>
    <x v="0"/>
    <x v="11"/>
    <s v="PROD20"/>
    <d v="2024-07-22T00:00:00"/>
    <s v="CUST1379"/>
    <s v="Soto-Ellis"/>
    <x v="2"/>
    <n v="4"/>
    <x v="11"/>
    <n v="0.25"/>
    <x v="11"/>
  </r>
  <r>
    <x v="0"/>
    <x v="12"/>
    <s v="PROD21"/>
    <d v="2024-10-29T00:00:00"/>
    <s v="CUST1051"/>
    <s v="Gardner-Montes"/>
    <x v="1"/>
    <n v="1"/>
    <x v="12"/>
    <n v="0.18"/>
    <x v="12"/>
  </r>
  <r>
    <x v="0"/>
    <x v="13"/>
    <s v="PROD21"/>
    <d v="2024-01-17T00:00:00"/>
    <s v="CUST1213"/>
    <s v="Gardner-Montes"/>
    <x v="1"/>
    <n v="4"/>
    <x v="13"/>
    <n v="0.12"/>
    <x v="13"/>
  </r>
  <r>
    <x v="0"/>
    <x v="14"/>
    <s v="PROD21"/>
    <d v="2025-05-24T00:00:00"/>
    <s v="CUST1402"/>
    <s v="Gardner-Montes"/>
    <x v="1"/>
    <n v="2"/>
    <x v="14"/>
    <n v="0.13"/>
    <x v="14"/>
  </r>
  <r>
    <x v="0"/>
    <x v="15"/>
    <s v="PROD22"/>
    <d v="2025-02-18T00:00:00"/>
    <s v="CUST1159"/>
    <s v="Flores, Pineda and Rodriguez"/>
    <x v="2"/>
    <n v="1"/>
    <x v="15"/>
    <n v="0.03"/>
    <x v="15"/>
  </r>
  <r>
    <x v="0"/>
    <x v="16"/>
    <s v="PROD25"/>
    <d v="2025-02-07T00:00:00"/>
    <s v="CUST1045"/>
    <s v="Brown and Sons"/>
    <x v="3"/>
    <n v="2"/>
    <x v="16"/>
    <n v="0.01"/>
    <x v="16"/>
  </r>
  <r>
    <x v="0"/>
    <x v="17"/>
    <s v="PROD26"/>
    <d v="2023-12-12T00:00:00"/>
    <s v="CUST1254"/>
    <s v="Reed-Schmidt"/>
    <x v="4"/>
    <n v="2"/>
    <x v="17"/>
    <n v="0.11"/>
    <x v="17"/>
  </r>
  <r>
    <x v="0"/>
    <x v="18"/>
    <s v="PROD27"/>
    <d v="2024-09-29T00:00:00"/>
    <s v="CUST1165"/>
    <s v="Khan, Jones and Paul"/>
    <x v="1"/>
    <n v="3"/>
    <x v="18"/>
    <n v="0.13"/>
    <x v="18"/>
  </r>
  <r>
    <x v="0"/>
    <x v="19"/>
    <s v="PROD27"/>
    <d v="2025-05-02T00:00:00"/>
    <s v="CUST1443"/>
    <s v="Khan, Jones and Paul"/>
    <x v="1"/>
    <n v="1"/>
    <x v="19"/>
    <n v="0.19"/>
    <x v="19"/>
  </r>
  <r>
    <x v="0"/>
    <x v="20"/>
    <s v="PROD28"/>
    <d v="2025-05-06T00:00:00"/>
    <s v="CUST1257"/>
    <s v="Burns-Hansen"/>
    <x v="2"/>
    <n v="1"/>
    <x v="20"/>
    <n v="0.19"/>
    <x v="20"/>
  </r>
  <r>
    <x v="0"/>
    <x v="21"/>
    <s v="PROD3"/>
    <d v="2024-12-18T00:00:00"/>
    <s v="CUST1167"/>
    <s v="Pineda Ltd"/>
    <x v="3"/>
    <n v="3"/>
    <x v="21"/>
    <n v="0.05"/>
    <x v="21"/>
  </r>
  <r>
    <x v="0"/>
    <x v="22"/>
    <s v="PROD33"/>
    <d v="2025-07-31T00:00:00"/>
    <s v="CUST1464"/>
    <s v="Weiss-Watson"/>
    <x v="1"/>
    <n v="2"/>
    <x v="22"/>
    <n v="0.23"/>
    <x v="22"/>
  </r>
  <r>
    <x v="0"/>
    <x v="23"/>
    <s v="PROD34"/>
    <d v="2025-04-06T00:00:00"/>
    <s v="CUST1396"/>
    <s v="Lucero LLC"/>
    <x v="4"/>
    <n v="4"/>
    <x v="23"/>
    <n v="0.02"/>
    <x v="23"/>
  </r>
  <r>
    <x v="0"/>
    <x v="24"/>
    <s v="PROD34"/>
    <d v="2025-04-30T00:00:00"/>
    <s v="CUST1420"/>
    <s v="Lucero LLC"/>
    <x v="4"/>
    <n v="1"/>
    <x v="24"/>
    <n v="0.28999999999999998"/>
    <x v="24"/>
  </r>
  <r>
    <x v="0"/>
    <x v="25"/>
    <s v="PROD35"/>
    <d v="2023-11-21T00:00:00"/>
    <s v="CUST1243"/>
    <s v="Jones LLC"/>
    <x v="1"/>
    <n v="2"/>
    <x v="25"/>
    <n v="0.27"/>
    <x v="25"/>
  </r>
  <r>
    <x v="0"/>
    <x v="26"/>
    <s v="PROD36"/>
    <d v="2025-09-16T00:00:00"/>
    <s v="CUST1076"/>
    <s v="Smith-Mills"/>
    <x v="3"/>
    <n v="2"/>
    <x v="26"/>
    <n v="0.06"/>
    <x v="26"/>
  </r>
  <r>
    <x v="0"/>
    <x v="27"/>
    <s v="PROD36"/>
    <d v="2024-11-10T00:00:00"/>
    <s v="CUST1493"/>
    <s v="Smith-Mills"/>
    <x v="3"/>
    <n v="1"/>
    <x v="27"/>
    <n v="0.01"/>
    <x v="27"/>
  </r>
  <r>
    <x v="0"/>
    <x v="28"/>
    <s v="PROD37"/>
    <d v="2024-10-26T00:00:00"/>
    <s v="CUST1197"/>
    <s v="Hogan-Lee"/>
    <x v="3"/>
    <n v="3"/>
    <x v="28"/>
    <n v="0.02"/>
    <x v="28"/>
  </r>
  <r>
    <x v="0"/>
    <x v="29"/>
    <s v="PROD37"/>
    <d v="2025-05-26T00:00:00"/>
    <s v="CUST1219"/>
    <s v="Hogan-Lee"/>
    <x v="3"/>
    <n v="4"/>
    <x v="29"/>
    <n v="0.13"/>
    <x v="29"/>
  </r>
  <r>
    <x v="0"/>
    <x v="30"/>
    <s v="PROD38"/>
    <d v="2024-10-23T00:00:00"/>
    <s v="CUST1183"/>
    <s v="Sims-Smith"/>
    <x v="2"/>
    <n v="2"/>
    <x v="30"/>
    <n v="0.14000000000000001"/>
    <x v="30"/>
  </r>
  <r>
    <x v="0"/>
    <x v="31"/>
    <s v="PROD39"/>
    <d v="2024-09-07T00:00:00"/>
    <s v="CUST1030"/>
    <s v="Cummings and Sons"/>
    <x v="4"/>
    <n v="3"/>
    <x v="31"/>
    <n v="0.24"/>
    <x v="31"/>
  </r>
  <r>
    <x v="0"/>
    <x v="32"/>
    <s v="PROD39"/>
    <d v="2023-12-25T00:00:00"/>
    <s v="CUST1457"/>
    <s v="Cummings and Sons"/>
    <x v="4"/>
    <n v="1"/>
    <x v="32"/>
    <n v="0.15"/>
    <x v="32"/>
  </r>
  <r>
    <x v="0"/>
    <x v="33"/>
    <s v="PROD40"/>
    <d v="2024-06-03T00:00:00"/>
    <s v="CUST1112"/>
    <s v="Taylor-Hart"/>
    <x v="4"/>
    <n v="1"/>
    <x v="33"/>
    <n v="0.08"/>
    <x v="33"/>
  </r>
  <r>
    <x v="0"/>
    <x v="34"/>
    <s v="PROD42"/>
    <d v="2025-03-29T00:00:00"/>
    <s v="CUST1164"/>
    <s v="Holmes LLC"/>
    <x v="4"/>
    <n v="3"/>
    <x v="34"/>
    <n v="0.09"/>
    <x v="34"/>
  </r>
  <r>
    <x v="0"/>
    <x v="35"/>
    <s v="PROD42"/>
    <d v="2025-03-09T00:00:00"/>
    <s v="CUST1294"/>
    <s v="Holmes LLC"/>
    <x v="4"/>
    <n v="2"/>
    <x v="35"/>
    <n v="0.18"/>
    <x v="35"/>
  </r>
  <r>
    <x v="0"/>
    <x v="36"/>
    <s v="PROD42"/>
    <d v="2025-02-07T00:00:00"/>
    <s v="CUST1492"/>
    <s v="Holmes LLC"/>
    <x v="4"/>
    <n v="1"/>
    <x v="36"/>
    <n v="0.28000000000000003"/>
    <x v="36"/>
  </r>
  <r>
    <x v="0"/>
    <x v="37"/>
    <s v="PROD45"/>
    <d v="2024-12-20T00:00:00"/>
    <s v="CUST1049"/>
    <s v="Bridges, Banks and Cummings"/>
    <x v="2"/>
    <n v="2"/>
    <x v="37"/>
    <n v="0.2"/>
    <x v="37"/>
  </r>
  <r>
    <x v="0"/>
    <x v="38"/>
    <s v="PROD45"/>
    <d v="2025-06-04T00:00:00"/>
    <s v="CUST1081"/>
    <s v="Bridges, Banks and Cummings"/>
    <x v="2"/>
    <n v="2"/>
    <x v="38"/>
    <n v="0.27"/>
    <x v="38"/>
  </r>
  <r>
    <x v="0"/>
    <x v="39"/>
    <s v="PROD45"/>
    <d v="2024-07-28T00:00:00"/>
    <s v="CUST1346"/>
    <s v="Bridges, Banks and Cummings"/>
    <x v="2"/>
    <n v="3"/>
    <x v="39"/>
    <n v="0.23"/>
    <x v="39"/>
  </r>
  <r>
    <x v="0"/>
    <x v="40"/>
    <s v="PROD46"/>
    <d v="2025-10-04T00:00:00"/>
    <s v="CUST1021"/>
    <s v="Kelly, Smith and Perez"/>
    <x v="3"/>
    <n v="2"/>
    <x v="40"/>
    <n v="0.09"/>
    <x v="40"/>
  </r>
  <r>
    <x v="0"/>
    <x v="41"/>
    <s v="PROD47"/>
    <d v="2025-03-02T00:00:00"/>
    <s v="CUST1113"/>
    <s v="Cook Inc"/>
    <x v="0"/>
    <n v="1"/>
    <x v="41"/>
    <n v="0.26"/>
    <x v="41"/>
  </r>
  <r>
    <x v="0"/>
    <x v="42"/>
    <s v="PROD47"/>
    <d v="2025-01-12T00:00:00"/>
    <s v="CUST1132"/>
    <s v="Cook Inc"/>
    <x v="0"/>
    <n v="4"/>
    <x v="42"/>
    <n v="0.15"/>
    <x v="42"/>
  </r>
  <r>
    <x v="0"/>
    <x v="43"/>
    <s v="PROD49"/>
    <d v="2024-07-21T00:00:00"/>
    <s v="CUST1319"/>
    <s v="Sullivan and Sons"/>
    <x v="0"/>
    <n v="2"/>
    <x v="43"/>
    <n v="0"/>
    <x v="43"/>
  </r>
  <r>
    <x v="0"/>
    <x v="44"/>
    <s v="PROD5"/>
    <d v="2024-11-24T00:00:00"/>
    <s v="CUST1328"/>
    <s v="Baldwin, Garza and Gonzalez"/>
    <x v="3"/>
    <n v="4"/>
    <x v="44"/>
    <n v="0.05"/>
    <x v="44"/>
  </r>
  <r>
    <x v="0"/>
    <x v="45"/>
    <s v="PROD50"/>
    <d v="2025-10-10T00:00:00"/>
    <s v="CUST1287"/>
    <s v="Smith-King"/>
    <x v="2"/>
    <n v="2"/>
    <x v="45"/>
    <n v="0.18"/>
    <x v="45"/>
  </r>
  <r>
    <x v="0"/>
    <x v="46"/>
    <s v="PROD54"/>
    <d v="2025-03-15T00:00:00"/>
    <s v="CUST1335"/>
    <s v="Thompson-French"/>
    <x v="2"/>
    <n v="1"/>
    <x v="46"/>
    <n v="0.22"/>
    <x v="46"/>
  </r>
  <r>
    <x v="0"/>
    <x v="47"/>
    <s v="PROD55"/>
    <d v="2024-01-20T00:00:00"/>
    <s v="CUST1127"/>
    <s v="Hatfield, Baird and Torres"/>
    <x v="1"/>
    <n v="2"/>
    <x v="47"/>
    <n v="0.1"/>
    <x v="47"/>
  </r>
  <r>
    <x v="0"/>
    <x v="48"/>
    <s v="PROD56"/>
    <d v="2025-03-26T00:00:00"/>
    <s v="CUST1250"/>
    <s v="Hernandez, Kennedy and Porter"/>
    <x v="1"/>
    <n v="4"/>
    <x v="48"/>
    <n v="0.06"/>
    <x v="48"/>
  </r>
  <r>
    <x v="0"/>
    <x v="49"/>
    <s v="PROD56"/>
    <d v="2025-07-22T00:00:00"/>
    <s v="CUST1363"/>
    <s v="Hernandez, Kennedy and Porter"/>
    <x v="1"/>
    <n v="3"/>
    <x v="49"/>
    <n v="0.05"/>
    <x v="49"/>
  </r>
  <r>
    <x v="0"/>
    <x v="50"/>
    <s v="PROD58"/>
    <d v="2025-02-21T00:00:00"/>
    <s v="CUST1420"/>
    <s v="Shepherd-Gould"/>
    <x v="3"/>
    <n v="3"/>
    <x v="50"/>
    <n v="0.14000000000000001"/>
    <x v="50"/>
  </r>
  <r>
    <x v="0"/>
    <x v="51"/>
    <s v="PROD6"/>
    <d v="2025-04-09T00:00:00"/>
    <s v="CUST1322"/>
    <s v="Davidson PLC"/>
    <x v="0"/>
    <n v="4"/>
    <x v="51"/>
    <n v="0.28000000000000003"/>
    <x v="51"/>
  </r>
  <r>
    <x v="0"/>
    <x v="52"/>
    <s v="PROD62"/>
    <d v="2025-08-24T00:00:00"/>
    <s v="CUST1005"/>
    <s v="Murray, Gould and Ware"/>
    <x v="4"/>
    <n v="1"/>
    <x v="52"/>
    <n v="0.24"/>
    <x v="52"/>
  </r>
  <r>
    <x v="0"/>
    <x v="53"/>
    <s v="PROD62"/>
    <d v="2025-03-14T00:00:00"/>
    <s v="CUST1128"/>
    <s v="Murray, Gould and Ware"/>
    <x v="4"/>
    <n v="4"/>
    <x v="53"/>
    <n v="0.06"/>
    <x v="53"/>
  </r>
  <r>
    <x v="0"/>
    <x v="54"/>
    <s v="PROD63"/>
    <d v="2024-12-20T00:00:00"/>
    <s v="CUST1181"/>
    <s v="Anderson-Riley"/>
    <x v="0"/>
    <n v="4"/>
    <x v="54"/>
    <n v="0.16"/>
    <x v="54"/>
  </r>
  <r>
    <x v="0"/>
    <x v="55"/>
    <s v="PROD64"/>
    <d v="2025-03-14T00:00:00"/>
    <s v="CUST1082"/>
    <s v="Zhang Inc"/>
    <x v="0"/>
    <n v="2"/>
    <x v="55"/>
    <n v="0.24"/>
    <x v="55"/>
  </r>
  <r>
    <x v="0"/>
    <x v="56"/>
    <s v="PROD64"/>
    <d v="2025-01-16T00:00:00"/>
    <s v="CUST1156"/>
    <s v="Zhang Inc"/>
    <x v="0"/>
    <n v="3"/>
    <x v="56"/>
    <n v="0"/>
    <x v="56"/>
  </r>
  <r>
    <x v="0"/>
    <x v="57"/>
    <s v="PROD64"/>
    <d v="2024-10-14T00:00:00"/>
    <s v="CUST1329"/>
    <s v="Zhang Inc"/>
    <x v="0"/>
    <n v="4"/>
    <x v="57"/>
    <n v="0.05"/>
    <x v="57"/>
  </r>
  <r>
    <x v="0"/>
    <x v="58"/>
    <s v="PROD66"/>
    <d v="2023-11-14T00:00:00"/>
    <s v="CUST1154"/>
    <s v="Torres, Spencer and Potter"/>
    <x v="0"/>
    <n v="1"/>
    <x v="58"/>
    <n v="0"/>
    <x v="58"/>
  </r>
  <r>
    <x v="0"/>
    <x v="59"/>
    <s v="PROD67"/>
    <d v="2024-03-09T00:00:00"/>
    <s v="CUST1001"/>
    <s v="Flores-Davis"/>
    <x v="4"/>
    <n v="1"/>
    <x v="59"/>
    <n v="0.1"/>
    <x v="59"/>
  </r>
  <r>
    <x v="0"/>
    <x v="60"/>
    <s v="PROD67"/>
    <d v="2024-01-22T00:00:00"/>
    <s v="CUST1181"/>
    <s v="Flores-Davis"/>
    <x v="4"/>
    <n v="1"/>
    <x v="60"/>
    <n v="0.26"/>
    <x v="60"/>
  </r>
  <r>
    <x v="0"/>
    <x v="61"/>
    <s v="PROD69"/>
    <d v="2023-11-01T00:00:00"/>
    <s v="CUST1276"/>
    <s v="Fitzpatrick Ltd"/>
    <x v="3"/>
    <n v="4"/>
    <x v="61"/>
    <n v="0.08"/>
    <x v="61"/>
  </r>
  <r>
    <x v="0"/>
    <x v="62"/>
    <s v="PROD70"/>
    <d v="2025-03-13T00:00:00"/>
    <s v="CUST1058"/>
    <s v="Duran Group"/>
    <x v="1"/>
    <n v="1"/>
    <x v="62"/>
    <n v="0.05"/>
    <x v="62"/>
  </r>
  <r>
    <x v="0"/>
    <x v="63"/>
    <s v="PROD70"/>
    <d v="2023-11-08T00:00:00"/>
    <s v="CUST1409"/>
    <s v="Duran Group"/>
    <x v="1"/>
    <n v="1"/>
    <x v="63"/>
    <n v="0.01"/>
    <x v="63"/>
  </r>
  <r>
    <x v="0"/>
    <x v="64"/>
    <s v="PROD72"/>
    <d v="2023-10-23T00:00:00"/>
    <s v="CUST1216"/>
    <s v="Davis PLC"/>
    <x v="2"/>
    <n v="1"/>
    <x v="64"/>
    <n v="0.1"/>
    <x v="64"/>
  </r>
  <r>
    <x v="0"/>
    <x v="65"/>
    <s v="PROD72"/>
    <d v="2025-07-25T00:00:00"/>
    <s v="CUST1451"/>
    <s v="Davis PLC"/>
    <x v="2"/>
    <n v="2"/>
    <x v="65"/>
    <n v="0.27"/>
    <x v="65"/>
  </r>
  <r>
    <x v="0"/>
    <x v="66"/>
    <s v="PROD73"/>
    <d v="2024-05-12T00:00:00"/>
    <s v="CUST1124"/>
    <s v="French Ltd"/>
    <x v="2"/>
    <n v="1"/>
    <x v="66"/>
    <n v="0.2"/>
    <x v="66"/>
  </r>
  <r>
    <x v="0"/>
    <x v="67"/>
    <s v="PROD73"/>
    <d v="2024-05-21T00:00:00"/>
    <s v="CUST1373"/>
    <s v="French Ltd"/>
    <x v="2"/>
    <n v="3"/>
    <x v="67"/>
    <n v="0.1"/>
    <x v="67"/>
  </r>
  <r>
    <x v="0"/>
    <x v="68"/>
    <s v="PROD74"/>
    <d v="2025-02-09T00:00:00"/>
    <s v="CUST1316"/>
    <s v="Bruce-Bowen"/>
    <x v="4"/>
    <n v="1"/>
    <x v="68"/>
    <n v="0.23"/>
    <x v="68"/>
  </r>
  <r>
    <x v="0"/>
    <x v="69"/>
    <s v="PROD75"/>
    <d v="2025-10-06T00:00:00"/>
    <s v="CUST1389"/>
    <s v="Poole PLC"/>
    <x v="3"/>
    <n v="3"/>
    <x v="69"/>
    <n v="0"/>
    <x v="69"/>
  </r>
  <r>
    <x v="0"/>
    <x v="70"/>
    <s v="PROD75"/>
    <d v="2024-04-13T00:00:00"/>
    <s v="CUST1484"/>
    <s v="Poole PLC"/>
    <x v="3"/>
    <n v="1"/>
    <x v="70"/>
    <n v="0.14000000000000001"/>
    <x v="70"/>
  </r>
  <r>
    <x v="0"/>
    <x v="71"/>
    <s v="PROD81"/>
    <d v="2023-12-18T00:00:00"/>
    <s v="CUST1317"/>
    <s v="Robinson-Brown"/>
    <x v="2"/>
    <n v="2"/>
    <x v="71"/>
    <n v="0.16"/>
    <x v="71"/>
  </r>
  <r>
    <x v="0"/>
    <x v="72"/>
    <s v="PROD82"/>
    <d v="2024-12-13T00:00:00"/>
    <s v="CUST1286"/>
    <s v="Reese-Watson"/>
    <x v="2"/>
    <n v="4"/>
    <x v="72"/>
    <n v="7.0000000000000007E-2"/>
    <x v="72"/>
  </r>
  <r>
    <x v="0"/>
    <x v="73"/>
    <s v="PROD83"/>
    <d v="2024-07-13T00:00:00"/>
    <s v="CUST1176"/>
    <s v="Butler Group"/>
    <x v="0"/>
    <n v="1"/>
    <x v="73"/>
    <n v="0.24"/>
    <x v="73"/>
  </r>
  <r>
    <x v="0"/>
    <x v="74"/>
    <s v="PROD83"/>
    <d v="2025-01-24T00:00:00"/>
    <s v="CUST1261"/>
    <s v="Butler Group"/>
    <x v="0"/>
    <n v="3"/>
    <x v="74"/>
    <n v="0.02"/>
    <x v="74"/>
  </r>
  <r>
    <x v="0"/>
    <x v="75"/>
    <s v="PROD83"/>
    <d v="2025-05-15T00:00:00"/>
    <s v="CUST1362"/>
    <s v="Butler Group"/>
    <x v="0"/>
    <n v="1"/>
    <x v="75"/>
    <n v="0.26"/>
    <x v="75"/>
  </r>
  <r>
    <x v="0"/>
    <x v="76"/>
    <s v="PROD85"/>
    <d v="2025-03-20T00:00:00"/>
    <s v="CUST1007"/>
    <s v="Richardson-Carrillo"/>
    <x v="3"/>
    <n v="2"/>
    <x v="76"/>
    <n v="0.03"/>
    <x v="76"/>
  </r>
  <r>
    <x v="0"/>
    <x v="77"/>
    <s v="PROD85"/>
    <d v="2024-08-22T00:00:00"/>
    <s v="CUST1119"/>
    <s v="Richardson-Carrillo"/>
    <x v="3"/>
    <n v="3"/>
    <x v="77"/>
    <n v="0.02"/>
    <x v="77"/>
  </r>
  <r>
    <x v="0"/>
    <x v="78"/>
    <s v="PROD86"/>
    <d v="2024-02-23T00:00:00"/>
    <s v="CUST1305"/>
    <s v="Taylor, Dodson and Johnston"/>
    <x v="1"/>
    <n v="1"/>
    <x v="78"/>
    <n v="0.06"/>
    <x v="78"/>
  </r>
  <r>
    <x v="0"/>
    <x v="79"/>
    <s v="PROD87"/>
    <d v="2025-04-08T00:00:00"/>
    <s v="CUST1213"/>
    <s v="Aguilar, Horton and Lewis"/>
    <x v="1"/>
    <n v="3"/>
    <x v="79"/>
    <n v="0.08"/>
    <x v="79"/>
  </r>
  <r>
    <x v="0"/>
    <x v="80"/>
    <s v="PROD87"/>
    <d v="2025-08-09T00:00:00"/>
    <s v="CUST1493"/>
    <s v="Aguilar, Horton and Lewis"/>
    <x v="1"/>
    <n v="1"/>
    <x v="80"/>
    <n v="0.27"/>
    <x v="80"/>
  </r>
  <r>
    <x v="0"/>
    <x v="81"/>
    <s v="PROD88"/>
    <d v="2024-07-22T00:00:00"/>
    <s v="CUST1233"/>
    <s v="Olsen-Daniels"/>
    <x v="2"/>
    <n v="4"/>
    <x v="81"/>
    <n v="0.22"/>
    <x v="81"/>
  </r>
  <r>
    <x v="0"/>
    <x v="82"/>
    <s v="PROD89"/>
    <d v="2024-02-06T00:00:00"/>
    <s v="CUST1181"/>
    <s v="Taylor-Elliott"/>
    <x v="0"/>
    <n v="2"/>
    <x v="82"/>
    <n v="0.08"/>
    <x v="82"/>
  </r>
  <r>
    <x v="0"/>
    <x v="83"/>
    <s v="PROD90"/>
    <d v="2025-04-18T00:00:00"/>
    <s v="CUST1245"/>
    <s v="Sharp, Taylor and Rodriguez"/>
    <x v="4"/>
    <n v="3"/>
    <x v="83"/>
    <n v="0.3"/>
    <x v="83"/>
  </r>
  <r>
    <x v="0"/>
    <x v="84"/>
    <s v="PROD91"/>
    <d v="2025-03-22T00:00:00"/>
    <s v="CUST1214"/>
    <s v="Smith-Charles"/>
    <x v="3"/>
    <n v="3"/>
    <x v="84"/>
    <n v="0.09"/>
    <x v="84"/>
  </r>
  <r>
    <x v="0"/>
    <x v="85"/>
    <s v="PROD91"/>
    <d v="2025-07-16T00:00:00"/>
    <s v="CUST1219"/>
    <s v="Smith-Charles"/>
    <x v="3"/>
    <n v="2"/>
    <x v="85"/>
    <n v="7.0000000000000007E-2"/>
    <x v="85"/>
  </r>
  <r>
    <x v="0"/>
    <x v="86"/>
    <s v="PROD91"/>
    <d v="2023-10-26T00:00:00"/>
    <s v="CUST1260"/>
    <s v="Smith-Charles"/>
    <x v="3"/>
    <n v="4"/>
    <x v="86"/>
    <n v="0.06"/>
    <x v="86"/>
  </r>
  <r>
    <x v="0"/>
    <x v="87"/>
    <s v="PROD92"/>
    <d v="2025-08-26T00:00:00"/>
    <s v="CUST1239"/>
    <s v="Green, Powell and Palmer"/>
    <x v="1"/>
    <n v="1"/>
    <x v="87"/>
    <n v="0.27"/>
    <x v="87"/>
  </r>
  <r>
    <x v="0"/>
    <x v="88"/>
    <s v="PROD92"/>
    <d v="2024-04-20T00:00:00"/>
    <s v="CUST1326"/>
    <s v="Green, Powell and Palmer"/>
    <x v="1"/>
    <n v="1"/>
    <x v="88"/>
    <n v="0.15"/>
    <x v="88"/>
  </r>
  <r>
    <x v="0"/>
    <x v="89"/>
    <s v="PROD94"/>
    <d v="2025-07-06T00:00:00"/>
    <s v="CUST1100"/>
    <s v="Hoffman-Williams"/>
    <x v="0"/>
    <n v="2"/>
    <x v="89"/>
    <n v="0.06"/>
    <x v="89"/>
  </r>
  <r>
    <x v="0"/>
    <x v="90"/>
    <s v="PROD95"/>
    <d v="2023-11-08T00:00:00"/>
    <s v="CUST1232"/>
    <s v="Wilson Group"/>
    <x v="2"/>
    <n v="2"/>
    <x v="90"/>
    <n v="0.11"/>
    <x v="90"/>
  </r>
  <r>
    <x v="0"/>
    <x v="91"/>
    <s v="PROD96"/>
    <d v="2025-08-18T00:00:00"/>
    <s v="CUST1316"/>
    <s v="Phillips and Sons"/>
    <x v="3"/>
    <n v="3"/>
    <x v="91"/>
    <n v="0.11"/>
    <x v="91"/>
  </r>
  <r>
    <x v="1"/>
    <x v="92"/>
    <s v="PROD10"/>
    <d v="2024-01-25T00:00:00"/>
    <s v="CUST1433"/>
    <s v="Hamilton Group"/>
    <x v="1"/>
    <n v="1"/>
    <x v="92"/>
    <n v="0.03"/>
    <x v="92"/>
  </r>
  <r>
    <x v="1"/>
    <x v="93"/>
    <s v="PROD11"/>
    <d v="2025-03-04T00:00:00"/>
    <s v="CUST1480"/>
    <s v="Gibson, Hobbs and Weaver"/>
    <x v="4"/>
    <n v="4"/>
    <x v="93"/>
    <n v="0.25"/>
    <x v="93"/>
  </r>
  <r>
    <x v="1"/>
    <x v="94"/>
    <s v="PROD12"/>
    <d v="2025-06-15T00:00:00"/>
    <s v="CUST1433"/>
    <s v="Rice LLC"/>
    <x v="0"/>
    <n v="1"/>
    <x v="94"/>
    <n v="0.08"/>
    <x v="94"/>
  </r>
  <r>
    <x v="1"/>
    <x v="95"/>
    <s v="PROD13"/>
    <d v="2025-09-24T00:00:00"/>
    <s v="CUST1187"/>
    <s v="Dawson-Perkins"/>
    <x v="4"/>
    <n v="2"/>
    <x v="95"/>
    <n v="0.1"/>
    <x v="95"/>
  </r>
  <r>
    <x v="1"/>
    <x v="96"/>
    <s v="PROD14"/>
    <d v="2024-05-11T00:00:00"/>
    <s v="CUST1024"/>
    <s v="Luna, Anderson and Bowman"/>
    <x v="1"/>
    <n v="2"/>
    <x v="96"/>
    <n v="0.01"/>
    <x v="96"/>
  </r>
  <r>
    <x v="1"/>
    <x v="97"/>
    <s v="PROD15"/>
    <d v="2024-08-01T00:00:00"/>
    <s v="CUST1420"/>
    <s v="Thomas LLC"/>
    <x v="4"/>
    <n v="1"/>
    <x v="97"/>
    <n v="0.01"/>
    <x v="97"/>
  </r>
  <r>
    <x v="1"/>
    <x v="98"/>
    <s v="PROD15"/>
    <d v="2025-09-21T00:00:00"/>
    <s v="CUST1470"/>
    <s v="Thomas LLC"/>
    <x v="4"/>
    <n v="4"/>
    <x v="98"/>
    <n v="0.24"/>
    <x v="98"/>
  </r>
  <r>
    <x v="1"/>
    <x v="99"/>
    <s v="PROD16"/>
    <d v="2024-01-21T00:00:00"/>
    <s v="CUST1406"/>
    <s v="Erickson-Green"/>
    <x v="0"/>
    <n v="4"/>
    <x v="99"/>
    <n v="0.17"/>
    <x v="99"/>
  </r>
  <r>
    <x v="1"/>
    <x v="100"/>
    <s v="PROD17"/>
    <d v="2023-11-19T00:00:00"/>
    <s v="CUST1040"/>
    <s v="Ford, Murphy and Wilson"/>
    <x v="2"/>
    <n v="3"/>
    <x v="100"/>
    <n v="7.0000000000000007E-2"/>
    <x v="100"/>
  </r>
  <r>
    <x v="1"/>
    <x v="101"/>
    <s v="PROD17"/>
    <d v="2025-07-10T00:00:00"/>
    <s v="CUST1143"/>
    <s v="Ford, Murphy and Wilson"/>
    <x v="2"/>
    <n v="4"/>
    <x v="101"/>
    <n v="0.06"/>
    <x v="101"/>
  </r>
  <r>
    <x v="1"/>
    <x v="102"/>
    <s v="PROD17"/>
    <d v="2025-08-02T00:00:00"/>
    <s v="CUST1191"/>
    <s v="Ford, Murphy and Wilson"/>
    <x v="2"/>
    <n v="4"/>
    <x v="102"/>
    <n v="0.03"/>
    <x v="102"/>
  </r>
  <r>
    <x v="1"/>
    <x v="103"/>
    <s v="PROD17"/>
    <d v="2023-11-02T00:00:00"/>
    <s v="CUST1357"/>
    <s v="Ford, Murphy and Wilson"/>
    <x v="2"/>
    <n v="3"/>
    <x v="103"/>
    <n v="0.01"/>
    <x v="103"/>
  </r>
  <r>
    <x v="1"/>
    <x v="104"/>
    <s v="PROD18"/>
    <d v="2024-01-08T00:00:00"/>
    <s v="CUST1065"/>
    <s v="Guerra-Hendrix"/>
    <x v="3"/>
    <n v="1"/>
    <x v="104"/>
    <n v="0.11"/>
    <x v="104"/>
  </r>
  <r>
    <x v="1"/>
    <x v="105"/>
    <s v="PROD19"/>
    <d v="2024-10-27T00:00:00"/>
    <s v="CUST1169"/>
    <s v="May-Reese"/>
    <x v="2"/>
    <n v="3"/>
    <x v="105"/>
    <n v="0.2"/>
    <x v="105"/>
  </r>
  <r>
    <x v="1"/>
    <x v="106"/>
    <s v="PROD20"/>
    <d v="2025-07-17T00:00:00"/>
    <s v="CUST1439"/>
    <s v="Soto-Ellis"/>
    <x v="2"/>
    <n v="3"/>
    <x v="106"/>
    <n v="0.09"/>
    <x v="106"/>
  </r>
  <r>
    <x v="1"/>
    <x v="107"/>
    <s v="PROD21"/>
    <d v="2024-02-01T00:00:00"/>
    <s v="CUST1172"/>
    <s v="Gardner-Montes"/>
    <x v="1"/>
    <n v="1"/>
    <x v="107"/>
    <n v="0.09"/>
    <x v="107"/>
  </r>
  <r>
    <x v="1"/>
    <x v="108"/>
    <s v="PROD21"/>
    <d v="2025-04-24T00:00:00"/>
    <s v="CUST1328"/>
    <s v="Gardner-Montes"/>
    <x v="1"/>
    <n v="3"/>
    <x v="108"/>
    <n v="0.06"/>
    <x v="108"/>
  </r>
  <r>
    <x v="1"/>
    <x v="109"/>
    <s v="PROD23"/>
    <d v="2024-01-13T00:00:00"/>
    <s v="CUST1059"/>
    <s v="Moon, Mora and Santos"/>
    <x v="3"/>
    <n v="2"/>
    <x v="109"/>
    <n v="7.0000000000000007E-2"/>
    <x v="109"/>
  </r>
  <r>
    <x v="1"/>
    <x v="110"/>
    <s v="PROD23"/>
    <d v="2025-04-26T00:00:00"/>
    <s v="CUST1278"/>
    <s v="Moon, Mora and Santos"/>
    <x v="3"/>
    <n v="3"/>
    <x v="110"/>
    <n v="0.12"/>
    <x v="110"/>
  </r>
  <r>
    <x v="1"/>
    <x v="111"/>
    <s v="PROD24"/>
    <d v="2025-03-01T00:00:00"/>
    <s v="CUST1013"/>
    <s v="Cook Ltd"/>
    <x v="2"/>
    <n v="2"/>
    <x v="111"/>
    <n v="0.22"/>
    <x v="111"/>
  </r>
  <r>
    <x v="1"/>
    <x v="112"/>
    <s v="PROD24"/>
    <d v="2024-09-07T00:00:00"/>
    <s v="CUST1399"/>
    <s v="Cook Ltd"/>
    <x v="2"/>
    <n v="4"/>
    <x v="112"/>
    <n v="0.24"/>
    <x v="112"/>
  </r>
  <r>
    <x v="1"/>
    <x v="113"/>
    <s v="PROD26"/>
    <d v="2023-11-25T00:00:00"/>
    <s v="CUST1103"/>
    <s v="Reed-Schmidt"/>
    <x v="4"/>
    <n v="4"/>
    <x v="113"/>
    <n v="0.08"/>
    <x v="113"/>
  </r>
  <r>
    <x v="1"/>
    <x v="114"/>
    <s v="PROD28"/>
    <d v="2025-03-29T00:00:00"/>
    <s v="CUST1183"/>
    <s v="Burns-Hansen"/>
    <x v="2"/>
    <n v="3"/>
    <x v="114"/>
    <n v="0.25"/>
    <x v="114"/>
  </r>
  <r>
    <x v="1"/>
    <x v="115"/>
    <s v="PROD28"/>
    <d v="2025-05-26T00:00:00"/>
    <s v="CUST1305"/>
    <s v="Burns-Hansen"/>
    <x v="2"/>
    <n v="1"/>
    <x v="115"/>
    <n v="0.15"/>
    <x v="115"/>
  </r>
  <r>
    <x v="1"/>
    <x v="116"/>
    <s v="PROD3"/>
    <d v="2025-02-03T00:00:00"/>
    <s v="CUST1455"/>
    <s v="Pineda Ltd"/>
    <x v="3"/>
    <n v="2"/>
    <x v="116"/>
    <n v="0.12"/>
    <x v="116"/>
  </r>
  <r>
    <x v="1"/>
    <x v="117"/>
    <s v="PROD30"/>
    <d v="2024-01-13T00:00:00"/>
    <s v="CUST1251"/>
    <s v="Stevens, Fernandez and Martin"/>
    <x v="1"/>
    <n v="4"/>
    <x v="117"/>
    <n v="0.26"/>
    <x v="117"/>
  </r>
  <r>
    <x v="1"/>
    <x v="118"/>
    <s v="PROD31"/>
    <d v="2024-06-03T00:00:00"/>
    <s v="CUST1486"/>
    <s v="Nolan-Snow"/>
    <x v="2"/>
    <n v="2"/>
    <x v="118"/>
    <n v="0.04"/>
    <x v="118"/>
  </r>
  <r>
    <x v="1"/>
    <x v="119"/>
    <s v="PROD32"/>
    <d v="2025-07-13T00:00:00"/>
    <s v="CUST1076"/>
    <s v="Griffin Ltd"/>
    <x v="0"/>
    <n v="1"/>
    <x v="119"/>
    <n v="0.03"/>
    <x v="119"/>
  </r>
  <r>
    <x v="1"/>
    <x v="120"/>
    <s v="PROD33"/>
    <d v="2024-05-18T00:00:00"/>
    <s v="CUST1330"/>
    <s v="Weiss-Watson"/>
    <x v="1"/>
    <n v="1"/>
    <x v="120"/>
    <n v="0.1"/>
    <x v="120"/>
  </r>
  <r>
    <x v="1"/>
    <x v="121"/>
    <s v="PROD34"/>
    <d v="2025-04-06T00:00:00"/>
    <s v="CUST1373"/>
    <s v="Lucero LLC"/>
    <x v="4"/>
    <n v="3"/>
    <x v="121"/>
    <n v="0"/>
    <x v="121"/>
  </r>
  <r>
    <x v="1"/>
    <x v="122"/>
    <s v="PROD35"/>
    <d v="2024-11-04T00:00:00"/>
    <s v="CUST1140"/>
    <s v="Jones LLC"/>
    <x v="1"/>
    <n v="2"/>
    <x v="122"/>
    <n v="0.15"/>
    <x v="122"/>
  </r>
  <r>
    <x v="1"/>
    <x v="123"/>
    <s v="PROD37"/>
    <d v="2024-12-21T00:00:00"/>
    <s v="CUST1114"/>
    <s v="Hogan-Lee"/>
    <x v="3"/>
    <n v="1"/>
    <x v="123"/>
    <n v="0.09"/>
    <x v="123"/>
  </r>
  <r>
    <x v="1"/>
    <x v="124"/>
    <s v="PROD39"/>
    <d v="2024-05-13T00:00:00"/>
    <s v="CUST1089"/>
    <s v="Cummings and Sons"/>
    <x v="4"/>
    <n v="4"/>
    <x v="124"/>
    <n v="0.25"/>
    <x v="124"/>
  </r>
  <r>
    <x v="1"/>
    <x v="125"/>
    <s v="PROD39"/>
    <d v="2025-05-24T00:00:00"/>
    <s v="CUST1320"/>
    <s v="Cummings and Sons"/>
    <x v="4"/>
    <n v="4"/>
    <x v="125"/>
    <n v="0.17"/>
    <x v="125"/>
  </r>
  <r>
    <x v="1"/>
    <x v="126"/>
    <s v="PROD40"/>
    <d v="2025-03-20T00:00:00"/>
    <s v="CUST1023"/>
    <s v="Taylor-Hart"/>
    <x v="4"/>
    <n v="2"/>
    <x v="126"/>
    <n v="0.01"/>
    <x v="126"/>
  </r>
  <r>
    <x v="1"/>
    <x v="127"/>
    <s v="PROD40"/>
    <d v="2025-01-29T00:00:00"/>
    <s v="CUST1036"/>
    <s v="Taylor-Hart"/>
    <x v="4"/>
    <n v="3"/>
    <x v="127"/>
    <n v="0.14000000000000001"/>
    <x v="127"/>
  </r>
  <r>
    <x v="1"/>
    <x v="128"/>
    <s v="PROD43"/>
    <d v="2025-07-11T00:00:00"/>
    <s v="CUST1471"/>
    <s v="Robinson Inc"/>
    <x v="4"/>
    <n v="1"/>
    <x v="128"/>
    <n v="0.23"/>
    <x v="128"/>
  </r>
  <r>
    <x v="1"/>
    <x v="129"/>
    <s v="PROD44"/>
    <d v="2025-10-03T00:00:00"/>
    <s v="CUST1441"/>
    <s v="Cox Inc"/>
    <x v="2"/>
    <n v="4"/>
    <x v="129"/>
    <n v="0.01"/>
    <x v="129"/>
  </r>
  <r>
    <x v="1"/>
    <x v="130"/>
    <s v="PROD45"/>
    <d v="2024-10-04T00:00:00"/>
    <s v="CUST1168"/>
    <s v="Bridges, Banks and Cummings"/>
    <x v="2"/>
    <n v="3"/>
    <x v="130"/>
    <n v="0.2"/>
    <x v="130"/>
  </r>
  <r>
    <x v="1"/>
    <x v="131"/>
    <s v="PROD46"/>
    <d v="2024-10-07T00:00:00"/>
    <s v="CUST1104"/>
    <s v="Kelly, Smith and Perez"/>
    <x v="3"/>
    <n v="2"/>
    <x v="131"/>
    <n v="0.25"/>
    <x v="131"/>
  </r>
  <r>
    <x v="1"/>
    <x v="132"/>
    <s v="PROD46"/>
    <d v="2024-04-03T00:00:00"/>
    <s v="CUST1470"/>
    <s v="Kelly, Smith and Perez"/>
    <x v="3"/>
    <n v="4"/>
    <x v="132"/>
    <n v="0.05"/>
    <x v="132"/>
  </r>
  <r>
    <x v="1"/>
    <x v="133"/>
    <s v="PROD49"/>
    <d v="2024-05-21T00:00:00"/>
    <s v="CUST1210"/>
    <s v="Sullivan and Sons"/>
    <x v="0"/>
    <n v="3"/>
    <x v="133"/>
    <n v="0.1"/>
    <x v="133"/>
  </r>
  <r>
    <x v="1"/>
    <x v="134"/>
    <s v="PROD50"/>
    <d v="2025-01-04T00:00:00"/>
    <s v="CUST1168"/>
    <s v="Smith-King"/>
    <x v="2"/>
    <n v="3"/>
    <x v="134"/>
    <n v="0.22"/>
    <x v="134"/>
  </r>
  <r>
    <x v="1"/>
    <x v="135"/>
    <s v="PROD53"/>
    <d v="2024-08-30T00:00:00"/>
    <s v="CUST1147"/>
    <s v="Hamilton, Woods and Walker"/>
    <x v="3"/>
    <n v="3"/>
    <x v="135"/>
    <n v="0.15"/>
    <x v="135"/>
  </r>
  <r>
    <x v="1"/>
    <x v="136"/>
    <s v="PROD54"/>
    <d v="2025-08-20T00:00:00"/>
    <s v="CUST1007"/>
    <s v="Thompson-French"/>
    <x v="2"/>
    <n v="2"/>
    <x v="136"/>
    <n v="0.13"/>
    <x v="136"/>
  </r>
  <r>
    <x v="1"/>
    <x v="137"/>
    <s v="PROD54"/>
    <d v="2024-02-11T00:00:00"/>
    <s v="CUST1467"/>
    <s v="Thompson-French"/>
    <x v="2"/>
    <n v="1"/>
    <x v="137"/>
    <n v="0.05"/>
    <x v="137"/>
  </r>
  <r>
    <x v="1"/>
    <x v="138"/>
    <s v="PROD55"/>
    <d v="2024-02-12T00:00:00"/>
    <s v="CUST1191"/>
    <s v="Hatfield, Baird and Torres"/>
    <x v="1"/>
    <n v="1"/>
    <x v="138"/>
    <n v="0.04"/>
    <x v="138"/>
  </r>
  <r>
    <x v="1"/>
    <x v="139"/>
    <s v="PROD56"/>
    <d v="2025-02-28T00:00:00"/>
    <s v="CUST1104"/>
    <s v="Hernandez, Kennedy and Porter"/>
    <x v="1"/>
    <n v="4"/>
    <x v="139"/>
    <n v="0.28999999999999998"/>
    <x v="139"/>
  </r>
  <r>
    <x v="1"/>
    <x v="140"/>
    <s v="PROD60"/>
    <d v="2025-10-02T00:00:00"/>
    <s v="CUST1019"/>
    <s v="Gibson, Green and Lopez"/>
    <x v="0"/>
    <n v="2"/>
    <x v="140"/>
    <n v="0.24"/>
    <x v="140"/>
  </r>
  <r>
    <x v="1"/>
    <x v="141"/>
    <s v="PROD62"/>
    <d v="2025-04-03T00:00:00"/>
    <s v="CUST1108"/>
    <s v="Murray, Gould and Ware"/>
    <x v="4"/>
    <n v="4"/>
    <x v="141"/>
    <n v="0.28000000000000003"/>
    <x v="141"/>
  </r>
  <r>
    <x v="1"/>
    <x v="142"/>
    <s v="PROD62"/>
    <d v="2024-09-18T00:00:00"/>
    <s v="CUST1221"/>
    <s v="Murray, Gould and Ware"/>
    <x v="4"/>
    <n v="3"/>
    <x v="142"/>
    <n v="0.26"/>
    <x v="142"/>
  </r>
  <r>
    <x v="1"/>
    <x v="143"/>
    <s v="PROD65"/>
    <d v="2024-11-23T00:00:00"/>
    <s v="CUST1241"/>
    <s v="Montgomery, Benton and Miller"/>
    <x v="2"/>
    <n v="2"/>
    <x v="143"/>
    <n v="7.0000000000000007E-2"/>
    <x v="143"/>
  </r>
  <r>
    <x v="1"/>
    <x v="144"/>
    <s v="PROD66"/>
    <d v="2025-05-16T00:00:00"/>
    <s v="CUST1096"/>
    <s v="Torres, Spencer and Potter"/>
    <x v="0"/>
    <n v="1"/>
    <x v="144"/>
    <n v="0.19"/>
    <x v="144"/>
  </r>
  <r>
    <x v="1"/>
    <x v="145"/>
    <s v="PROD66"/>
    <d v="2025-04-09T00:00:00"/>
    <s v="CUST1461"/>
    <s v="Torres, Spencer and Potter"/>
    <x v="0"/>
    <n v="1"/>
    <x v="145"/>
    <n v="0.21"/>
    <x v="145"/>
  </r>
  <r>
    <x v="1"/>
    <x v="146"/>
    <s v="PROD67"/>
    <d v="2023-12-15T00:00:00"/>
    <s v="CUST1490"/>
    <s v="Flores-Davis"/>
    <x v="4"/>
    <n v="4"/>
    <x v="146"/>
    <n v="0.04"/>
    <x v="146"/>
  </r>
  <r>
    <x v="1"/>
    <x v="147"/>
    <s v="PROD71"/>
    <d v="2025-03-05T00:00:00"/>
    <s v="CUST1149"/>
    <s v="Hopkins Ltd"/>
    <x v="0"/>
    <n v="1"/>
    <x v="147"/>
    <n v="0.2"/>
    <x v="147"/>
  </r>
  <r>
    <x v="1"/>
    <x v="148"/>
    <s v="PROD71"/>
    <d v="2024-07-01T00:00:00"/>
    <s v="CUST1388"/>
    <s v="Hopkins Ltd"/>
    <x v="0"/>
    <n v="1"/>
    <x v="148"/>
    <n v="0.28000000000000003"/>
    <x v="148"/>
  </r>
  <r>
    <x v="1"/>
    <x v="149"/>
    <s v="PROD72"/>
    <d v="2025-08-20T00:00:00"/>
    <s v="CUST1168"/>
    <s v="Davis PLC"/>
    <x v="2"/>
    <n v="2"/>
    <x v="149"/>
    <n v="7.0000000000000007E-2"/>
    <x v="149"/>
  </r>
  <r>
    <x v="1"/>
    <x v="150"/>
    <s v="PROD72"/>
    <d v="2024-06-04T00:00:00"/>
    <s v="CUST1246"/>
    <s v="Davis PLC"/>
    <x v="2"/>
    <n v="4"/>
    <x v="150"/>
    <n v="0.11"/>
    <x v="150"/>
  </r>
  <r>
    <x v="1"/>
    <x v="151"/>
    <s v="PROD73"/>
    <d v="2024-01-20T00:00:00"/>
    <s v="CUST1094"/>
    <s v="French Ltd"/>
    <x v="2"/>
    <n v="1"/>
    <x v="151"/>
    <n v="0.24"/>
    <x v="151"/>
  </r>
  <r>
    <x v="1"/>
    <x v="152"/>
    <s v="PROD74"/>
    <d v="2023-11-05T00:00:00"/>
    <s v="CUST1210"/>
    <s v="Bruce-Bowen"/>
    <x v="4"/>
    <n v="1"/>
    <x v="152"/>
    <n v="0.05"/>
    <x v="152"/>
  </r>
  <r>
    <x v="1"/>
    <x v="153"/>
    <s v="PROD74"/>
    <d v="2025-05-19T00:00:00"/>
    <s v="CUST1479"/>
    <s v="Bruce-Bowen"/>
    <x v="4"/>
    <n v="4"/>
    <x v="153"/>
    <n v="7.0000000000000007E-2"/>
    <x v="153"/>
  </r>
  <r>
    <x v="1"/>
    <x v="154"/>
    <s v="PROD77"/>
    <d v="2024-12-07T00:00:00"/>
    <s v="CUST1229"/>
    <s v="White, Reeves and Woods"/>
    <x v="4"/>
    <n v="2"/>
    <x v="154"/>
    <n v="0.11"/>
    <x v="154"/>
  </r>
  <r>
    <x v="1"/>
    <x v="155"/>
    <s v="PROD78"/>
    <d v="2024-03-20T00:00:00"/>
    <s v="CUST1165"/>
    <s v="Hernandez Inc"/>
    <x v="1"/>
    <n v="3"/>
    <x v="155"/>
    <n v="7.0000000000000007E-2"/>
    <x v="155"/>
  </r>
  <r>
    <x v="1"/>
    <x v="156"/>
    <s v="PROD78"/>
    <d v="2023-11-10T00:00:00"/>
    <s v="CUST1239"/>
    <s v="Hernandez Inc"/>
    <x v="1"/>
    <n v="3"/>
    <x v="156"/>
    <n v="0.06"/>
    <x v="156"/>
  </r>
  <r>
    <x v="1"/>
    <x v="157"/>
    <s v="PROD79"/>
    <d v="2023-10-16T00:00:00"/>
    <s v="CUST1344"/>
    <s v="Ramirez-Hanson"/>
    <x v="1"/>
    <n v="2.4605071932557498"/>
    <x v="157"/>
    <n v="0.18"/>
    <x v="157"/>
  </r>
  <r>
    <x v="1"/>
    <x v="158"/>
    <s v="PROD8"/>
    <d v="2024-12-15T00:00:00"/>
    <s v="CUST1110"/>
    <s v="Perez-Johnston"/>
    <x v="4"/>
    <n v="3"/>
    <x v="158"/>
    <n v="0.16"/>
    <x v="158"/>
  </r>
  <r>
    <x v="1"/>
    <x v="159"/>
    <s v="PROD8"/>
    <d v="2024-01-29T00:00:00"/>
    <s v="CUST1134"/>
    <s v="Perez-Johnston"/>
    <x v="4"/>
    <n v="2"/>
    <x v="159"/>
    <n v="0.02"/>
    <x v="159"/>
  </r>
  <r>
    <x v="1"/>
    <x v="160"/>
    <s v="PROD8"/>
    <d v="2024-03-14T00:00:00"/>
    <s v="CUST1197"/>
    <s v="Perez-Johnston"/>
    <x v="4"/>
    <n v="4"/>
    <x v="160"/>
    <n v="0.15"/>
    <x v="160"/>
  </r>
  <r>
    <x v="1"/>
    <x v="161"/>
    <s v="PROD81"/>
    <d v="2025-02-03T00:00:00"/>
    <s v="CUST1242"/>
    <s v="Robinson-Brown"/>
    <x v="2"/>
    <n v="1"/>
    <x v="161"/>
    <n v="0.28000000000000003"/>
    <x v="161"/>
  </r>
  <r>
    <x v="1"/>
    <x v="162"/>
    <s v="PROD81"/>
    <d v="2024-12-11T00:00:00"/>
    <s v="CUST1381"/>
    <s v="Robinson-Brown"/>
    <x v="2"/>
    <n v="3"/>
    <x v="162"/>
    <n v="0.11"/>
    <x v="162"/>
  </r>
  <r>
    <x v="1"/>
    <x v="163"/>
    <s v="PROD82"/>
    <d v="2024-09-21T00:00:00"/>
    <s v="CUST1299"/>
    <s v="Reese-Watson"/>
    <x v="2"/>
    <n v="4"/>
    <x v="163"/>
    <n v="0.17"/>
    <x v="163"/>
  </r>
  <r>
    <x v="1"/>
    <x v="164"/>
    <s v="PROD83"/>
    <d v="2024-11-12T00:00:00"/>
    <s v="CUST1296"/>
    <s v="Butler Group"/>
    <x v="0"/>
    <n v="3"/>
    <x v="164"/>
    <n v="0.19"/>
    <x v="164"/>
  </r>
  <r>
    <x v="1"/>
    <x v="165"/>
    <s v="PROD84"/>
    <d v="2023-12-24T00:00:00"/>
    <s v="CUST1251"/>
    <s v="Collins-Stephenson"/>
    <x v="1"/>
    <n v="3"/>
    <x v="165"/>
    <n v="0.14000000000000001"/>
    <x v="165"/>
  </r>
  <r>
    <x v="1"/>
    <x v="166"/>
    <s v="PROD85"/>
    <d v="2024-12-05T00:00:00"/>
    <s v="CUST1468"/>
    <s v="Richardson-Carrillo"/>
    <x v="3"/>
    <n v="1"/>
    <x v="166"/>
    <n v="0.14000000000000001"/>
    <x v="166"/>
  </r>
  <r>
    <x v="1"/>
    <x v="167"/>
    <s v="PROD86"/>
    <d v="2025-07-22T00:00:00"/>
    <s v="CUST1312"/>
    <s v="Taylor, Dodson and Johnston"/>
    <x v="1"/>
    <n v="1"/>
    <x v="167"/>
    <n v="0.13"/>
    <x v="167"/>
  </r>
  <r>
    <x v="1"/>
    <x v="168"/>
    <s v="PROD87"/>
    <d v="2023-12-19T00:00:00"/>
    <s v="CUST1265"/>
    <s v="Aguilar, Horton and Lewis"/>
    <x v="1"/>
    <n v="2"/>
    <x v="168"/>
    <n v="0.25"/>
    <x v="168"/>
  </r>
  <r>
    <x v="1"/>
    <x v="169"/>
    <s v="PROD87"/>
    <d v="2024-02-01T00:00:00"/>
    <s v="CUST1363"/>
    <s v="Aguilar, Horton and Lewis"/>
    <x v="1"/>
    <n v="4"/>
    <x v="169"/>
    <n v="0.2"/>
    <x v="169"/>
  </r>
  <r>
    <x v="1"/>
    <x v="170"/>
    <s v="PROD88"/>
    <d v="2025-07-01T00:00:00"/>
    <s v="CUST1095"/>
    <s v="Olsen-Daniels"/>
    <x v="2"/>
    <n v="1"/>
    <x v="170"/>
    <n v="0.09"/>
    <x v="170"/>
  </r>
  <r>
    <x v="1"/>
    <x v="171"/>
    <s v="PROD88"/>
    <d v="2024-11-14T00:00:00"/>
    <s v="CUST1108"/>
    <s v="Olsen-Daniels"/>
    <x v="2"/>
    <n v="4"/>
    <x v="171"/>
    <n v="0.14000000000000001"/>
    <x v="171"/>
  </r>
  <r>
    <x v="1"/>
    <x v="172"/>
    <s v="PROD88"/>
    <d v="2025-08-04T00:00:00"/>
    <s v="CUST1359"/>
    <s v="Olsen-Daniels"/>
    <x v="2"/>
    <n v="3"/>
    <x v="172"/>
    <n v="0.05"/>
    <x v="172"/>
  </r>
  <r>
    <x v="1"/>
    <x v="173"/>
    <s v="PROD89"/>
    <d v="2023-11-10T00:00:00"/>
    <s v="CUST1335"/>
    <s v="Taylor-Elliott"/>
    <x v="0"/>
    <n v="1"/>
    <x v="173"/>
    <n v="0.26"/>
    <x v="173"/>
  </r>
  <r>
    <x v="1"/>
    <x v="174"/>
    <s v="PROD90"/>
    <d v="2024-10-18T00:00:00"/>
    <s v="CUST1065"/>
    <s v="Sharp, Taylor and Rodriguez"/>
    <x v="4"/>
    <n v="4"/>
    <x v="174"/>
    <n v="0.16"/>
    <x v="174"/>
  </r>
  <r>
    <x v="1"/>
    <x v="175"/>
    <s v="PROD90"/>
    <d v="2025-02-23T00:00:00"/>
    <s v="CUST1146"/>
    <s v="Sharp, Taylor and Rodriguez"/>
    <x v="4"/>
    <n v="3"/>
    <x v="175"/>
    <n v="7.0000000000000007E-2"/>
    <x v="175"/>
  </r>
  <r>
    <x v="1"/>
    <x v="176"/>
    <s v="PROD90"/>
    <d v="2025-05-30T00:00:00"/>
    <s v="CUST1397"/>
    <s v="Sharp, Taylor and Rodriguez"/>
    <x v="4"/>
    <n v="2"/>
    <x v="176"/>
    <n v="0.13"/>
    <x v="176"/>
  </r>
  <r>
    <x v="1"/>
    <x v="177"/>
    <s v="PROD90"/>
    <d v="2025-07-04T00:00:00"/>
    <s v="CUST1451"/>
    <s v="Sharp, Taylor and Rodriguez"/>
    <x v="4"/>
    <n v="3"/>
    <x v="177"/>
    <n v="0.2"/>
    <x v="177"/>
  </r>
  <r>
    <x v="1"/>
    <x v="178"/>
    <s v="PROD92"/>
    <d v="2025-01-03T00:00:00"/>
    <s v="CUST1153"/>
    <s v="Green, Powell and Palmer"/>
    <x v="1"/>
    <n v="3"/>
    <x v="178"/>
    <n v="0.21"/>
    <x v="178"/>
  </r>
  <r>
    <x v="1"/>
    <x v="179"/>
    <s v="PROD92"/>
    <d v="2024-12-15T00:00:00"/>
    <s v="CUST1377"/>
    <s v="Green, Powell and Palmer"/>
    <x v="1"/>
    <n v="2"/>
    <x v="179"/>
    <n v="0.14000000000000001"/>
    <x v="179"/>
  </r>
  <r>
    <x v="1"/>
    <x v="180"/>
    <s v="PROD92"/>
    <d v="2024-08-14T00:00:00"/>
    <s v="CUST1489"/>
    <s v="Green, Powell and Palmer"/>
    <x v="1"/>
    <n v="2"/>
    <x v="180"/>
    <n v="0.17"/>
    <x v="180"/>
  </r>
  <r>
    <x v="1"/>
    <x v="181"/>
    <s v="PROD94"/>
    <d v="2025-09-16T00:00:00"/>
    <s v="CUST1122"/>
    <s v="Hoffman-Williams"/>
    <x v="0"/>
    <n v="1"/>
    <x v="181"/>
    <n v="0.05"/>
    <x v="181"/>
  </r>
  <r>
    <x v="1"/>
    <x v="182"/>
    <s v="PROD95"/>
    <d v="2024-01-15T00:00:00"/>
    <s v="CUST1163"/>
    <s v="Wilson Group"/>
    <x v="2"/>
    <n v="1"/>
    <x v="182"/>
    <n v="0.27"/>
    <x v="182"/>
  </r>
  <r>
    <x v="1"/>
    <x v="183"/>
    <s v="PROD95"/>
    <d v="2024-07-25T00:00:00"/>
    <s v="CUST1371"/>
    <s v="Wilson Group"/>
    <x v="2"/>
    <n v="1"/>
    <x v="183"/>
    <n v="0.26"/>
    <x v="183"/>
  </r>
  <r>
    <x v="1"/>
    <x v="184"/>
    <s v="PROD97"/>
    <d v="2024-02-01T00:00:00"/>
    <s v="CUST1406"/>
    <s v="Khan LLC"/>
    <x v="2"/>
    <n v="3"/>
    <x v="184"/>
    <n v="0"/>
    <x v="184"/>
  </r>
  <r>
    <x v="1"/>
    <x v="185"/>
    <s v="PROD99"/>
    <d v="2024-02-14T00:00:00"/>
    <s v="CUST1019"/>
    <s v="Campbell Ltd"/>
    <x v="1"/>
    <n v="2"/>
    <x v="185"/>
    <n v="0.15"/>
    <x v="185"/>
  </r>
  <r>
    <x v="2"/>
    <x v="186"/>
    <s v="PROD1"/>
    <d v="2025-04-08T00:00:00"/>
    <s v="CUST1327"/>
    <s v="Terry-Moore"/>
    <x v="3"/>
    <n v="3"/>
    <x v="186"/>
    <n v="0.04"/>
    <x v="186"/>
  </r>
  <r>
    <x v="2"/>
    <x v="187"/>
    <s v="PROD12"/>
    <d v="2025-01-08T00:00:00"/>
    <s v="CUST1021"/>
    <s v="Rice LLC"/>
    <x v="0"/>
    <n v="3"/>
    <x v="187"/>
    <n v="0.13"/>
    <x v="187"/>
  </r>
  <r>
    <x v="2"/>
    <x v="188"/>
    <s v="PROD13"/>
    <d v="2025-03-07T00:00:00"/>
    <s v="CUST1405"/>
    <s v="Dawson-Perkins"/>
    <x v="4"/>
    <n v="1"/>
    <x v="188"/>
    <n v="0.06"/>
    <x v="188"/>
  </r>
  <r>
    <x v="2"/>
    <x v="189"/>
    <s v="PROD14"/>
    <d v="2025-04-06T00:00:00"/>
    <s v="CUST1195"/>
    <s v="Luna, Anderson and Bowman"/>
    <x v="1"/>
    <n v="3"/>
    <x v="189"/>
    <n v="0.13"/>
    <x v="189"/>
  </r>
  <r>
    <x v="2"/>
    <x v="190"/>
    <s v="PROD14"/>
    <d v="2025-06-09T00:00:00"/>
    <s v="CUST1296"/>
    <s v="Luna, Anderson and Bowman"/>
    <x v="1"/>
    <n v="1"/>
    <x v="190"/>
    <n v="0.04"/>
    <x v="190"/>
  </r>
  <r>
    <x v="2"/>
    <x v="191"/>
    <s v="PROD14"/>
    <d v="2025-10-13T00:00:00"/>
    <s v="CUST1376"/>
    <s v="Luna, Anderson and Bowman"/>
    <x v="1"/>
    <n v="2"/>
    <x v="191"/>
    <n v="0.2"/>
    <x v="191"/>
  </r>
  <r>
    <x v="2"/>
    <x v="192"/>
    <s v="PROD16"/>
    <d v="2025-03-08T00:00:00"/>
    <s v="CUST1337"/>
    <s v="Erickson-Green"/>
    <x v="0"/>
    <n v="2"/>
    <x v="192"/>
    <n v="0.15"/>
    <x v="192"/>
  </r>
  <r>
    <x v="2"/>
    <x v="193"/>
    <s v="PROD17"/>
    <d v="2025-02-18T00:00:00"/>
    <s v="CUST1471"/>
    <s v="Ford, Murphy and Wilson"/>
    <x v="2"/>
    <n v="2"/>
    <x v="193"/>
    <n v="0.22"/>
    <x v="193"/>
  </r>
  <r>
    <x v="2"/>
    <x v="194"/>
    <s v="PROD19"/>
    <d v="2025-02-05T00:00:00"/>
    <s v="CUST1249"/>
    <s v="May-Reese"/>
    <x v="2"/>
    <n v="2"/>
    <x v="194"/>
    <n v="0.12"/>
    <x v="194"/>
  </r>
  <r>
    <x v="2"/>
    <x v="195"/>
    <s v="PROD19"/>
    <d v="2025-02-22T00:00:00"/>
    <s v="CUST1310"/>
    <s v="May-Reese"/>
    <x v="2"/>
    <n v="3"/>
    <x v="195"/>
    <n v="0.05"/>
    <x v="195"/>
  </r>
  <r>
    <x v="2"/>
    <x v="196"/>
    <s v="PROD2"/>
    <d v="2024-06-04T00:00:00"/>
    <s v="CUST1013"/>
    <s v="Sims Inc"/>
    <x v="3"/>
    <n v="4"/>
    <x v="196"/>
    <n v="0.21"/>
    <x v="196"/>
  </r>
  <r>
    <x v="2"/>
    <x v="197"/>
    <s v="PROD2"/>
    <d v="2025-05-29T00:00:00"/>
    <s v="CUST1492"/>
    <s v="Sims Inc"/>
    <x v="3"/>
    <n v="1"/>
    <x v="197"/>
    <n v="0.11"/>
    <x v="197"/>
  </r>
  <r>
    <x v="2"/>
    <x v="198"/>
    <s v="PROD21"/>
    <d v="2024-01-17T00:00:00"/>
    <s v="CUST1044"/>
    <s v="Gardner-Montes"/>
    <x v="1"/>
    <n v="1"/>
    <x v="198"/>
    <n v="0.2"/>
    <x v="198"/>
  </r>
  <r>
    <x v="2"/>
    <x v="199"/>
    <s v="PROD21"/>
    <d v="2025-04-25T00:00:00"/>
    <s v="CUST1259"/>
    <s v="Gardner-Montes"/>
    <x v="1"/>
    <n v="1"/>
    <x v="199"/>
    <n v="0.09"/>
    <x v="199"/>
  </r>
  <r>
    <x v="2"/>
    <x v="200"/>
    <s v="PROD21"/>
    <d v="2024-06-25T00:00:00"/>
    <s v="CUST1384"/>
    <s v="Gardner-Montes"/>
    <x v="1"/>
    <n v="2"/>
    <x v="200"/>
    <n v="0.19"/>
    <x v="200"/>
  </r>
  <r>
    <x v="2"/>
    <x v="201"/>
    <s v="PROD22"/>
    <d v="2024-09-23T00:00:00"/>
    <s v="CUST1264"/>
    <s v="Flores, Pineda and Rodriguez"/>
    <x v="2"/>
    <n v="3"/>
    <x v="201"/>
    <n v="0.04"/>
    <x v="201"/>
  </r>
  <r>
    <x v="2"/>
    <x v="202"/>
    <s v="PROD22"/>
    <d v="2025-08-14T00:00:00"/>
    <s v="CUST1375"/>
    <s v="Flores, Pineda and Rodriguez"/>
    <x v="2"/>
    <n v="2"/>
    <x v="202"/>
    <n v="0.13"/>
    <x v="202"/>
  </r>
  <r>
    <x v="2"/>
    <x v="203"/>
    <s v="PROD24"/>
    <d v="2024-10-12T00:00:00"/>
    <s v="CUST1255"/>
    <s v="Cook Ltd"/>
    <x v="2"/>
    <n v="1"/>
    <x v="203"/>
    <n v="0.11"/>
    <x v="203"/>
  </r>
  <r>
    <x v="2"/>
    <x v="204"/>
    <s v="PROD26"/>
    <d v="2024-11-19T00:00:00"/>
    <s v="CUST1351"/>
    <s v="Reed-Schmidt"/>
    <x v="4"/>
    <n v="4"/>
    <x v="204"/>
    <n v="0.02"/>
    <x v="204"/>
  </r>
  <r>
    <x v="2"/>
    <x v="205"/>
    <s v="PROD27"/>
    <d v="2024-05-01T00:00:00"/>
    <s v="CUST1467"/>
    <s v="Khan, Jones and Paul"/>
    <x v="1"/>
    <n v="1"/>
    <x v="205"/>
    <n v="0.2"/>
    <x v="205"/>
  </r>
  <r>
    <x v="2"/>
    <x v="206"/>
    <s v="PROD28"/>
    <d v="2024-10-15T00:00:00"/>
    <s v="CUST1168"/>
    <s v="Burns-Hansen"/>
    <x v="2"/>
    <n v="3"/>
    <x v="206"/>
    <n v="0.26"/>
    <x v="206"/>
  </r>
  <r>
    <x v="2"/>
    <x v="207"/>
    <s v="PROD30"/>
    <d v="2025-06-09T00:00:00"/>
    <s v="CUST1483"/>
    <s v="Stevens, Fernandez and Martin"/>
    <x v="1"/>
    <n v="2"/>
    <x v="207"/>
    <n v="0.03"/>
    <x v="207"/>
  </r>
  <r>
    <x v="2"/>
    <x v="208"/>
    <s v="PROD31"/>
    <d v="2025-04-27T00:00:00"/>
    <s v="CUST1030"/>
    <s v="Nolan-Snow"/>
    <x v="2"/>
    <n v="2"/>
    <x v="208"/>
    <n v="0.02"/>
    <x v="208"/>
  </r>
  <r>
    <x v="2"/>
    <x v="209"/>
    <s v="PROD31"/>
    <d v="2025-08-07T00:00:00"/>
    <s v="CUST1201"/>
    <s v="Nolan-Snow"/>
    <x v="2"/>
    <n v="3"/>
    <x v="209"/>
    <n v="0.28999999999999998"/>
    <x v="209"/>
  </r>
  <r>
    <x v="2"/>
    <x v="210"/>
    <s v="PROD31"/>
    <d v="2024-03-29T00:00:00"/>
    <s v="CUST1273"/>
    <s v="Nolan-Snow"/>
    <x v="2"/>
    <n v="2"/>
    <x v="210"/>
    <n v="0.12"/>
    <x v="210"/>
  </r>
  <r>
    <x v="2"/>
    <x v="211"/>
    <s v="PROD31"/>
    <d v="2025-07-16T00:00:00"/>
    <s v="CUST1408"/>
    <s v="Nolan-Snow"/>
    <x v="2"/>
    <n v="1"/>
    <x v="211"/>
    <n v="0.09"/>
    <x v="211"/>
  </r>
  <r>
    <x v="2"/>
    <x v="212"/>
    <s v="PROD33"/>
    <d v="2024-05-16T00:00:00"/>
    <s v="CUST1348"/>
    <s v="Weiss-Watson"/>
    <x v="1"/>
    <n v="2"/>
    <x v="212"/>
    <n v="0.2"/>
    <x v="212"/>
  </r>
  <r>
    <x v="2"/>
    <x v="213"/>
    <s v="PROD37"/>
    <d v="2024-01-31T00:00:00"/>
    <s v="CUST1161"/>
    <s v="Hogan-Lee"/>
    <x v="3"/>
    <n v="3"/>
    <x v="213"/>
    <n v="0.24"/>
    <x v="213"/>
  </r>
  <r>
    <x v="2"/>
    <x v="214"/>
    <s v="PROD40"/>
    <d v="2025-02-18T00:00:00"/>
    <s v="CUST1095"/>
    <s v="Taylor-Hart"/>
    <x v="4"/>
    <n v="4"/>
    <x v="214"/>
    <n v="7.0000000000000007E-2"/>
    <x v="214"/>
  </r>
  <r>
    <x v="2"/>
    <x v="215"/>
    <s v="PROD45"/>
    <d v="2025-10-06T00:00:00"/>
    <s v="CUST1371"/>
    <s v="Bridges, Banks and Cummings"/>
    <x v="2"/>
    <n v="4"/>
    <x v="215"/>
    <n v="0.11"/>
    <x v="215"/>
  </r>
  <r>
    <x v="2"/>
    <x v="216"/>
    <s v="PROD46"/>
    <d v="2023-12-08T00:00:00"/>
    <s v="CUST1307"/>
    <s v="Kelly, Smith and Perez"/>
    <x v="3"/>
    <n v="1"/>
    <x v="216"/>
    <n v="0.2"/>
    <x v="216"/>
  </r>
  <r>
    <x v="2"/>
    <x v="217"/>
    <s v="PROD48"/>
    <d v="2025-02-07T00:00:00"/>
    <s v="CUST1108"/>
    <s v="Byrd, Stewart and Valdez"/>
    <x v="4"/>
    <n v="4"/>
    <x v="217"/>
    <n v="0.28000000000000003"/>
    <x v="217"/>
  </r>
  <r>
    <x v="2"/>
    <x v="218"/>
    <s v="PROD49"/>
    <d v="2024-11-22T00:00:00"/>
    <s v="CUST1323"/>
    <s v="Sullivan and Sons"/>
    <x v="0"/>
    <n v="3"/>
    <x v="218"/>
    <n v="0.24"/>
    <x v="218"/>
  </r>
  <r>
    <x v="2"/>
    <x v="219"/>
    <s v="PROD5"/>
    <d v="2025-02-21T00:00:00"/>
    <s v="CUST1107"/>
    <s v="Baldwin, Garza and Gonzalez"/>
    <x v="3"/>
    <n v="2"/>
    <x v="219"/>
    <n v="0.09"/>
    <x v="219"/>
  </r>
  <r>
    <x v="2"/>
    <x v="220"/>
    <s v="PROD5"/>
    <d v="2025-05-01T00:00:00"/>
    <s v="CUST1306"/>
    <s v="Baldwin, Garza and Gonzalez"/>
    <x v="3"/>
    <n v="2"/>
    <x v="220"/>
    <n v="0.19"/>
    <x v="220"/>
  </r>
  <r>
    <x v="2"/>
    <x v="221"/>
    <s v="PROD50"/>
    <d v="2024-08-19T00:00:00"/>
    <s v="CUST1244"/>
    <s v="Smith-King"/>
    <x v="2"/>
    <n v="1"/>
    <x v="221"/>
    <n v="0.06"/>
    <x v="221"/>
  </r>
  <r>
    <x v="2"/>
    <x v="222"/>
    <s v="PROD51"/>
    <d v="2024-12-11T00:00:00"/>
    <s v="CUST1384"/>
    <s v="Bautista, Green and Hale"/>
    <x v="4"/>
    <n v="3"/>
    <x v="222"/>
    <n v="0.17"/>
    <x v="222"/>
  </r>
  <r>
    <x v="2"/>
    <x v="223"/>
    <s v="PROD52"/>
    <d v="2024-03-28T00:00:00"/>
    <s v="CUST1259"/>
    <s v="Harris Inc"/>
    <x v="2"/>
    <n v="3"/>
    <x v="223"/>
    <n v="0.27"/>
    <x v="223"/>
  </r>
  <r>
    <x v="2"/>
    <x v="224"/>
    <s v="PROD52"/>
    <d v="2025-05-22T00:00:00"/>
    <s v="CUST1392"/>
    <s v="Harris Inc"/>
    <x v="2"/>
    <n v="2"/>
    <x v="224"/>
    <n v="0.09"/>
    <x v="224"/>
  </r>
  <r>
    <x v="2"/>
    <x v="225"/>
    <s v="PROD53"/>
    <d v="2025-09-14T00:00:00"/>
    <s v="CUST1255"/>
    <s v="Hamilton, Woods and Walker"/>
    <x v="3"/>
    <n v="3"/>
    <x v="225"/>
    <n v="0.01"/>
    <x v="225"/>
  </r>
  <r>
    <x v="2"/>
    <x v="226"/>
    <s v="PROD53"/>
    <d v="2025-09-29T00:00:00"/>
    <s v="CUST1355"/>
    <s v="Hamilton, Woods and Walker"/>
    <x v="3"/>
    <n v="1"/>
    <x v="226"/>
    <n v="0.2"/>
    <x v="226"/>
  </r>
  <r>
    <x v="2"/>
    <x v="227"/>
    <s v="PROD54"/>
    <d v="2024-05-23T00:00:00"/>
    <s v="CUST1262"/>
    <s v="Thompson-French"/>
    <x v="2"/>
    <n v="3"/>
    <x v="227"/>
    <n v="0.02"/>
    <x v="227"/>
  </r>
  <r>
    <x v="2"/>
    <x v="228"/>
    <s v="PROD54"/>
    <d v="2025-08-21T00:00:00"/>
    <s v="CUST1334"/>
    <s v="Thompson-French"/>
    <x v="2"/>
    <n v="4"/>
    <x v="228"/>
    <n v="0.1"/>
    <x v="228"/>
  </r>
  <r>
    <x v="2"/>
    <x v="229"/>
    <s v="PROD57"/>
    <d v="2024-11-05T00:00:00"/>
    <s v="CUST1133"/>
    <s v="Atkinson, Camacho and Oliver"/>
    <x v="2"/>
    <n v="4"/>
    <x v="229"/>
    <n v="0.19"/>
    <x v="229"/>
  </r>
  <r>
    <x v="2"/>
    <x v="230"/>
    <s v="PROD58"/>
    <d v="2024-04-27T00:00:00"/>
    <s v="CUST1148"/>
    <s v="Shepherd-Gould"/>
    <x v="3"/>
    <n v="4"/>
    <x v="230"/>
    <n v="0.24"/>
    <x v="230"/>
  </r>
  <r>
    <x v="2"/>
    <x v="231"/>
    <s v="PROD58"/>
    <d v="2024-01-25T00:00:00"/>
    <s v="CUST1274"/>
    <s v="Shepherd-Gould"/>
    <x v="3"/>
    <n v="1"/>
    <x v="231"/>
    <n v="7.0000000000000007E-2"/>
    <x v="231"/>
  </r>
  <r>
    <x v="2"/>
    <x v="232"/>
    <s v="PROD58"/>
    <d v="2024-02-09T00:00:00"/>
    <s v="CUST1383"/>
    <s v="Shepherd-Gould"/>
    <x v="3"/>
    <n v="2"/>
    <x v="232"/>
    <n v="0.11"/>
    <x v="232"/>
  </r>
  <r>
    <x v="2"/>
    <x v="233"/>
    <s v="PROD6"/>
    <d v="2025-03-02T00:00:00"/>
    <s v="CUST1378"/>
    <s v="Davidson PLC"/>
    <x v="0"/>
    <n v="3"/>
    <x v="233"/>
    <n v="0.05"/>
    <x v="233"/>
  </r>
  <r>
    <x v="2"/>
    <x v="234"/>
    <s v="PROD6"/>
    <d v="2025-05-12T00:00:00"/>
    <s v="CUST1416"/>
    <s v="Davidson PLC"/>
    <x v="0"/>
    <n v="4"/>
    <x v="234"/>
    <n v="0.28999999999999998"/>
    <x v="234"/>
  </r>
  <r>
    <x v="2"/>
    <x v="235"/>
    <s v="PROD60"/>
    <d v="2025-08-20T00:00:00"/>
    <s v="CUST1155"/>
    <s v="Gibson, Green and Lopez"/>
    <x v="0"/>
    <n v="3"/>
    <x v="235"/>
    <n v="0.26"/>
    <x v="235"/>
  </r>
  <r>
    <x v="2"/>
    <x v="236"/>
    <s v="PROD60"/>
    <d v="2024-07-11T00:00:00"/>
    <s v="CUST1320"/>
    <s v="Gibson, Green and Lopez"/>
    <x v="0"/>
    <n v="4"/>
    <x v="236"/>
    <n v="0.2"/>
    <x v="236"/>
  </r>
  <r>
    <x v="2"/>
    <x v="237"/>
    <s v="PROD61"/>
    <d v="2024-06-05T00:00:00"/>
    <s v="CUST1369"/>
    <s v="Lopez LLC"/>
    <x v="2"/>
    <n v="3"/>
    <x v="237"/>
    <n v="0.12"/>
    <x v="237"/>
  </r>
  <r>
    <x v="2"/>
    <x v="238"/>
    <s v="PROD63"/>
    <d v="2023-11-29T00:00:00"/>
    <s v="CUST1426"/>
    <s v="Anderson-Riley"/>
    <x v="0"/>
    <n v="1"/>
    <x v="238"/>
    <n v="0.09"/>
    <x v="238"/>
  </r>
  <r>
    <x v="2"/>
    <x v="239"/>
    <s v="PROD65"/>
    <d v="2024-06-09T00:00:00"/>
    <s v="CUST1113"/>
    <s v="Montgomery, Benton and Miller"/>
    <x v="2"/>
    <n v="4"/>
    <x v="239"/>
    <n v="0.05"/>
    <x v="239"/>
  </r>
  <r>
    <x v="2"/>
    <x v="240"/>
    <s v="PROD67"/>
    <d v="2025-09-17T00:00:00"/>
    <s v="CUST1198"/>
    <s v="Flores-Davis"/>
    <x v="4"/>
    <n v="4"/>
    <x v="240"/>
    <n v="0.19"/>
    <x v="240"/>
  </r>
  <r>
    <x v="2"/>
    <x v="241"/>
    <s v="PROD67"/>
    <d v="2025-05-01T00:00:00"/>
    <s v="CUST1437"/>
    <s v="Flores-Davis"/>
    <x v="4"/>
    <n v="4"/>
    <x v="241"/>
    <n v="0.05"/>
    <x v="241"/>
  </r>
  <r>
    <x v="2"/>
    <x v="242"/>
    <s v="PROD68"/>
    <d v="2024-09-22T00:00:00"/>
    <s v="CUST1221"/>
    <s v="Wolfe, Ross and Hester"/>
    <x v="1"/>
    <n v="2"/>
    <x v="242"/>
    <n v="0.13"/>
    <x v="242"/>
  </r>
  <r>
    <x v="2"/>
    <x v="243"/>
    <s v="PROD69"/>
    <d v="2024-04-12T00:00:00"/>
    <s v="CUST1476"/>
    <s v="Fitzpatrick Ltd"/>
    <x v="3"/>
    <n v="3"/>
    <x v="243"/>
    <n v="0.03"/>
    <x v="243"/>
  </r>
  <r>
    <x v="2"/>
    <x v="244"/>
    <s v="PROD7"/>
    <d v="2024-07-14T00:00:00"/>
    <s v="CUST1343"/>
    <s v="Harrell LLC"/>
    <x v="1"/>
    <n v="4"/>
    <x v="244"/>
    <n v="0.16"/>
    <x v="244"/>
  </r>
  <r>
    <x v="2"/>
    <x v="245"/>
    <s v="PROD71"/>
    <d v="2024-05-26T00:00:00"/>
    <s v="CUST1188"/>
    <s v="Hopkins Ltd"/>
    <x v="0"/>
    <n v="2"/>
    <x v="245"/>
    <n v="0.26"/>
    <x v="245"/>
  </r>
  <r>
    <x v="2"/>
    <x v="246"/>
    <s v="PROD72"/>
    <d v="2023-12-10T00:00:00"/>
    <s v="CUST1372"/>
    <s v="Davis PLC"/>
    <x v="2"/>
    <n v="4"/>
    <x v="246"/>
    <n v="0.18"/>
    <x v="246"/>
  </r>
  <r>
    <x v="2"/>
    <x v="247"/>
    <s v="PROD73"/>
    <d v="2024-10-01T00:00:00"/>
    <s v="CUST1109"/>
    <s v="French Ltd"/>
    <x v="2"/>
    <n v="3"/>
    <x v="247"/>
    <n v="0.23"/>
    <x v="247"/>
  </r>
  <r>
    <x v="2"/>
    <x v="248"/>
    <s v="PROD73"/>
    <d v="2024-02-05T00:00:00"/>
    <s v="CUST1433"/>
    <s v="French Ltd"/>
    <x v="2"/>
    <n v="4"/>
    <x v="248"/>
    <n v="0.02"/>
    <x v="248"/>
  </r>
  <r>
    <x v="2"/>
    <x v="249"/>
    <s v="PROD74"/>
    <d v="2024-10-04T00:00:00"/>
    <s v="CUST1164"/>
    <s v="Bruce-Bowen"/>
    <x v="4"/>
    <n v="2"/>
    <x v="249"/>
    <n v="0.21"/>
    <x v="249"/>
  </r>
  <r>
    <x v="2"/>
    <x v="250"/>
    <s v="PROD74"/>
    <d v="2025-07-26T00:00:00"/>
    <s v="CUST1384"/>
    <s v="Bruce-Bowen"/>
    <x v="4"/>
    <n v="1"/>
    <x v="250"/>
    <n v="0.21"/>
    <x v="250"/>
  </r>
  <r>
    <x v="2"/>
    <x v="251"/>
    <s v="PROD75"/>
    <d v="2025-09-06T00:00:00"/>
    <s v="CUST1171"/>
    <s v="Poole PLC"/>
    <x v="3"/>
    <n v="4"/>
    <x v="251"/>
    <n v="0.1"/>
    <x v="251"/>
  </r>
  <r>
    <x v="2"/>
    <x v="252"/>
    <s v="PROD75"/>
    <d v="2025-04-25T00:00:00"/>
    <s v="CUST1425"/>
    <s v="Poole PLC"/>
    <x v="3"/>
    <n v="4"/>
    <x v="252"/>
    <n v="0.15"/>
    <x v="252"/>
  </r>
  <r>
    <x v="2"/>
    <x v="253"/>
    <s v="PROD76"/>
    <d v="2023-12-25T00:00:00"/>
    <s v="CUST1019"/>
    <s v="Larson Ltd"/>
    <x v="4"/>
    <n v="2"/>
    <x v="253"/>
    <n v="0.25"/>
    <x v="253"/>
  </r>
  <r>
    <x v="2"/>
    <x v="254"/>
    <s v="PROD76"/>
    <d v="2024-07-20T00:00:00"/>
    <s v="CUST1041"/>
    <s v="Larson Ltd"/>
    <x v="4"/>
    <n v="4"/>
    <x v="254"/>
    <n v="0.09"/>
    <x v="254"/>
  </r>
  <r>
    <x v="2"/>
    <x v="255"/>
    <s v="PROD76"/>
    <d v="2024-09-08T00:00:00"/>
    <s v="CUST1067"/>
    <s v="Larson Ltd"/>
    <x v="4"/>
    <n v="3"/>
    <x v="255"/>
    <n v="0.21"/>
    <x v="255"/>
  </r>
  <r>
    <x v="2"/>
    <x v="256"/>
    <s v="PROD80"/>
    <d v="2025-08-23T00:00:00"/>
    <s v="CUST1066"/>
    <s v="Allison Ltd"/>
    <x v="1"/>
    <n v="4"/>
    <x v="256"/>
    <n v="0.08"/>
    <x v="256"/>
  </r>
  <r>
    <x v="2"/>
    <x v="257"/>
    <s v="PROD80"/>
    <d v="2024-10-02T00:00:00"/>
    <s v="CUST1235"/>
    <s v="Allison Ltd"/>
    <x v="1"/>
    <n v="2"/>
    <x v="257"/>
    <n v="0.15"/>
    <x v="257"/>
  </r>
  <r>
    <x v="2"/>
    <x v="258"/>
    <s v="PROD80"/>
    <d v="2025-01-22T00:00:00"/>
    <s v="CUST1261"/>
    <s v="Allison Ltd"/>
    <x v="1"/>
    <n v="4"/>
    <x v="258"/>
    <n v="0.23"/>
    <x v="258"/>
  </r>
  <r>
    <x v="2"/>
    <x v="259"/>
    <s v="PROD81"/>
    <d v="2025-05-20T00:00:00"/>
    <s v="CUST1166"/>
    <s v="Robinson-Brown"/>
    <x v="2"/>
    <n v="2"/>
    <x v="259"/>
    <n v="0.19"/>
    <x v="259"/>
  </r>
  <r>
    <x v="2"/>
    <x v="260"/>
    <s v="PROD81"/>
    <d v="2023-10-24T00:00:00"/>
    <s v="CUST1342"/>
    <s v="Robinson-Brown"/>
    <x v="2"/>
    <n v="2"/>
    <x v="260"/>
    <n v="0.23"/>
    <x v="260"/>
  </r>
  <r>
    <x v="2"/>
    <x v="261"/>
    <s v="PROD82"/>
    <d v="2025-08-06T00:00:00"/>
    <s v="CUST1462"/>
    <s v="Reese-Watson"/>
    <x v="2"/>
    <n v="2"/>
    <x v="261"/>
    <n v="0.28999999999999998"/>
    <x v="261"/>
  </r>
  <r>
    <x v="2"/>
    <x v="262"/>
    <s v="PROD83"/>
    <d v="2024-02-16T00:00:00"/>
    <s v="CUST1449"/>
    <s v="Butler Group"/>
    <x v="0"/>
    <n v="1"/>
    <x v="262"/>
    <n v="0.28000000000000003"/>
    <x v="262"/>
  </r>
  <r>
    <x v="2"/>
    <x v="263"/>
    <s v="PROD83"/>
    <d v="2025-03-28T00:00:00"/>
    <s v="CUST1455"/>
    <s v="Butler Group"/>
    <x v="0"/>
    <n v="1"/>
    <x v="263"/>
    <n v="0.22"/>
    <x v="263"/>
  </r>
  <r>
    <x v="2"/>
    <x v="264"/>
    <s v="PROD86"/>
    <d v="2025-06-22T00:00:00"/>
    <s v="CUST1174"/>
    <s v="Taylor, Dodson and Johnston"/>
    <x v="1"/>
    <n v="2"/>
    <x v="264"/>
    <n v="0.22"/>
    <x v="264"/>
  </r>
  <r>
    <x v="2"/>
    <x v="265"/>
    <s v="PROD88"/>
    <d v="2025-02-06T00:00:00"/>
    <s v="CUST1443"/>
    <s v="Olsen-Daniels"/>
    <x v="2"/>
    <n v="1"/>
    <x v="265"/>
    <n v="0.14000000000000001"/>
    <x v="265"/>
  </r>
  <r>
    <x v="2"/>
    <x v="266"/>
    <s v="PROD88"/>
    <d v="2024-04-23T00:00:00"/>
    <s v="CUST1485"/>
    <s v="Olsen-Daniels"/>
    <x v="2"/>
    <n v="4"/>
    <x v="266"/>
    <n v="0.28999999999999998"/>
    <x v="266"/>
  </r>
  <r>
    <x v="2"/>
    <x v="267"/>
    <s v="PROD89"/>
    <d v="2024-05-15T00:00:00"/>
    <s v="CUST1075"/>
    <s v="Taylor-Elliott"/>
    <x v="0"/>
    <n v="3"/>
    <x v="267"/>
    <n v="0.27"/>
    <x v="267"/>
  </r>
  <r>
    <x v="2"/>
    <x v="268"/>
    <s v="PROD89"/>
    <d v="2024-06-17T00:00:00"/>
    <s v="CUST1128"/>
    <s v="Taylor-Elliott"/>
    <x v="0"/>
    <n v="2"/>
    <x v="268"/>
    <n v="0.26"/>
    <x v="268"/>
  </r>
  <r>
    <x v="2"/>
    <x v="269"/>
    <s v="PROD89"/>
    <d v="2023-12-07T00:00:00"/>
    <s v="CUST1344"/>
    <s v="Taylor-Elliott"/>
    <x v="0"/>
    <n v="2"/>
    <x v="269"/>
    <n v="0.25"/>
    <x v="269"/>
  </r>
  <r>
    <x v="2"/>
    <x v="270"/>
    <s v="PROD9"/>
    <d v="2024-07-24T00:00:00"/>
    <s v="CUST1144"/>
    <s v="Hill PLC"/>
    <x v="2"/>
    <n v="4"/>
    <x v="270"/>
    <n v="0.13"/>
    <x v="270"/>
  </r>
  <r>
    <x v="2"/>
    <x v="271"/>
    <s v="PROD93"/>
    <d v="2025-04-22T00:00:00"/>
    <s v="CUST1314"/>
    <s v="Martin LLC"/>
    <x v="4"/>
    <n v="4"/>
    <x v="271"/>
    <n v="0.13"/>
    <x v="271"/>
  </r>
  <r>
    <x v="2"/>
    <x v="272"/>
    <s v="PROD94"/>
    <d v="2025-04-10T00:00:00"/>
    <s v="CUST1145"/>
    <s v="Hoffman-Williams"/>
    <x v="0"/>
    <n v="4"/>
    <x v="272"/>
    <n v="0.05"/>
    <x v="272"/>
  </r>
  <r>
    <x v="2"/>
    <x v="273"/>
    <s v="PROD94"/>
    <d v="2023-11-01T00:00:00"/>
    <s v="CUST1219"/>
    <s v="Hoffman-Williams"/>
    <x v="0"/>
    <n v="2"/>
    <x v="273"/>
    <n v="0.24"/>
    <x v="273"/>
  </r>
  <r>
    <x v="2"/>
    <x v="274"/>
    <s v="PROD94"/>
    <d v="2024-01-02T00:00:00"/>
    <s v="CUST1425"/>
    <s v="Hoffman-Williams"/>
    <x v="0"/>
    <n v="4"/>
    <x v="274"/>
    <n v="0.16"/>
    <x v="274"/>
  </r>
  <r>
    <x v="2"/>
    <x v="275"/>
    <s v="PROD94"/>
    <d v="2024-04-22T00:00:00"/>
    <s v="CUST1492"/>
    <s v="Hoffman-Williams"/>
    <x v="0"/>
    <n v="4"/>
    <x v="275"/>
    <n v="0.22"/>
    <x v="275"/>
  </r>
  <r>
    <x v="2"/>
    <x v="276"/>
    <s v="PROD95"/>
    <d v="2025-05-30T00:00:00"/>
    <s v="CUST1025"/>
    <s v="Wilson Group"/>
    <x v="2"/>
    <n v="1"/>
    <x v="276"/>
    <n v="0.03"/>
    <x v="276"/>
  </r>
  <r>
    <x v="2"/>
    <x v="277"/>
    <s v="PROD96"/>
    <d v="2023-10-31T00:00:00"/>
    <s v="CUST1375"/>
    <s v="Phillips and Sons"/>
    <x v="3"/>
    <n v="3"/>
    <x v="277"/>
    <n v="0"/>
    <x v="277"/>
  </r>
  <r>
    <x v="2"/>
    <x v="278"/>
    <s v="PROD97"/>
    <d v="2024-10-24T00:00:00"/>
    <s v="CUST1178"/>
    <s v="Khan LLC"/>
    <x v="2"/>
    <n v="3"/>
    <x v="278"/>
    <n v="0.1"/>
    <x v="278"/>
  </r>
  <r>
    <x v="2"/>
    <x v="279"/>
    <s v="PROD97"/>
    <d v="2025-06-06T00:00:00"/>
    <s v="CUST1485"/>
    <s v="Khan LLC"/>
    <x v="2"/>
    <n v="3"/>
    <x v="279"/>
    <n v="0.3"/>
    <x v="279"/>
  </r>
  <r>
    <x v="2"/>
    <x v="280"/>
    <s v="PROD98"/>
    <d v="2024-08-07T00:00:00"/>
    <s v="CUST1163"/>
    <s v="Flores-King"/>
    <x v="4"/>
    <n v="2"/>
    <x v="280"/>
    <n v="0.27"/>
    <x v="280"/>
  </r>
  <r>
    <x v="2"/>
    <x v="281"/>
    <s v="PROD99"/>
    <d v="2025-07-09T00:00:00"/>
    <s v="CUST1110"/>
    <s v="Campbell Ltd"/>
    <x v="1"/>
    <n v="3"/>
    <x v="281"/>
    <n v="0.24"/>
    <x v="281"/>
  </r>
  <r>
    <x v="2"/>
    <x v="282"/>
    <s v="PROD99"/>
    <d v="2025-06-02T00:00:00"/>
    <s v="CUST1142"/>
    <s v="Campbell Ltd"/>
    <x v="1"/>
    <n v="3"/>
    <x v="282"/>
    <n v="0.24"/>
    <x v="282"/>
  </r>
  <r>
    <x v="3"/>
    <x v="283"/>
    <s v="PROD1"/>
    <d v="2025-04-11T00:00:00"/>
    <s v="CUST1055"/>
    <s v="Terry-Moore"/>
    <x v="3"/>
    <n v="4"/>
    <x v="283"/>
    <n v="0.11"/>
    <x v="283"/>
  </r>
  <r>
    <x v="3"/>
    <x v="284"/>
    <s v="PROD1"/>
    <d v="2024-02-04T00:00:00"/>
    <s v="CUST1355"/>
    <s v="Terry-Moore"/>
    <x v="3"/>
    <n v="3"/>
    <x v="284"/>
    <n v="0.01"/>
    <x v="284"/>
  </r>
  <r>
    <x v="3"/>
    <x v="285"/>
    <s v="PROD10"/>
    <d v="2024-06-14T00:00:00"/>
    <s v="CUST1092"/>
    <s v="Hamilton Group"/>
    <x v="1"/>
    <n v="1"/>
    <x v="285"/>
    <n v="0.13"/>
    <x v="285"/>
  </r>
  <r>
    <x v="3"/>
    <x v="286"/>
    <s v="PROD16"/>
    <d v="2024-04-15T00:00:00"/>
    <s v="CUST1115"/>
    <s v="Erickson-Green"/>
    <x v="0"/>
    <n v="2"/>
    <x v="286"/>
    <n v="0.13"/>
    <x v="286"/>
  </r>
  <r>
    <x v="3"/>
    <x v="287"/>
    <s v="PROD16"/>
    <d v="2024-12-22T00:00:00"/>
    <s v="CUST1478"/>
    <s v="Erickson-Green"/>
    <x v="0"/>
    <n v="4"/>
    <x v="287"/>
    <n v="0.06"/>
    <x v="287"/>
  </r>
  <r>
    <x v="3"/>
    <x v="288"/>
    <s v="PROD16"/>
    <d v="2024-09-17T00:00:00"/>
    <s v="CUST1496"/>
    <s v="Erickson-Green"/>
    <x v="0"/>
    <n v="1"/>
    <x v="288"/>
    <n v="0.03"/>
    <x v="288"/>
  </r>
  <r>
    <x v="3"/>
    <x v="289"/>
    <s v="PROD18"/>
    <d v="2025-01-31T00:00:00"/>
    <s v="CUST1284"/>
    <s v="Guerra-Hendrix"/>
    <x v="3"/>
    <n v="1"/>
    <x v="289"/>
    <n v="0.01"/>
    <x v="289"/>
  </r>
  <r>
    <x v="3"/>
    <x v="290"/>
    <s v="PROD19"/>
    <d v="2023-11-20T00:00:00"/>
    <s v="CUST1105"/>
    <s v="May-Reese"/>
    <x v="2"/>
    <n v="3"/>
    <x v="290"/>
    <n v="0.06"/>
    <x v="290"/>
  </r>
  <r>
    <x v="3"/>
    <x v="291"/>
    <s v="PROD20"/>
    <d v="2024-06-27T00:00:00"/>
    <s v="CUST1316"/>
    <s v="Soto-Ellis"/>
    <x v="2"/>
    <n v="1"/>
    <x v="291"/>
    <n v="0.13"/>
    <x v="291"/>
  </r>
  <r>
    <x v="3"/>
    <x v="292"/>
    <s v="PROD23"/>
    <d v="2025-05-29T00:00:00"/>
    <s v="CUST1081"/>
    <s v="Moon, Mora and Santos"/>
    <x v="3"/>
    <n v="1"/>
    <x v="292"/>
    <n v="0.1"/>
    <x v="292"/>
  </r>
  <r>
    <x v="3"/>
    <x v="293"/>
    <s v="PROD25"/>
    <d v="2024-11-09T00:00:00"/>
    <s v="CUST1477"/>
    <s v="Brown and Sons"/>
    <x v="3"/>
    <n v="2"/>
    <x v="293"/>
    <n v="0.21"/>
    <x v="293"/>
  </r>
  <r>
    <x v="3"/>
    <x v="294"/>
    <s v="PROD28"/>
    <d v="2024-11-05T00:00:00"/>
    <s v="CUST1369"/>
    <s v="Burns-Hansen"/>
    <x v="2"/>
    <n v="2"/>
    <x v="294"/>
    <n v="0.23"/>
    <x v="294"/>
  </r>
  <r>
    <x v="3"/>
    <x v="295"/>
    <s v="PROD30"/>
    <d v="2024-06-23T00:00:00"/>
    <s v="CUST1008"/>
    <s v="Stevens, Fernandez and Martin"/>
    <x v="1"/>
    <n v="1"/>
    <x v="295"/>
    <n v="0.14000000000000001"/>
    <x v="295"/>
  </r>
  <r>
    <x v="3"/>
    <x v="296"/>
    <s v="PROD30"/>
    <d v="2024-03-16T00:00:00"/>
    <s v="CUST1365"/>
    <s v="Stevens, Fernandez and Martin"/>
    <x v="1"/>
    <n v="2"/>
    <x v="296"/>
    <n v="0.03"/>
    <x v="296"/>
  </r>
  <r>
    <x v="3"/>
    <x v="297"/>
    <s v="PROD31"/>
    <d v="2024-09-12T00:00:00"/>
    <s v="CUST1052"/>
    <s v="Nolan-Snow"/>
    <x v="2"/>
    <n v="4"/>
    <x v="297"/>
    <n v="0.28000000000000003"/>
    <x v="297"/>
  </r>
  <r>
    <x v="3"/>
    <x v="298"/>
    <s v="PROD33"/>
    <d v="2024-05-22T00:00:00"/>
    <s v="CUST1437"/>
    <s v="Weiss-Watson"/>
    <x v="1"/>
    <n v="1"/>
    <x v="298"/>
    <n v="0.21"/>
    <x v="298"/>
  </r>
  <r>
    <x v="3"/>
    <x v="299"/>
    <s v="PROD34"/>
    <d v="2024-08-20T00:00:00"/>
    <s v="CUST1050"/>
    <s v="Lucero LLC"/>
    <x v="4"/>
    <n v="1"/>
    <x v="299"/>
    <n v="0.03"/>
    <x v="299"/>
  </r>
  <r>
    <x v="3"/>
    <x v="300"/>
    <s v="PROD34"/>
    <d v="2025-07-10T00:00:00"/>
    <s v="CUST1109"/>
    <s v="Lucero LLC"/>
    <x v="4"/>
    <n v="2"/>
    <x v="300"/>
    <n v="0.25"/>
    <x v="300"/>
  </r>
  <r>
    <x v="3"/>
    <x v="301"/>
    <s v="PROD34"/>
    <d v="2024-02-12T00:00:00"/>
    <s v="CUST1349"/>
    <s v="Lucero LLC"/>
    <x v="4"/>
    <n v="1"/>
    <x v="301"/>
    <n v="0.12"/>
    <x v="301"/>
  </r>
  <r>
    <x v="3"/>
    <x v="302"/>
    <s v="PROD36"/>
    <d v="2024-09-08T00:00:00"/>
    <s v="CUST1212"/>
    <s v="Smith-Mills"/>
    <x v="3"/>
    <n v="3"/>
    <x v="302"/>
    <n v="0.08"/>
    <x v="302"/>
  </r>
  <r>
    <x v="3"/>
    <x v="303"/>
    <s v="PROD37"/>
    <d v="2024-12-28T00:00:00"/>
    <s v="CUST1062"/>
    <s v="Hogan-Lee"/>
    <x v="3"/>
    <n v="3"/>
    <x v="303"/>
    <n v="0.24"/>
    <x v="303"/>
  </r>
  <r>
    <x v="3"/>
    <x v="304"/>
    <s v="PROD37"/>
    <d v="2025-07-30T00:00:00"/>
    <s v="CUST1326"/>
    <s v="Hogan-Lee"/>
    <x v="3"/>
    <n v="3"/>
    <x v="304"/>
    <n v="0.1"/>
    <x v="304"/>
  </r>
  <r>
    <x v="3"/>
    <x v="305"/>
    <s v="PROD38"/>
    <d v="2024-04-14T00:00:00"/>
    <s v="CUST1060"/>
    <s v="Sims-Smith"/>
    <x v="2"/>
    <n v="3"/>
    <x v="305"/>
    <n v="0.1"/>
    <x v="305"/>
  </r>
  <r>
    <x v="3"/>
    <x v="306"/>
    <s v="PROD39"/>
    <d v="2024-04-23T00:00:00"/>
    <s v="CUST1105"/>
    <s v="Cummings and Sons"/>
    <x v="4"/>
    <n v="1"/>
    <x v="306"/>
    <n v="0.3"/>
    <x v="306"/>
  </r>
  <r>
    <x v="3"/>
    <x v="307"/>
    <s v="PROD39"/>
    <d v="2024-08-29T00:00:00"/>
    <s v="CUST1455"/>
    <s v="Cummings and Sons"/>
    <x v="4"/>
    <n v="3"/>
    <x v="307"/>
    <n v="0.17"/>
    <x v="307"/>
  </r>
  <r>
    <x v="3"/>
    <x v="308"/>
    <s v="PROD39"/>
    <d v="2024-08-12T00:00:00"/>
    <s v="CUST1474"/>
    <s v="Cummings and Sons"/>
    <x v="4"/>
    <n v="4"/>
    <x v="308"/>
    <n v="0.2"/>
    <x v="308"/>
  </r>
  <r>
    <x v="3"/>
    <x v="309"/>
    <s v="PROD4"/>
    <d v="2025-08-09T00:00:00"/>
    <s v="CUST1414"/>
    <s v="Gonzales-Davis"/>
    <x v="3"/>
    <n v="1"/>
    <x v="309"/>
    <n v="0.16"/>
    <x v="309"/>
  </r>
  <r>
    <x v="3"/>
    <x v="310"/>
    <s v="PROD40"/>
    <d v="2025-09-21T00:00:00"/>
    <s v="CUST1451"/>
    <s v="Taylor-Hart"/>
    <x v="4"/>
    <n v="2"/>
    <x v="310"/>
    <n v="0.01"/>
    <x v="310"/>
  </r>
  <r>
    <x v="3"/>
    <x v="311"/>
    <s v="PROD41"/>
    <d v="2024-12-14T00:00:00"/>
    <s v="CUST1130"/>
    <s v="Carroll, Long and Mendoza"/>
    <x v="2"/>
    <n v="3"/>
    <x v="311"/>
    <n v="0.02"/>
    <x v="311"/>
  </r>
  <r>
    <x v="3"/>
    <x v="312"/>
    <s v="PROD42"/>
    <d v="2024-03-10T00:00:00"/>
    <s v="CUST1294"/>
    <s v="Holmes LLC"/>
    <x v="4"/>
    <n v="2"/>
    <x v="312"/>
    <n v="0.28000000000000003"/>
    <x v="312"/>
  </r>
  <r>
    <x v="3"/>
    <x v="313"/>
    <s v="PROD42"/>
    <d v="2025-09-09T00:00:00"/>
    <s v="CUST1341"/>
    <s v="Holmes LLC"/>
    <x v="4"/>
    <n v="2"/>
    <x v="313"/>
    <n v="0.11"/>
    <x v="313"/>
  </r>
  <r>
    <x v="3"/>
    <x v="314"/>
    <s v="PROD43"/>
    <d v="2024-12-13T00:00:00"/>
    <s v="CUST1252"/>
    <s v="Robinson Inc"/>
    <x v="4"/>
    <n v="2"/>
    <x v="314"/>
    <n v="0.01"/>
    <x v="314"/>
  </r>
  <r>
    <x v="3"/>
    <x v="315"/>
    <s v="PROD44"/>
    <d v="2023-10-28T00:00:00"/>
    <s v="CUST1135"/>
    <s v="Cox Inc"/>
    <x v="2"/>
    <n v="1"/>
    <x v="315"/>
    <n v="0.03"/>
    <x v="315"/>
  </r>
  <r>
    <x v="3"/>
    <x v="316"/>
    <s v="PROD45"/>
    <d v="2024-11-30T00:00:00"/>
    <s v="CUST1037"/>
    <s v="Bridges, Banks and Cummings"/>
    <x v="2"/>
    <n v="2"/>
    <x v="316"/>
    <n v="0.13"/>
    <x v="316"/>
  </r>
  <r>
    <x v="3"/>
    <x v="317"/>
    <s v="PROD45"/>
    <d v="2024-06-07T00:00:00"/>
    <s v="CUST1327"/>
    <s v="Bridges, Banks and Cummings"/>
    <x v="2"/>
    <n v="1"/>
    <x v="317"/>
    <n v="0.17"/>
    <x v="317"/>
  </r>
  <r>
    <x v="3"/>
    <x v="318"/>
    <s v="PROD46"/>
    <d v="2024-12-31T00:00:00"/>
    <s v="CUST1364"/>
    <s v="Kelly, Smith and Perez"/>
    <x v="3"/>
    <n v="2"/>
    <x v="318"/>
    <n v="0.28000000000000003"/>
    <x v="318"/>
  </r>
  <r>
    <x v="3"/>
    <x v="319"/>
    <s v="PROD47"/>
    <d v="2025-03-26T00:00:00"/>
    <s v="CUST1031"/>
    <s v="Cook Inc"/>
    <x v="0"/>
    <n v="1"/>
    <x v="319"/>
    <n v="0.28000000000000003"/>
    <x v="319"/>
  </r>
  <r>
    <x v="3"/>
    <x v="320"/>
    <s v="PROD48"/>
    <d v="2024-07-07T00:00:00"/>
    <s v="CUST1251"/>
    <s v="Byrd, Stewart and Valdez"/>
    <x v="4"/>
    <n v="2"/>
    <x v="320"/>
    <n v="0.19"/>
    <x v="320"/>
  </r>
  <r>
    <x v="3"/>
    <x v="321"/>
    <s v="PROD49"/>
    <d v="2025-05-18T00:00:00"/>
    <s v="CUST1175"/>
    <s v="Sullivan and Sons"/>
    <x v="0"/>
    <n v="1"/>
    <x v="321"/>
    <n v="0.26"/>
    <x v="321"/>
  </r>
  <r>
    <x v="3"/>
    <x v="322"/>
    <s v="PROD49"/>
    <d v="2024-07-01T00:00:00"/>
    <s v="CUST1201"/>
    <s v="Sullivan and Sons"/>
    <x v="0"/>
    <n v="4"/>
    <x v="322"/>
    <n v="0.02"/>
    <x v="322"/>
  </r>
  <r>
    <x v="3"/>
    <x v="323"/>
    <s v="PROD49"/>
    <d v="2024-10-24T00:00:00"/>
    <s v="CUST1416"/>
    <s v="Sullivan and Sons"/>
    <x v="0"/>
    <n v="2"/>
    <x v="323"/>
    <n v="0.3"/>
    <x v="323"/>
  </r>
  <r>
    <x v="3"/>
    <x v="324"/>
    <s v="PROD51"/>
    <d v="2024-05-17T00:00:00"/>
    <s v="CUST1483"/>
    <s v="Bautista, Green and Hale"/>
    <x v="4"/>
    <n v="3"/>
    <x v="324"/>
    <n v="0.28999999999999998"/>
    <x v="324"/>
  </r>
  <r>
    <x v="3"/>
    <x v="325"/>
    <s v="PROD51"/>
    <d v="2024-06-01T00:00:00"/>
    <s v="CUST1496"/>
    <s v="Bautista, Green and Hale"/>
    <x v="4"/>
    <n v="3"/>
    <x v="325"/>
    <n v="0.05"/>
    <x v="325"/>
  </r>
  <r>
    <x v="3"/>
    <x v="326"/>
    <s v="PROD53"/>
    <d v="2025-04-17T00:00:00"/>
    <s v="CUST1162"/>
    <s v="Hamilton, Woods and Walker"/>
    <x v="3"/>
    <n v="3"/>
    <x v="326"/>
    <n v="0.05"/>
    <x v="326"/>
  </r>
  <r>
    <x v="3"/>
    <x v="327"/>
    <s v="PROD55"/>
    <d v="2024-03-02T00:00:00"/>
    <s v="CUST1054"/>
    <s v="Hatfield, Baird and Torres"/>
    <x v="1"/>
    <n v="4"/>
    <x v="327"/>
    <n v="0.08"/>
    <x v="327"/>
  </r>
  <r>
    <x v="3"/>
    <x v="328"/>
    <s v="PROD59"/>
    <d v="2024-05-20T00:00:00"/>
    <s v="CUST1036"/>
    <s v="Cline-Mccarthy"/>
    <x v="0"/>
    <n v="2"/>
    <x v="328"/>
    <n v="0.02"/>
    <x v="328"/>
  </r>
  <r>
    <x v="3"/>
    <x v="329"/>
    <s v="PROD59"/>
    <d v="2024-01-22T00:00:00"/>
    <s v="CUST1093"/>
    <s v="Cline-Mccarthy"/>
    <x v="0"/>
    <n v="2"/>
    <x v="329"/>
    <n v="0.16"/>
    <x v="329"/>
  </r>
  <r>
    <x v="3"/>
    <x v="330"/>
    <s v="PROD59"/>
    <d v="2025-04-08T00:00:00"/>
    <s v="CUST1145"/>
    <s v="Cline-Mccarthy"/>
    <x v="0"/>
    <n v="4"/>
    <x v="330"/>
    <n v="0.18"/>
    <x v="330"/>
  </r>
  <r>
    <x v="3"/>
    <x v="331"/>
    <s v="PROD59"/>
    <d v="2024-11-18T00:00:00"/>
    <s v="CUST1229"/>
    <s v="Cline-Mccarthy"/>
    <x v="0"/>
    <n v="2"/>
    <x v="331"/>
    <n v="0.28000000000000003"/>
    <x v="331"/>
  </r>
  <r>
    <x v="3"/>
    <x v="332"/>
    <s v="PROD59"/>
    <d v="2024-01-02T00:00:00"/>
    <s v="CUST1357"/>
    <s v="Cline-Mccarthy"/>
    <x v="0"/>
    <n v="2"/>
    <x v="332"/>
    <n v="7.0000000000000007E-2"/>
    <x v="332"/>
  </r>
  <r>
    <x v="3"/>
    <x v="333"/>
    <s v="PROD60"/>
    <d v="2024-09-11T00:00:00"/>
    <s v="CUST1095"/>
    <s v="Gibson, Green and Lopez"/>
    <x v="0"/>
    <n v="1"/>
    <x v="333"/>
    <n v="0.06"/>
    <x v="333"/>
  </r>
  <r>
    <x v="3"/>
    <x v="334"/>
    <s v="PROD60"/>
    <d v="2023-10-18T00:00:00"/>
    <s v="CUST1198"/>
    <s v="Gibson, Green and Lopez"/>
    <x v="0"/>
    <n v="3"/>
    <x v="334"/>
    <n v="0.26"/>
    <x v="334"/>
  </r>
  <r>
    <x v="3"/>
    <x v="335"/>
    <s v="PROD60"/>
    <d v="2025-03-05T00:00:00"/>
    <s v="CUST1280"/>
    <s v="Gibson, Green and Lopez"/>
    <x v="0"/>
    <n v="4"/>
    <x v="335"/>
    <n v="0.12"/>
    <x v="335"/>
  </r>
  <r>
    <x v="3"/>
    <x v="336"/>
    <s v="PROD61"/>
    <d v="2024-11-11T00:00:00"/>
    <s v="CUST1052"/>
    <s v="Lopez LLC"/>
    <x v="2"/>
    <n v="3"/>
    <x v="336"/>
    <n v="0.05"/>
    <x v="336"/>
  </r>
  <r>
    <x v="3"/>
    <x v="337"/>
    <s v="PROD62"/>
    <d v="2025-02-14T00:00:00"/>
    <s v="CUST1054"/>
    <s v="Murray, Gould and Ware"/>
    <x v="4"/>
    <n v="2"/>
    <x v="337"/>
    <n v="0.02"/>
    <x v="337"/>
  </r>
  <r>
    <x v="3"/>
    <x v="338"/>
    <s v="PROD62"/>
    <d v="2024-09-22T00:00:00"/>
    <s v="CUST1076"/>
    <s v="Murray, Gould and Ware"/>
    <x v="4"/>
    <n v="4"/>
    <x v="338"/>
    <n v="0.14000000000000001"/>
    <x v="338"/>
  </r>
  <r>
    <x v="3"/>
    <x v="339"/>
    <s v="PROD63"/>
    <d v="2024-07-09T00:00:00"/>
    <s v="CUST1121"/>
    <s v="Anderson-Riley"/>
    <x v="0"/>
    <n v="1"/>
    <x v="41"/>
    <n v="0.24"/>
    <x v="339"/>
  </r>
  <r>
    <x v="3"/>
    <x v="340"/>
    <s v="PROD63"/>
    <d v="2025-01-14T00:00:00"/>
    <s v="CUST1450"/>
    <s v="Anderson-Riley"/>
    <x v="0"/>
    <n v="4"/>
    <x v="339"/>
    <n v="0.03"/>
    <x v="340"/>
  </r>
  <r>
    <x v="3"/>
    <x v="341"/>
    <s v="PROD64"/>
    <d v="2025-05-15T00:00:00"/>
    <s v="CUST1042"/>
    <s v="Zhang Inc"/>
    <x v="0"/>
    <n v="3"/>
    <x v="340"/>
    <n v="0.22"/>
    <x v="341"/>
  </r>
  <r>
    <x v="3"/>
    <x v="342"/>
    <s v="PROD65"/>
    <d v="2024-07-07T00:00:00"/>
    <s v="CUST1364"/>
    <s v="Montgomery, Benton and Miller"/>
    <x v="2"/>
    <n v="2"/>
    <x v="341"/>
    <n v="0.03"/>
    <x v="342"/>
  </r>
  <r>
    <x v="3"/>
    <x v="343"/>
    <s v="PROD66"/>
    <d v="2025-08-29T00:00:00"/>
    <s v="CUST1230"/>
    <s v="Torres, Spencer and Potter"/>
    <x v="0"/>
    <n v="1"/>
    <x v="342"/>
    <n v="0.03"/>
    <x v="343"/>
  </r>
  <r>
    <x v="3"/>
    <x v="344"/>
    <s v="PROD67"/>
    <d v="2024-05-15T00:00:00"/>
    <s v="CUST1013"/>
    <s v="Flores-Davis"/>
    <x v="4"/>
    <n v="4"/>
    <x v="343"/>
    <n v="0.1"/>
    <x v="344"/>
  </r>
  <r>
    <x v="3"/>
    <x v="345"/>
    <s v="PROD67"/>
    <d v="2025-05-17T00:00:00"/>
    <s v="CUST1031"/>
    <s v="Flores-Davis"/>
    <x v="4"/>
    <n v="2"/>
    <x v="344"/>
    <n v="0.28999999999999998"/>
    <x v="345"/>
  </r>
  <r>
    <x v="3"/>
    <x v="346"/>
    <s v="PROD68"/>
    <d v="2025-01-21T00:00:00"/>
    <s v="CUST1105"/>
    <s v="Wolfe, Ross and Hester"/>
    <x v="1"/>
    <n v="1"/>
    <x v="345"/>
    <n v="0.03"/>
    <x v="346"/>
  </r>
  <r>
    <x v="3"/>
    <x v="347"/>
    <s v="PROD69"/>
    <d v="2024-01-29T00:00:00"/>
    <s v="CUST1197"/>
    <s v="Fitzpatrick Ltd"/>
    <x v="3"/>
    <n v="2"/>
    <x v="346"/>
    <n v="0.15"/>
    <x v="347"/>
  </r>
  <r>
    <x v="3"/>
    <x v="348"/>
    <s v="PROD69"/>
    <d v="2023-12-07T00:00:00"/>
    <s v="CUST1466"/>
    <s v="Fitzpatrick Ltd"/>
    <x v="3"/>
    <n v="4"/>
    <x v="347"/>
    <n v="0.04"/>
    <x v="348"/>
  </r>
  <r>
    <x v="3"/>
    <x v="349"/>
    <s v="PROD72"/>
    <d v="2025-03-24T00:00:00"/>
    <s v="CUST1330"/>
    <s v="Davis PLC"/>
    <x v="2"/>
    <n v="2"/>
    <x v="348"/>
    <n v="0.18"/>
    <x v="349"/>
  </r>
  <r>
    <x v="3"/>
    <x v="350"/>
    <s v="PROD73"/>
    <d v="2024-06-04T00:00:00"/>
    <s v="CUST1007"/>
    <s v="French Ltd"/>
    <x v="2"/>
    <n v="4"/>
    <x v="349"/>
    <n v="0.28999999999999998"/>
    <x v="350"/>
  </r>
  <r>
    <x v="3"/>
    <x v="351"/>
    <s v="PROD73"/>
    <d v="2025-01-06T00:00:00"/>
    <s v="CUST1279"/>
    <s v="French Ltd"/>
    <x v="2"/>
    <n v="3"/>
    <x v="350"/>
    <n v="0.27"/>
    <x v="351"/>
  </r>
  <r>
    <x v="3"/>
    <x v="352"/>
    <s v="PROD74"/>
    <d v="2024-10-31T00:00:00"/>
    <s v="CUST1028"/>
    <s v="Bruce-Bowen"/>
    <x v="4"/>
    <n v="3"/>
    <x v="351"/>
    <n v="0.19"/>
    <x v="352"/>
  </r>
  <r>
    <x v="3"/>
    <x v="353"/>
    <s v="PROD86"/>
    <d v="2024-02-08T00:00:00"/>
    <s v="CUST1029"/>
    <s v="Taylor, Dodson and Johnston"/>
    <x v="1"/>
    <n v="2"/>
    <x v="352"/>
    <n v="7.0000000000000007E-2"/>
    <x v="353"/>
  </r>
  <r>
    <x v="3"/>
    <x v="354"/>
    <s v="PROD86"/>
    <d v="2024-09-28T00:00:00"/>
    <s v="CUST1483"/>
    <s v="Taylor, Dodson and Johnston"/>
    <x v="1"/>
    <n v="2"/>
    <x v="353"/>
    <n v="0.1"/>
    <x v="354"/>
  </r>
  <r>
    <x v="3"/>
    <x v="355"/>
    <s v="PROD87"/>
    <d v="2024-10-10T00:00:00"/>
    <s v="CUST1342"/>
    <s v="Aguilar, Horton and Lewis"/>
    <x v="1"/>
    <n v="4"/>
    <x v="354"/>
    <n v="0.16"/>
    <x v="355"/>
  </r>
  <r>
    <x v="3"/>
    <x v="356"/>
    <s v="PROD89"/>
    <d v="2024-04-06T00:00:00"/>
    <s v="CUST1232"/>
    <s v="Taylor-Elliott"/>
    <x v="0"/>
    <n v="3"/>
    <x v="355"/>
    <n v="0.05"/>
    <x v="356"/>
  </r>
  <r>
    <x v="3"/>
    <x v="357"/>
    <s v="PROD89"/>
    <d v="2023-11-27T00:00:00"/>
    <s v="CUST1367"/>
    <s v="Taylor-Elliott"/>
    <x v="0"/>
    <n v="1"/>
    <x v="356"/>
    <n v="0.23"/>
    <x v="357"/>
  </r>
  <r>
    <x v="3"/>
    <x v="358"/>
    <s v="PROD90"/>
    <d v="2024-02-21T00:00:00"/>
    <s v="CUST1278"/>
    <s v="Sharp, Taylor and Rodriguez"/>
    <x v="4"/>
    <n v="1"/>
    <x v="357"/>
    <n v="0.1"/>
    <x v="358"/>
  </r>
  <r>
    <x v="3"/>
    <x v="359"/>
    <s v="PROD91"/>
    <d v="2023-12-10T00:00:00"/>
    <s v="CUST1129"/>
    <s v="Smith-Charles"/>
    <x v="3"/>
    <n v="4"/>
    <x v="358"/>
    <n v="0.24"/>
    <x v="359"/>
  </r>
  <r>
    <x v="3"/>
    <x v="360"/>
    <s v="PROD92"/>
    <d v="2025-10-10T00:00:00"/>
    <s v="CUST1027"/>
    <s v="Green, Powell and Palmer"/>
    <x v="1"/>
    <n v="3"/>
    <x v="359"/>
    <n v="0.22"/>
    <x v="360"/>
  </r>
  <r>
    <x v="3"/>
    <x v="361"/>
    <s v="PROD92"/>
    <d v="2023-10-14T00:00:00"/>
    <s v="CUST1235"/>
    <s v="Green, Powell and Palmer"/>
    <x v="1"/>
    <n v="4"/>
    <x v="360"/>
    <n v="0.1"/>
    <x v="361"/>
  </r>
  <r>
    <x v="3"/>
    <x v="362"/>
    <s v="PROD92"/>
    <d v="2025-05-29T00:00:00"/>
    <s v="CUST1264"/>
    <s v="Green, Powell and Palmer"/>
    <x v="1"/>
    <n v="1"/>
    <x v="361"/>
    <n v="0.28000000000000003"/>
    <x v="362"/>
  </r>
  <r>
    <x v="3"/>
    <x v="363"/>
    <s v="PROD94"/>
    <d v="2024-08-30T00:00:00"/>
    <s v="CUST1029"/>
    <s v="Hoffman-Williams"/>
    <x v="0"/>
    <n v="3"/>
    <x v="362"/>
    <n v="0.08"/>
    <x v="363"/>
  </r>
  <r>
    <x v="3"/>
    <x v="364"/>
    <s v="PROD94"/>
    <d v="2024-10-04T00:00:00"/>
    <s v="CUST1259"/>
    <s v="Hoffman-Williams"/>
    <x v="0"/>
    <n v="1"/>
    <x v="363"/>
    <n v="0.05"/>
    <x v="364"/>
  </r>
  <r>
    <x v="3"/>
    <x v="365"/>
    <s v="PROD94"/>
    <d v="2024-02-13T00:00:00"/>
    <s v="CUST1304"/>
    <s v="Hoffman-Williams"/>
    <x v="0"/>
    <n v="3"/>
    <x v="364"/>
    <n v="0.19"/>
    <x v="365"/>
  </r>
  <r>
    <x v="3"/>
    <x v="366"/>
    <s v="PROD94"/>
    <d v="2025-01-27T00:00:00"/>
    <s v="CUST1491"/>
    <s v="Hoffman-Williams"/>
    <x v="0"/>
    <n v="3"/>
    <x v="365"/>
    <n v="0.12"/>
    <x v="366"/>
  </r>
  <r>
    <x v="3"/>
    <x v="367"/>
    <s v="PROD97"/>
    <d v="2024-01-18T00:00:00"/>
    <s v="CUST1301"/>
    <s v="Khan LLC"/>
    <x v="2"/>
    <n v="2"/>
    <x v="366"/>
    <n v="0.08"/>
    <x v="367"/>
  </r>
  <r>
    <x v="3"/>
    <x v="368"/>
    <s v="PROD98"/>
    <d v="2025-01-16T00:00:00"/>
    <s v="CUST1057"/>
    <s v="Flores-King"/>
    <x v="4"/>
    <n v="4"/>
    <x v="367"/>
    <n v="0.2"/>
    <x v="368"/>
  </r>
  <r>
    <x v="3"/>
    <x v="369"/>
    <s v="PROD98"/>
    <d v="2025-04-16T00:00:00"/>
    <s v="CUST1102"/>
    <s v="Flores-King"/>
    <x v="4"/>
    <n v="1"/>
    <x v="368"/>
    <n v="0.26"/>
    <x v="369"/>
  </r>
  <r>
    <x v="3"/>
    <x v="370"/>
    <s v="PROD99"/>
    <d v="2024-11-22T00:00:00"/>
    <s v="CUST1112"/>
    <s v="Campbell Ltd"/>
    <x v="1"/>
    <n v="1"/>
    <x v="369"/>
    <n v="0.16"/>
    <x v="370"/>
  </r>
  <r>
    <x v="4"/>
    <x v="371"/>
    <s v="PROD1"/>
    <d v="2024-02-07T00:00:00"/>
    <s v="CUST1292"/>
    <s v="Terry-Moore"/>
    <x v="3"/>
    <n v="2"/>
    <x v="370"/>
    <n v="0.12"/>
    <x v="371"/>
  </r>
  <r>
    <x v="4"/>
    <x v="372"/>
    <s v="PROD10"/>
    <d v="2024-02-14T00:00:00"/>
    <s v="CUST1081"/>
    <s v="Hamilton Group"/>
    <x v="1"/>
    <n v="3"/>
    <x v="371"/>
    <n v="0.15"/>
    <x v="372"/>
  </r>
  <r>
    <x v="4"/>
    <x v="373"/>
    <s v="PROD10"/>
    <d v="2024-10-02T00:00:00"/>
    <s v="CUST1133"/>
    <s v="Hamilton Group"/>
    <x v="1"/>
    <n v="4"/>
    <x v="372"/>
    <n v="0.22"/>
    <x v="373"/>
  </r>
  <r>
    <x v="4"/>
    <x v="374"/>
    <s v="PROD11"/>
    <d v="2025-05-20T00:00:00"/>
    <s v="CUST1173"/>
    <s v="Gibson, Hobbs and Weaver"/>
    <x v="4"/>
    <n v="1"/>
    <x v="373"/>
    <n v="0.19"/>
    <x v="374"/>
  </r>
  <r>
    <x v="4"/>
    <x v="375"/>
    <s v="PROD14"/>
    <d v="2023-11-26T00:00:00"/>
    <s v="CUST1155"/>
    <s v="Luna, Anderson and Bowman"/>
    <x v="1"/>
    <n v="1"/>
    <x v="374"/>
    <n v="0.05"/>
    <x v="375"/>
  </r>
  <r>
    <x v="4"/>
    <x v="376"/>
    <s v="PROD14"/>
    <d v="2024-01-10T00:00:00"/>
    <s v="CUST1308"/>
    <s v="Luna, Anderson and Bowman"/>
    <x v="1"/>
    <n v="2"/>
    <x v="375"/>
    <n v="0.21"/>
    <x v="376"/>
  </r>
  <r>
    <x v="4"/>
    <x v="377"/>
    <s v="PROD15"/>
    <d v="2025-04-28T00:00:00"/>
    <s v="CUST1072"/>
    <s v="Thomas LLC"/>
    <x v="4"/>
    <n v="4"/>
    <x v="376"/>
    <n v="0.11"/>
    <x v="377"/>
  </r>
  <r>
    <x v="4"/>
    <x v="378"/>
    <s v="PROD17"/>
    <d v="2024-01-01T00:00:00"/>
    <s v="CUST1104"/>
    <s v="Ford, Murphy and Wilson"/>
    <x v="2"/>
    <n v="2"/>
    <x v="377"/>
    <n v="0"/>
    <x v="378"/>
  </r>
  <r>
    <x v="4"/>
    <x v="379"/>
    <s v="PROD18"/>
    <d v="2024-04-27T00:00:00"/>
    <s v="CUST1056"/>
    <s v="Guerra-Hendrix"/>
    <x v="3"/>
    <n v="4"/>
    <x v="378"/>
    <n v="0.17"/>
    <x v="379"/>
  </r>
  <r>
    <x v="4"/>
    <x v="380"/>
    <s v="PROD18"/>
    <d v="2024-11-06T00:00:00"/>
    <s v="CUST1371"/>
    <s v="Guerra-Hendrix"/>
    <x v="3"/>
    <n v="3"/>
    <x v="379"/>
    <n v="0.01"/>
    <x v="380"/>
  </r>
  <r>
    <x v="4"/>
    <x v="381"/>
    <s v="PROD2"/>
    <d v="2024-08-30T00:00:00"/>
    <s v="CUST1498"/>
    <s v="Sims Inc"/>
    <x v="3"/>
    <n v="3"/>
    <x v="380"/>
    <n v="0.12"/>
    <x v="381"/>
  </r>
  <r>
    <x v="4"/>
    <x v="382"/>
    <s v="PROD20"/>
    <d v="2025-07-13T00:00:00"/>
    <s v="CUST1101"/>
    <s v="Soto-Ellis"/>
    <x v="2"/>
    <n v="4"/>
    <x v="381"/>
    <n v="0.12"/>
    <x v="382"/>
  </r>
  <r>
    <x v="4"/>
    <x v="383"/>
    <s v="PROD20"/>
    <d v="2025-02-07T00:00:00"/>
    <s v="CUST1266"/>
    <s v="Soto-Ellis"/>
    <x v="2"/>
    <n v="1"/>
    <x v="382"/>
    <n v="0.08"/>
    <x v="383"/>
  </r>
  <r>
    <x v="4"/>
    <x v="384"/>
    <s v="PROD21"/>
    <d v="2025-03-20T00:00:00"/>
    <s v="CUST1033"/>
    <s v="Gardner-Montes"/>
    <x v="1"/>
    <n v="3"/>
    <x v="383"/>
    <n v="0.3"/>
    <x v="384"/>
  </r>
  <r>
    <x v="4"/>
    <x v="385"/>
    <s v="PROD21"/>
    <d v="2024-02-22T00:00:00"/>
    <s v="CUST1055"/>
    <s v="Gardner-Montes"/>
    <x v="1"/>
    <n v="1"/>
    <x v="384"/>
    <n v="0.11"/>
    <x v="385"/>
  </r>
  <r>
    <x v="4"/>
    <x v="386"/>
    <s v="PROD21"/>
    <d v="2023-12-14T00:00:00"/>
    <s v="CUST1472"/>
    <s v="Gardner-Montes"/>
    <x v="1"/>
    <n v="3"/>
    <x v="385"/>
    <n v="0.27"/>
    <x v="386"/>
  </r>
  <r>
    <x v="4"/>
    <x v="387"/>
    <s v="PROD22"/>
    <d v="2024-05-20T00:00:00"/>
    <s v="CUST1319"/>
    <s v="Flores, Pineda and Rodriguez"/>
    <x v="2"/>
    <n v="1"/>
    <x v="386"/>
    <n v="0.13"/>
    <x v="387"/>
  </r>
  <r>
    <x v="4"/>
    <x v="388"/>
    <s v="PROD22"/>
    <d v="2024-04-06T00:00:00"/>
    <s v="CUST1479"/>
    <s v="Flores, Pineda and Rodriguez"/>
    <x v="2"/>
    <n v="4"/>
    <x v="387"/>
    <n v="0.06"/>
    <x v="388"/>
  </r>
  <r>
    <x v="4"/>
    <x v="389"/>
    <s v="PROD24"/>
    <d v="2024-03-08T00:00:00"/>
    <s v="CUST1179"/>
    <s v="Cook Ltd"/>
    <x v="2"/>
    <n v="2"/>
    <x v="388"/>
    <n v="7.0000000000000007E-2"/>
    <x v="389"/>
  </r>
  <r>
    <x v="4"/>
    <x v="390"/>
    <s v="PROD24"/>
    <d v="2024-01-02T00:00:00"/>
    <s v="CUST1303"/>
    <s v="Cook Ltd"/>
    <x v="2"/>
    <n v="3"/>
    <x v="389"/>
    <n v="0.11"/>
    <x v="390"/>
  </r>
  <r>
    <x v="4"/>
    <x v="391"/>
    <s v="PROD25"/>
    <d v="2024-07-28T00:00:00"/>
    <s v="CUST1104"/>
    <s v="Brown and Sons"/>
    <x v="3"/>
    <n v="4"/>
    <x v="390"/>
    <n v="0.13"/>
    <x v="391"/>
  </r>
  <r>
    <x v="4"/>
    <x v="392"/>
    <s v="PROD25"/>
    <d v="2023-12-20T00:00:00"/>
    <s v="CUST1146"/>
    <s v="Brown and Sons"/>
    <x v="3"/>
    <n v="2"/>
    <x v="391"/>
    <n v="0.2"/>
    <x v="392"/>
  </r>
  <r>
    <x v="4"/>
    <x v="393"/>
    <s v="PROD32"/>
    <d v="2024-01-27T00:00:00"/>
    <s v="CUST1058"/>
    <s v="Griffin Ltd"/>
    <x v="0"/>
    <n v="3"/>
    <x v="392"/>
    <n v="0.04"/>
    <x v="393"/>
  </r>
  <r>
    <x v="4"/>
    <x v="394"/>
    <s v="PROD32"/>
    <d v="2024-06-29T00:00:00"/>
    <s v="CUST1243"/>
    <s v="Griffin Ltd"/>
    <x v="0"/>
    <n v="4"/>
    <x v="393"/>
    <n v="0.2"/>
    <x v="394"/>
  </r>
  <r>
    <x v="4"/>
    <x v="395"/>
    <s v="PROD34"/>
    <d v="2024-08-22T00:00:00"/>
    <s v="CUST1384"/>
    <s v="Lucero LLC"/>
    <x v="4"/>
    <n v="4"/>
    <x v="394"/>
    <n v="0.04"/>
    <x v="395"/>
  </r>
  <r>
    <x v="4"/>
    <x v="396"/>
    <s v="PROD35"/>
    <d v="2025-08-15T00:00:00"/>
    <s v="CUST1131"/>
    <s v="Jones LLC"/>
    <x v="1"/>
    <n v="1"/>
    <x v="395"/>
    <n v="7.0000000000000007E-2"/>
    <x v="396"/>
  </r>
  <r>
    <x v="4"/>
    <x v="397"/>
    <s v="PROD35"/>
    <d v="2025-08-11T00:00:00"/>
    <s v="CUST1360"/>
    <s v="Jones LLC"/>
    <x v="1"/>
    <n v="2"/>
    <x v="396"/>
    <n v="7.0000000000000007E-2"/>
    <x v="397"/>
  </r>
  <r>
    <x v="4"/>
    <x v="398"/>
    <s v="PROD35"/>
    <d v="2025-07-12T00:00:00"/>
    <s v="CUST1437"/>
    <s v="Jones LLC"/>
    <x v="1"/>
    <n v="3"/>
    <x v="397"/>
    <n v="0"/>
    <x v="398"/>
  </r>
  <r>
    <x v="4"/>
    <x v="399"/>
    <s v="PROD37"/>
    <d v="2024-09-20T00:00:00"/>
    <s v="CUST1053"/>
    <s v="Hogan-Lee"/>
    <x v="3"/>
    <n v="4"/>
    <x v="398"/>
    <n v="0.09"/>
    <x v="399"/>
  </r>
  <r>
    <x v="4"/>
    <x v="400"/>
    <s v="PROD37"/>
    <d v="2024-08-20T00:00:00"/>
    <s v="CUST1312"/>
    <s v="Hogan-Lee"/>
    <x v="3"/>
    <n v="4"/>
    <x v="399"/>
    <n v="0.28000000000000003"/>
    <x v="400"/>
  </r>
  <r>
    <x v="4"/>
    <x v="401"/>
    <s v="PROD38"/>
    <d v="2024-05-19T00:00:00"/>
    <s v="CUST1211"/>
    <s v="Sims-Smith"/>
    <x v="2"/>
    <n v="4"/>
    <x v="400"/>
    <n v="0.13"/>
    <x v="401"/>
  </r>
  <r>
    <x v="4"/>
    <x v="402"/>
    <s v="PROD38"/>
    <d v="2025-04-12T00:00:00"/>
    <s v="CUST1343"/>
    <s v="Sims-Smith"/>
    <x v="2"/>
    <n v="1"/>
    <x v="401"/>
    <n v="0.06"/>
    <x v="402"/>
  </r>
  <r>
    <x v="4"/>
    <x v="403"/>
    <s v="PROD38"/>
    <d v="2024-04-03T00:00:00"/>
    <s v="CUST1478"/>
    <s v="Sims-Smith"/>
    <x v="2"/>
    <n v="2"/>
    <x v="402"/>
    <n v="0.28000000000000003"/>
    <x v="403"/>
  </r>
  <r>
    <x v="4"/>
    <x v="404"/>
    <s v="PROD39"/>
    <d v="2025-06-15T00:00:00"/>
    <s v="CUST1043"/>
    <s v="Cummings and Sons"/>
    <x v="4"/>
    <n v="1"/>
    <x v="403"/>
    <n v="0.1"/>
    <x v="404"/>
  </r>
  <r>
    <x v="4"/>
    <x v="405"/>
    <s v="PROD39"/>
    <d v="2024-11-10T00:00:00"/>
    <s v="CUST1219"/>
    <s v="Cummings and Sons"/>
    <x v="4"/>
    <n v="4"/>
    <x v="404"/>
    <n v="0.21"/>
    <x v="405"/>
  </r>
  <r>
    <x v="4"/>
    <x v="406"/>
    <s v="PROD39"/>
    <d v="2023-11-05T00:00:00"/>
    <s v="CUST1478"/>
    <s v="Cummings and Sons"/>
    <x v="4"/>
    <n v="3"/>
    <x v="405"/>
    <n v="0.27"/>
    <x v="406"/>
  </r>
  <r>
    <x v="4"/>
    <x v="407"/>
    <s v="PROD4"/>
    <d v="2024-07-04T00:00:00"/>
    <s v="CUST1464"/>
    <s v="Gonzales-Davis"/>
    <x v="3"/>
    <n v="1"/>
    <x v="406"/>
    <n v="0.04"/>
    <x v="407"/>
  </r>
  <r>
    <x v="4"/>
    <x v="408"/>
    <s v="PROD40"/>
    <d v="2024-05-21T00:00:00"/>
    <s v="CUST1495"/>
    <s v="Taylor-Hart"/>
    <x v="4"/>
    <n v="4"/>
    <x v="407"/>
    <n v="0.03"/>
    <x v="408"/>
  </r>
  <r>
    <x v="4"/>
    <x v="409"/>
    <s v="PROD41"/>
    <d v="2024-10-25T00:00:00"/>
    <s v="CUST1464"/>
    <s v="Carroll, Long and Mendoza"/>
    <x v="2"/>
    <n v="2"/>
    <x v="408"/>
    <n v="7.0000000000000007E-2"/>
    <x v="409"/>
  </r>
  <r>
    <x v="4"/>
    <x v="410"/>
    <s v="PROD42"/>
    <d v="2025-06-23T00:00:00"/>
    <s v="CUST1168"/>
    <s v="Holmes LLC"/>
    <x v="4"/>
    <n v="3"/>
    <x v="409"/>
    <n v="0.28000000000000003"/>
    <x v="410"/>
  </r>
  <r>
    <x v="4"/>
    <x v="411"/>
    <s v="PROD43"/>
    <d v="2024-09-03T00:00:00"/>
    <s v="CUST1203"/>
    <s v="Robinson Inc"/>
    <x v="4"/>
    <n v="2"/>
    <x v="410"/>
    <n v="0.23"/>
    <x v="411"/>
  </r>
  <r>
    <x v="4"/>
    <x v="412"/>
    <s v="PROD47"/>
    <d v="2024-12-30T00:00:00"/>
    <s v="CUST1064"/>
    <s v="Cook Inc"/>
    <x v="0"/>
    <n v="2"/>
    <x v="411"/>
    <n v="0.24"/>
    <x v="412"/>
  </r>
  <r>
    <x v="4"/>
    <x v="413"/>
    <s v="PROD48"/>
    <d v="2025-01-05T00:00:00"/>
    <s v="CUST1164"/>
    <s v="Byrd, Stewart and Valdez"/>
    <x v="4"/>
    <n v="4"/>
    <x v="412"/>
    <n v="0.13"/>
    <x v="413"/>
  </r>
  <r>
    <x v="4"/>
    <x v="414"/>
    <s v="PROD5"/>
    <d v="2024-07-29T00:00:00"/>
    <s v="CUST1093"/>
    <s v="Baldwin, Garza and Gonzalez"/>
    <x v="3"/>
    <n v="3"/>
    <x v="413"/>
    <n v="7.0000000000000007E-2"/>
    <x v="414"/>
  </r>
  <r>
    <x v="4"/>
    <x v="415"/>
    <s v="PROD50"/>
    <d v="2025-03-01T00:00:00"/>
    <s v="CUST1391"/>
    <s v="Smith-King"/>
    <x v="2"/>
    <n v="2"/>
    <x v="414"/>
    <n v="0.11"/>
    <x v="415"/>
  </r>
  <r>
    <x v="4"/>
    <x v="416"/>
    <s v="PROD51"/>
    <d v="2024-11-19T00:00:00"/>
    <s v="CUST1042"/>
    <s v="Bautista, Green and Hale"/>
    <x v="4"/>
    <n v="3"/>
    <x v="415"/>
    <n v="0.12"/>
    <x v="416"/>
  </r>
  <r>
    <x v="4"/>
    <x v="417"/>
    <s v="PROD51"/>
    <d v="2024-12-18T00:00:00"/>
    <s v="CUST1099"/>
    <s v="Bautista, Green and Hale"/>
    <x v="4"/>
    <n v="1"/>
    <x v="416"/>
    <n v="0.06"/>
    <x v="417"/>
  </r>
  <r>
    <x v="4"/>
    <x v="418"/>
    <s v="PROD53"/>
    <d v="2024-10-28T00:00:00"/>
    <s v="CUST1412"/>
    <s v="Hamilton, Woods and Walker"/>
    <x v="3"/>
    <n v="2"/>
    <x v="417"/>
    <n v="0.03"/>
    <x v="418"/>
  </r>
  <r>
    <x v="4"/>
    <x v="419"/>
    <s v="PROD54"/>
    <d v="2025-08-28T00:00:00"/>
    <s v="CUST1087"/>
    <s v="Thompson-French"/>
    <x v="2"/>
    <n v="4"/>
    <x v="418"/>
    <n v="0.15"/>
    <x v="419"/>
  </r>
  <r>
    <x v="4"/>
    <x v="420"/>
    <s v="PROD54"/>
    <d v="2024-05-06T00:00:00"/>
    <s v="CUST1276"/>
    <s v="Thompson-French"/>
    <x v="2"/>
    <n v="4"/>
    <x v="419"/>
    <n v="0.26"/>
    <x v="420"/>
  </r>
  <r>
    <x v="4"/>
    <x v="421"/>
    <s v="PROD55"/>
    <d v="2025-02-14T00:00:00"/>
    <s v="CUST1007"/>
    <s v="Hatfield, Baird and Torres"/>
    <x v="1"/>
    <n v="1"/>
    <x v="420"/>
    <n v="0.14000000000000001"/>
    <x v="421"/>
  </r>
  <r>
    <x v="4"/>
    <x v="422"/>
    <s v="PROD55"/>
    <d v="2024-02-16T00:00:00"/>
    <s v="CUST1356"/>
    <s v="Hatfield, Baird and Torres"/>
    <x v="1"/>
    <n v="1"/>
    <x v="421"/>
    <n v="0.09"/>
    <x v="422"/>
  </r>
  <r>
    <x v="4"/>
    <x v="423"/>
    <s v="PROD56"/>
    <d v="2025-07-17T00:00:00"/>
    <s v="CUST1470"/>
    <s v="Hernandez, Kennedy and Porter"/>
    <x v="1"/>
    <n v="3"/>
    <x v="422"/>
    <n v="0.17"/>
    <x v="423"/>
  </r>
  <r>
    <x v="4"/>
    <x v="424"/>
    <s v="PROD58"/>
    <d v="2025-09-21T00:00:00"/>
    <s v="CUST1098"/>
    <s v="Shepherd-Gould"/>
    <x v="3"/>
    <n v="2"/>
    <x v="423"/>
    <n v="0.11"/>
    <x v="424"/>
  </r>
  <r>
    <x v="4"/>
    <x v="425"/>
    <s v="PROD59"/>
    <d v="2024-05-23T00:00:00"/>
    <s v="CUST1044"/>
    <s v="Cline-Mccarthy"/>
    <x v="0"/>
    <n v="1"/>
    <x v="424"/>
    <n v="0.1"/>
    <x v="425"/>
  </r>
  <r>
    <x v="4"/>
    <x v="426"/>
    <s v="PROD60"/>
    <d v="2025-03-14T00:00:00"/>
    <s v="CUST1031"/>
    <s v="Gibson, Green and Lopez"/>
    <x v="0"/>
    <n v="2"/>
    <x v="425"/>
    <n v="0.18"/>
    <x v="426"/>
  </r>
  <r>
    <x v="4"/>
    <x v="427"/>
    <s v="PROD60"/>
    <d v="2023-12-12T00:00:00"/>
    <s v="CUST1122"/>
    <s v="Gibson, Green and Lopez"/>
    <x v="0"/>
    <n v="4"/>
    <x v="426"/>
    <n v="0.22"/>
    <x v="427"/>
  </r>
  <r>
    <x v="4"/>
    <x v="428"/>
    <s v="PROD61"/>
    <d v="2024-02-19T00:00:00"/>
    <s v="CUST1005"/>
    <s v="Lopez LLC"/>
    <x v="2"/>
    <n v="4"/>
    <x v="427"/>
    <n v="0.12"/>
    <x v="428"/>
  </r>
  <r>
    <x v="4"/>
    <x v="429"/>
    <s v="PROD62"/>
    <d v="2025-09-17T00:00:00"/>
    <s v="CUST1031"/>
    <s v="Murray, Gould and Ware"/>
    <x v="4"/>
    <n v="3"/>
    <x v="428"/>
    <n v="0.03"/>
    <x v="429"/>
  </r>
  <r>
    <x v="4"/>
    <x v="430"/>
    <s v="PROD63"/>
    <d v="2024-07-24T00:00:00"/>
    <s v="CUST1438"/>
    <s v="Anderson-Riley"/>
    <x v="0"/>
    <n v="1"/>
    <x v="429"/>
    <n v="0.11"/>
    <x v="430"/>
  </r>
  <r>
    <x v="4"/>
    <x v="431"/>
    <s v="PROD65"/>
    <d v="2024-02-16T00:00:00"/>
    <s v="CUST1323"/>
    <s v="Montgomery, Benton and Miller"/>
    <x v="2"/>
    <n v="1"/>
    <x v="430"/>
    <n v="0.05"/>
    <x v="431"/>
  </r>
  <r>
    <x v="4"/>
    <x v="432"/>
    <s v="PROD66"/>
    <d v="2024-04-06T00:00:00"/>
    <s v="CUST1192"/>
    <s v="Torres, Spencer and Potter"/>
    <x v="0"/>
    <n v="3"/>
    <x v="431"/>
    <n v="0.24"/>
    <x v="432"/>
  </r>
  <r>
    <x v="4"/>
    <x v="433"/>
    <s v="PROD66"/>
    <d v="2024-10-08T00:00:00"/>
    <s v="CUST1399"/>
    <s v="Torres, Spencer and Potter"/>
    <x v="0"/>
    <n v="2"/>
    <x v="432"/>
    <n v="0.26"/>
    <x v="433"/>
  </r>
  <r>
    <x v="4"/>
    <x v="434"/>
    <s v="PROD69"/>
    <d v="2025-07-25T00:00:00"/>
    <s v="CUST1275"/>
    <s v="Fitzpatrick Ltd"/>
    <x v="3"/>
    <n v="4"/>
    <x v="433"/>
    <n v="0.01"/>
    <x v="434"/>
  </r>
  <r>
    <x v="4"/>
    <x v="435"/>
    <s v="PROD70"/>
    <d v="2023-12-13T00:00:00"/>
    <s v="CUST1364"/>
    <s v="Duran Group"/>
    <x v="1"/>
    <n v="3"/>
    <x v="434"/>
    <n v="0.09"/>
    <x v="435"/>
  </r>
  <r>
    <x v="4"/>
    <x v="436"/>
    <s v="PROD71"/>
    <d v="2024-10-11T00:00:00"/>
    <s v="CUST1201"/>
    <s v="Hopkins Ltd"/>
    <x v="0"/>
    <n v="4"/>
    <x v="435"/>
    <n v="0.12"/>
    <x v="436"/>
  </r>
  <r>
    <x v="4"/>
    <x v="437"/>
    <s v="PROD74"/>
    <d v="2024-10-31T00:00:00"/>
    <s v="CUST1327"/>
    <s v="Bruce-Bowen"/>
    <x v="4"/>
    <n v="3"/>
    <x v="436"/>
    <n v="0.01"/>
    <x v="437"/>
  </r>
  <r>
    <x v="4"/>
    <x v="438"/>
    <s v="PROD74"/>
    <d v="2024-05-21T00:00:00"/>
    <s v="CUST1462"/>
    <s v="Bruce-Bowen"/>
    <x v="4"/>
    <n v="3"/>
    <x v="437"/>
    <n v="0.01"/>
    <x v="438"/>
  </r>
  <r>
    <x v="4"/>
    <x v="439"/>
    <s v="PROD75"/>
    <d v="2025-04-13T00:00:00"/>
    <s v="CUST1176"/>
    <s v="Poole PLC"/>
    <x v="3"/>
    <n v="1"/>
    <x v="438"/>
    <n v="0.19"/>
    <x v="439"/>
  </r>
  <r>
    <x v="4"/>
    <x v="440"/>
    <s v="PROD77"/>
    <d v="2024-11-29T00:00:00"/>
    <s v="CUST1077"/>
    <s v="White, Reeves and Woods"/>
    <x v="4"/>
    <n v="4"/>
    <x v="439"/>
    <n v="0.23"/>
    <x v="440"/>
  </r>
  <r>
    <x v="4"/>
    <x v="441"/>
    <s v="PROD78"/>
    <d v="2024-08-21T00:00:00"/>
    <s v="CUST1062"/>
    <s v="Hernandez Inc"/>
    <x v="1"/>
    <n v="1"/>
    <x v="440"/>
    <n v="0"/>
    <x v="441"/>
  </r>
  <r>
    <x v="4"/>
    <x v="442"/>
    <s v="PROD78"/>
    <d v="2025-04-15T00:00:00"/>
    <s v="CUST1311"/>
    <s v="Hernandez Inc"/>
    <x v="1"/>
    <n v="2"/>
    <x v="441"/>
    <n v="0.22"/>
    <x v="442"/>
  </r>
  <r>
    <x v="4"/>
    <x v="443"/>
    <s v="PROD78"/>
    <d v="2024-06-17T00:00:00"/>
    <s v="CUST1488"/>
    <s v="Hernandez Inc"/>
    <x v="1"/>
    <n v="2"/>
    <x v="281"/>
    <n v="0.17"/>
    <x v="443"/>
  </r>
  <r>
    <x v="4"/>
    <x v="444"/>
    <s v="PROD79"/>
    <d v="2024-11-28T00:00:00"/>
    <s v="CUST1496"/>
    <s v="Ramirez-Hanson"/>
    <x v="1"/>
    <n v="4"/>
    <x v="442"/>
    <n v="0.3"/>
    <x v="444"/>
  </r>
  <r>
    <x v="4"/>
    <x v="445"/>
    <s v="PROD80"/>
    <d v="2024-09-17T00:00:00"/>
    <s v="CUST1097"/>
    <s v="Allison Ltd"/>
    <x v="1"/>
    <n v="2"/>
    <x v="443"/>
    <n v="0.24"/>
    <x v="445"/>
  </r>
  <r>
    <x v="4"/>
    <x v="446"/>
    <s v="PROD81"/>
    <d v="2024-07-16T00:00:00"/>
    <s v="CUST1126"/>
    <s v="Robinson-Brown"/>
    <x v="2"/>
    <n v="2"/>
    <x v="444"/>
    <n v="0.11"/>
    <x v="446"/>
  </r>
  <r>
    <x v="4"/>
    <x v="447"/>
    <s v="PROD81"/>
    <d v="2024-12-23T00:00:00"/>
    <s v="CUST1223"/>
    <s v="Robinson-Brown"/>
    <x v="2"/>
    <n v="1"/>
    <x v="445"/>
    <n v="0.21"/>
    <x v="447"/>
  </r>
  <r>
    <x v="4"/>
    <x v="448"/>
    <s v="PROD83"/>
    <d v="2025-08-02T00:00:00"/>
    <s v="CUST1301"/>
    <s v="Butler Group"/>
    <x v="0"/>
    <n v="3"/>
    <x v="446"/>
    <n v="0.03"/>
    <x v="448"/>
  </r>
  <r>
    <x v="4"/>
    <x v="449"/>
    <s v="PROD83"/>
    <d v="2024-01-19T00:00:00"/>
    <s v="CUST1369"/>
    <s v="Butler Group"/>
    <x v="0"/>
    <n v="4"/>
    <x v="447"/>
    <n v="0.19"/>
    <x v="449"/>
  </r>
  <r>
    <x v="4"/>
    <x v="450"/>
    <s v="PROD83"/>
    <d v="2025-07-15T00:00:00"/>
    <s v="CUST1428"/>
    <s v="Butler Group"/>
    <x v="0"/>
    <n v="1"/>
    <x v="448"/>
    <n v="0.22"/>
    <x v="450"/>
  </r>
  <r>
    <x v="4"/>
    <x v="451"/>
    <s v="PROD87"/>
    <d v="2025-05-20T00:00:00"/>
    <s v="CUST1194"/>
    <s v="Aguilar, Horton and Lewis"/>
    <x v="1"/>
    <n v="2"/>
    <x v="449"/>
    <n v="0.27"/>
    <x v="451"/>
  </r>
  <r>
    <x v="4"/>
    <x v="452"/>
    <s v="PROD89"/>
    <d v="2025-03-19T00:00:00"/>
    <s v="CUST1101"/>
    <s v="Taylor-Elliott"/>
    <x v="0"/>
    <n v="4"/>
    <x v="450"/>
    <n v="0.28000000000000003"/>
    <x v="452"/>
  </r>
  <r>
    <x v="4"/>
    <x v="453"/>
    <s v="PROD89"/>
    <d v="2025-09-27T00:00:00"/>
    <s v="CUST1126"/>
    <s v="Taylor-Elliott"/>
    <x v="0"/>
    <n v="2"/>
    <x v="451"/>
    <n v="0.05"/>
    <x v="453"/>
  </r>
  <r>
    <x v="4"/>
    <x v="454"/>
    <s v="PROD89"/>
    <d v="2025-03-22T00:00:00"/>
    <s v="CUST1496"/>
    <s v="Taylor-Elliott"/>
    <x v="0"/>
    <n v="4"/>
    <x v="452"/>
    <n v="0.01"/>
    <x v="454"/>
  </r>
  <r>
    <x v="4"/>
    <x v="455"/>
    <s v="PROD9"/>
    <d v="2025-04-09T00:00:00"/>
    <s v="CUST1044"/>
    <s v="Hill PLC"/>
    <x v="2"/>
    <n v="1"/>
    <x v="453"/>
    <n v="0.01"/>
    <x v="455"/>
  </r>
  <r>
    <x v="4"/>
    <x v="456"/>
    <s v="PROD9"/>
    <d v="2024-04-10T00:00:00"/>
    <s v="CUST1065"/>
    <s v="Hill PLC"/>
    <x v="2"/>
    <n v="1"/>
    <x v="454"/>
    <n v="0.26"/>
    <x v="456"/>
  </r>
  <r>
    <x v="4"/>
    <x v="457"/>
    <s v="PROD9"/>
    <d v="2024-05-16T00:00:00"/>
    <s v="CUST1199"/>
    <s v="Hill PLC"/>
    <x v="2"/>
    <n v="2"/>
    <x v="455"/>
    <n v="0.16"/>
    <x v="457"/>
  </r>
  <r>
    <x v="4"/>
    <x v="458"/>
    <s v="PROD90"/>
    <d v="2025-07-05T00:00:00"/>
    <s v="CUST1149"/>
    <s v="Sharp, Taylor and Rodriguez"/>
    <x v="4"/>
    <n v="1"/>
    <x v="456"/>
    <n v="0.02"/>
    <x v="458"/>
  </r>
  <r>
    <x v="4"/>
    <x v="459"/>
    <s v="PROD91"/>
    <d v="2024-02-09T00:00:00"/>
    <s v="CUST1363"/>
    <s v="Smith-Charles"/>
    <x v="3"/>
    <n v="2"/>
    <x v="457"/>
    <n v="0.21"/>
    <x v="459"/>
  </r>
  <r>
    <x v="4"/>
    <x v="460"/>
    <s v="PROD92"/>
    <d v="2024-03-31T00:00:00"/>
    <s v="CUST1332"/>
    <s v="Green, Powell and Palmer"/>
    <x v="1"/>
    <n v="4"/>
    <x v="458"/>
    <n v="0.2"/>
    <x v="460"/>
  </r>
  <r>
    <x v="4"/>
    <x v="461"/>
    <s v="PROD93"/>
    <d v="2024-12-07T00:00:00"/>
    <s v="CUST1084"/>
    <s v="Martin LLC"/>
    <x v="4"/>
    <n v="4"/>
    <x v="459"/>
    <n v="0.17"/>
    <x v="461"/>
  </r>
  <r>
    <x v="4"/>
    <x v="462"/>
    <s v="PROD93"/>
    <d v="2025-03-29T00:00:00"/>
    <s v="CUST1307"/>
    <s v="Martin LLC"/>
    <x v="4"/>
    <n v="4"/>
    <x v="460"/>
    <n v="0.22"/>
    <x v="462"/>
  </r>
  <r>
    <x v="4"/>
    <x v="463"/>
    <s v="PROD93"/>
    <d v="2025-06-15T00:00:00"/>
    <s v="CUST1471"/>
    <s v="Martin LLC"/>
    <x v="4"/>
    <n v="2"/>
    <x v="461"/>
    <n v="0.06"/>
    <x v="463"/>
  </r>
  <r>
    <x v="4"/>
    <x v="464"/>
    <s v="PROD94"/>
    <d v="2025-07-06T00:00:00"/>
    <s v="CUST1206"/>
    <s v="Hoffman-Williams"/>
    <x v="0"/>
    <n v="2"/>
    <x v="462"/>
    <n v="0.2"/>
    <x v="464"/>
  </r>
  <r>
    <x v="4"/>
    <x v="465"/>
    <s v="PROD94"/>
    <d v="2025-03-13T00:00:00"/>
    <s v="CUST1435"/>
    <s v="Hoffman-Williams"/>
    <x v="0"/>
    <n v="1"/>
    <x v="463"/>
    <n v="0.09"/>
    <x v="465"/>
  </r>
  <r>
    <x v="4"/>
    <x v="466"/>
    <s v="PROD94"/>
    <d v="2025-09-30T00:00:00"/>
    <s v="CUST1466"/>
    <s v="Hoffman-Williams"/>
    <x v="0"/>
    <n v="2"/>
    <x v="464"/>
    <n v="0.23"/>
    <x v="466"/>
  </r>
  <r>
    <x v="4"/>
    <x v="467"/>
    <s v="PROD95"/>
    <d v="2025-03-23T00:00:00"/>
    <s v="CUST1220"/>
    <s v="Wilson Group"/>
    <x v="2"/>
    <n v="4"/>
    <x v="465"/>
    <n v="0.24"/>
    <x v="467"/>
  </r>
  <r>
    <x v="4"/>
    <x v="468"/>
    <s v="PROD97"/>
    <d v="2024-07-27T00:00:00"/>
    <s v="CUST1035"/>
    <s v="Khan LLC"/>
    <x v="2"/>
    <n v="4"/>
    <x v="466"/>
    <n v="0.23"/>
    <x v="468"/>
  </r>
  <r>
    <x v="4"/>
    <x v="469"/>
    <s v="PROD97"/>
    <d v="2025-08-09T00:00:00"/>
    <s v="CUST1152"/>
    <s v="Khan LLC"/>
    <x v="2"/>
    <n v="4"/>
    <x v="467"/>
    <n v="0.19"/>
    <x v="469"/>
  </r>
  <r>
    <x v="4"/>
    <x v="470"/>
    <s v="PROD99"/>
    <d v="2024-03-10T00:00:00"/>
    <s v="CUST1468"/>
    <s v="Campbell Ltd"/>
    <x v="1"/>
    <n v="3"/>
    <x v="468"/>
    <n v="0.19"/>
    <x v="470"/>
  </r>
  <r>
    <x v="5"/>
    <x v="471"/>
    <s v="PROD11"/>
    <d v="2024-03-22T00:00:00"/>
    <s v="CUST1065"/>
    <s v="Gibson, Hobbs and Weaver"/>
    <x v="4"/>
    <n v="4"/>
    <x v="469"/>
    <n v="0.16"/>
    <x v="471"/>
  </r>
  <r>
    <x v="5"/>
    <x v="472"/>
    <s v="PROD11"/>
    <d v="2025-06-21T00:00:00"/>
    <s v="CUST1262"/>
    <s v="Gibson, Hobbs and Weaver"/>
    <x v="4"/>
    <n v="3"/>
    <x v="470"/>
    <n v="0.25"/>
    <x v="472"/>
  </r>
  <r>
    <x v="5"/>
    <x v="473"/>
    <s v="PROD13"/>
    <d v="2025-07-02T00:00:00"/>
    <s v="CUST1105"/>
    <s v="Dawson-Perkins"/>
    <x v="4"/>
    <n v="4"/>
    <x v="471"/>
    <n v="0.28000000000000003"/>
    <x v="473"/>
  </r>
  <r>
    <x v="5"/>
    <x v="474"/>
    <s v="PROD16"/>
    <d v="2024-08-19T00:00:00"/>
    <s v="CUST1204"/>
    <s v="Erickson-Green"/>
    <x v="0"/>
    <n v="3"/>
    <x v="472"/>
    <n v="0.08"/>
    <x v="474"/>
  </r>
  <r>
    <x v="5"/>
    <x v="475"/>
    <s v="PROD16"/>
    <d v="2025-06-13T00:00:00"/>
    <s v="CUST1432"/>
    <s v="Erickson-Green"/>
    <x v="0"/>
    <n v="4"/>
    <x v="473"/>
    <n v="0.2"/>
    <x v="475"/>
  </r>
  <r>
    <x v="5"/>
    <x v="476"/>
    <s v="PROD18"/>
    <d v="2024-04-14T00:00:00"/>
    <s v="CUST1120"/>
    <s v="Guerra-Hendrix"/>
    <x v="3"/>
    <n v="3"/>
    <x v="474"/>
    <n v="0.27"/>
    <x v="476"/>
  </r>
  <r>
    <x v="5"/>
    <x v="477"/>
    <s v="PROD19"/>
    <d v="2025-03-21T00:00:00"/>
    <s v="CUST1298"/>
    <s v="May-Reese"/>
    <x v="2"/>
    <n v="3"/>
    <x v="475"/>
    <n v="0.05"/>
    <x v="477"/>
  </r>
  <r>
    <x v="5"/>
    <x v="478"/>
    <s v="PROD19"/>
    <d v="2024-09-10T00:00:00"/>
    <s v="CUST1477"/>
    <s v="May-Reese"/>
    <x v="2"/>
    <n v="3"/>
    <x v="476"/>
    <n v="0.16"/>
    <x v="478"/>
  </r>
  <r>
    <x v="5"/>
    <x v="479"/>
    <s v="PROD20"/>
    <d v="2024-07-31T00:00:00"/>
    <s v="CUST1422"/>
    <s v="Soto-Ellis"/>
    <x v="2"/>
    <n v="1"/>
    <x v="477"/>
    <n v="7.0000000000000007E-2"/>
    <x v="479"/>
  </r>
  <r>
    <x v="5"/>
    <x v="480"/>
    <s v="PROD21"/>
    <d v="2024-02-12T00:00:00"/>
    <s v="CUST1059"/>
    <s v="Gardner-Montes"/>
    <x v="1"/>
    <n v="2"/>
    <x v="478"/>
    <n v="0.18"/>
    <x v="480"/>
  </r>
  <r>
    <x v="5"/>
    <x v="481"/>
    <s v="PROD21"/>
    <d v="2025-09-29T00:00:00"/>
    <s v="CUST1168"/>
    <s v="Gardner-Montes"/>
    <x v="1"/>
    <n v="3"/>
    <x v="479"/>
    <n v="0.05"/>
    <x v="481"/>
  </r>
  <r>
    <x v="5"/>
    <x v="482"/>
    <s v="PROD22"/>
    <d v="2025-05-08T00:00:00"/>
    <s v="CUST1041"/>
    <s v="Flores, Pineda and Rodriguez"/>
    <x v="2"/>
    <n v="3"/>
    <x v="480"/>
    <n v="0.03"/>
    <x v="482"/>
  </r>
  <r>
    <x v="5"/>
    <x v="483"/>
    <s v="PROD25"/>
    <d v="2024-10-13T00:00:00"/>
    <s v="CUST1026"/>
    <s v="Brown and Sons"/>
    <x v="3"/>
    <n v="1"/>
    <x v="481"/>
    <n v="0.17"/>
    <x v="483"/>
  </r>
  <r>
    <x v="5"/>
    <x v="484"/>
    <s v="PROD25"/>
    <d v="2024-06-10T00:00:00"/>
    <s v="CUST1084"/>
    <s v="Brown and Sons"/>
    <x v="3"/>
    <n v="3"/>
    <x v="482"/>
    <n v="0.17"/>
    <x v="484"/>
  </r>
  <r>
    <x v="5"/>
    <x v="485"/>
    <s v="PROD25"/>
    <d v="2024-02-16T00:00:00"/>
    <s v="CUST1258"/>
    <s v="Brown and Sons"/>
    <x v="3"/>
    <n v="2"/>
    <x v="483"/>
    <n v="0.09"/>
    <x v="485"/>
  </r>
  <r>
    <x v="5"/>
    <x v="486"/>
    <s v="PROD25"/>
    <d v="2024-01-31T00:00:00"/>
    <s v="CUST1464"/>
    <s v="Brown and Sons"/>
    <x v="3"/>
    <n v="1"/>
    <x v="484"/>
    <n v="0.14000000000000001"/>
    <x v="486"/>
  </r>
  <r>
    <x v="5"/>
    <x v="487"/>
    <s v="PROD27"/>
    <d v="2025-04-01T00:00:00"/>
    <s v="CUST1312"/>
    <s v="Khan, Jones and Paul"/>
    <x v="1"/>
    <n v="2"/>
    <x v="485"/>
    <n v="0.26"/>
    <x v="487"/>
  </r>
  <r>
    <x v="5"/>
    <x v="488"/>
    <s v="PROD28"/>
    <d v="2025-04-22T00:00:00"/>
    <s v="CUST1054"/>
    <s v="Burns-Hansen"/>
    <x v="2"/>
    <n v="4"/>
    <x v="486"/>
    <n v="0.14000000000000001"/>
    <x v="488"/>
  </r>
  <r>
    <x v="5"/>
    <x v="489"/>
    <s v="PROD28"/>
    <d v="2023-11-27T00:00:00"/>
    <s v="CUST1375"/>
    <s v="Burns-Hansen"/>
    <x v="2"/>
    <n v="1"/>
    <x v="487"/>
    <n v="0"/>
    <x v="489"/>
  </r>
  <r>
    <x v="5"/>
    <x v="490"/>
    <s v="PROD3"/>
    <d v="2024-09-26T00:00:00"/>
    <s v="CUST1213"/>
    <s v="Pineda Ltd"/>
    <x v="3"/>
    <n v="1"/>
    <x v="488"/>
    <n v="0.26"/>
    <x v="490"/>
  </r>
  <r>
    <x v="5"/>
    <x v="491"/>
    <s v="PROD3"/>
    <d v="2024-02-03T00:00:00"/>
    <s v="CUST1245"/>
    <s v="Pineda Ltd"/>
    <x v="3"/>
    <n v="4"/>
    <x v="489"/>
    <n v="0.13"/>
    <x v="491"/>
  </r>
  <r>
    <x v="5"/>
    <x v="492"/>
    <s v="PROD33"/>
    <d v="2024-03-27T00:00:00"/>
    <s v="CUST1189"/>
    <s v="Weiss-Watson"/>
    <x v="1"/>
    <n v="4"/>
    <x v="490"/>
    <n v="0.06"/>
    <x v="492"/>
  </r>
  <r>
    <x v="5"/>
    <x v="493"/>
    <s v="PROD33"/>
    <d v="2025-02-22T00:00:00"/>
    <s v="CUST1462"/>
    <s v="Weiss-Watson"/>
    <x v="1"/>
    <n v="3"/>
    <x v="491"/>
    <n v="0.15"/>
    <x v="493"/>
  </r>
  <r>
    <x v="5"/>
    <x v="494"/>
    <s v="PROD35"/>
    <d v="2025-04-14T00:00:00"/>
    <s v="CUST1348"/>
    <s v="Jones LLC"/>
    <x v="1"/>
    <n v="2"/>
    <x v="492"/>
    <n v="0.14000000000000001"/>
    <x v="494"/>
  </r>
  <r>
    <x v="5"/>
    <x v="495"/>
    <s v="PROD36"/>
    <d v="2025-07-05T00:00:00"/>
    <s v="CUST1202"/>
    <s v="Smith-Mills"/>
    <x v="3"/>
    <n v="2"/>
    <x v="493"/>
    <n v="0.27"/>
    <x v="495"/>
  </r>
  <r>
    <x v="5"/>
    <x v="496"/>
    <s v="PROD37"/>
    <d v="2024-03-14T00:00:00"/>
    <s v="CUST1143"/>
    <s v="Hogan-Lee"/>
    <x v="3"/>
    <n v="3"/>
    <x v="494"/>
    <n v="0.01"/>
    <x v="496"/>
  </r>
  <r>
    <x v="5"/>
    <x v="497"/>
    <s v="PROD37"/>
    <d v="2025-01-31T00:00:00"/>
    <s v="CUST1399"/>
    <s v="Hogan-Lee"/>
    <x v="3"/>
    <n v="1"/>
    <x v="495"/>
    <n v="0.22"/>
    <x v="497"/>
  </r>
  <r>
    <x v="5"/>
    <x v="498"/>
    <s v="PROD39"/>
    <d v="2024-01-20T00:00:00"/>
    <s v="CUST1080"/>
    <s v="Cummings and Sons"/>
    <x v="4"/>
    <n v="2"/>
    <x v="496"/>
    <n v="0.14000000000000001"/>
    <x v="498"/>
  </r>
  <r>
    <x v="5"/>
    <x v="499"/>
    <s v="PROD39"/>
    <d v="2023-12-05T00:00:00"/>
    <s v="CUST1319"/>
    <s v="Cummings and Sons"/>
    <x v="4"/>
    <n v="1"/>
    <x v="497"/>
    <n v="0.13"/>
    <x v="499"/>
  </r>
  <r>
    <x v="5"/>
    <x v="500"/>
    <s v="PROD4"/>
    <d v="2024-01-20T00:00:00"/>
    <s v="CUST1488"/>
    <s v="Gonzales-Davis"/>
    <x v="3"/>
    <n v="3"/>
    <x v="498"/>
    <n v="0.27"/>
    <x v="500"/>
  </r>
  <r>
    <x v="5"/>
    <x v="501"/>
    <s v="PROD41"/>
    <d v="2025-01-17T00:00:00"/>
    <s v="CUST1341"/>
    <s v="Carroll, Long and Mendoza"/>
    <x v="2"/>
    <n v="2"/>
    <x v="499"/>
    <n v="0.14000000000000001"/>
    <x v="501"/>
  </r>
  <r>
    <x v="5"/>
    <x v="502"/>
    <s v="PROD41"/>
    <d v="2023-11-12T00:00:00"/>
    <s v="CUST1494"/>
    <s v="Carroll, Long and Mendoza"/>
    <x v="2"/>
    <n v="1"/>
    <x v="500"/>
    <n v="0.25"/>
    <x v="502"/>
  </r>
  <r>
    <x v="5"/>
    <x v="503"/>
    <s v="PROD46"/>
    <d v="2025-01-09T00:00:00"/>
    <s v="CUST1309"/>
    <s v="Kelly, Smith and Perez"/>
    <x v="3"/>
    <n v="2"/>
    <x v="501"/>
    <n v="0.13"/>
    <x v="503"/>
  </r>
  <r>
    <x v="5"/>
    <x v="504"/>
    <s v="PROD46"/>
    <d v="2025-05-27T00:00:00"/>
    <s v="CUST1470"/>
    <s v="Kelly, Smith and Perez"/>
    <x v="3"/>
    <n v="4"/>
    <x v="502"/>
    <n v="0.06"/>
    <x v="504"/>
  </r>
  <r>
    <x v="5"/>
    <x v="505"/>
    <s v="PROD48"/>
    <d v="2025-01-19T00:00:00"/>
    <s v="CUST1049"/>
    <s v="Byrd, Stewart and Valdez"/>
    <x v="4"/>
    <n v="3"/>
    <x v="503"/>
    <n v="0.1"/>
    <x v="505"/>
  </r>
  <r>
    <x v="5"/>
    <x v="506"/>
    <s v="PROD48"/>
    <d v="2025-01-20T00:00:00"/>
    <s v="CUST1093"/>
    <s v="Byrd, Stewart and Valdez"/>
    <x v="4"/>
    <n v="1"/>
    <x v="504"/>
    <n v="0.24"/>
    <x v="506"/>
  </r>
  <r>
    <x v="5"/>
    <x v="507"/>
    <s v="PROD48"/>
    <d v="2025-01-15T00:00:00"/>
    <s v="CUST1145"/>
    <s v="Byrd, Stewart and Valdez"/>
    <x v="4"/>
    <n v="3"/>
    <x v="505"/>
    <n v="0.05"/>
    <x v="507"/>
  </r>
  <r>
    <x v="5"/>
    <x v="508"/>
    <s v="PROD49"/>
    <d v="2024-10-03T00:00:00"/>
    <s v="CUST1271"/>
    <s v="Sullivan and Sons"/>
    <x v="0"/>
    <n v="2"/>
    <x v="506"/>
    <n v="0.27"/>
    <x v="508"/>
  </r>
  <r>
    <x v="5"/>
    <x v="509"/>
    <s v="PROD49"/>
    <d v="2023-12-05T00:00:00"/>
    <s v="CUST1285"/>
    <s v="Sullivan and Sons"/>
    <x v="0"/>
    <n v="4"/>
    <x v="507"/>
    <n v="0.25"/>
    <x v="509"/>
  </r>
  <r>
    <x v="5"/>
    <x v="510"/>
    <s v="PROD52"/>
    <d v="2024-08-21T00:00:00"/>
    <s v="CUST1319"/>
    <s v="Harris Inc"/>
    <x v="2"/>
    <n v="2"/>
    <x v="508"/>
    <n v="0.19"/>
    <x v="510"/>
  </r>
  <r>
    <x v="5"/>
    <x v="511"/>
    <s v="PROD55"/>
    <d v="2025-02-03T00:00:00"/>
    <s v="CUST1250"/>
    <s v="Hatfield, Baird and Torres"/>
    <x v="1"/>
    <n v="1"/>
    <x v="509"/>
    <n v="0.13"/>
    <x v="511"/>
  </r>
  <r>
    <x v="5"/>
    <x v="512"/>
    <s v="PROD56"/>
    <d v="2024-03-03T00:00:00"/>
    <s v="CUST1064"/>
    <s v="Hernandez, Kennedy and Porter"/>
    <x v="1"/>
    <n v="3"/>
    <x v="510"/>
    <n v="0.03"/>
    <x v="512"/>
  </r>
  <r>
    <x v="5"/>
    <x v="513"/>
    <s v="PROD57"/>
    <d v="2025-10-09T00:00:00"/>
    <s v="CUST1253"/>
    <s v="Atkinson, Camacho and Oliver"/>
    <x v="2"/>
    <n v="3"/>
    <x v="511"/>
    <n v="0.26"/>
    <x v="513"/>
  </r>
  <r>
    <x v="5"/>
    <x v="514"/>
    <s v="PROD57"/>
    <d v="2025-07-29T00:00:00"/>
    <s v="CUST1255"/>
    <s v="Atkinson, Camacho and Oliver"/>
    <x v="2"/>
    <n v="2"/>
    <x v="512"/>
    <n v="0.14000000000000001"/>
    <x v="514"/>
  </r>
  <r>
    <x v="5"/>
    <x v="515"/>
    <s v="PROD57"/>
    <d v="2024-03-29T00:00:00"/>
    <s v="CUST1348"/>
    <s v="Atkinson, Camacho and Oliver"/>
    <x v="2"/>
    <n v="4"/>
    <x v="513"/>
    <n v="0.13"/>
    <x v="515"/>
  </r>
  <r>
    <x v="5"/>
    <x v="516"/>
    <s v="PROD59"/>
    <d v="2024-06-23T00:00:00"/>
    <s v="CUST1495"/>
    <s v="Cline-Mccarthy"/>
    <x v="0"/>
    <n v="1"/>
    <x v="514"/>
    <n v="0.24"/>
    <x v="516"/>
  </r>
  <r>
    <x v="5"/>
    <x v="517"/>
    <s v="PROD60"/>
    <d v="2024-03-18T00:00:00"/>
    <s v="CUST1239"/>
    <s v="Gibson, Green and Lopez"/>
    <x v="0"/>
    <n v="4"/>
    <x v="515"/>
    <n v="0.04"/>
    <x v="517"/>
  </r>
  <r>
    <x v="5"/>
    <x v="518"/>
    <s v="PROD60"/>
    <d v="2025-01-24T00:00:00"/>
    <s v="CUST1309"/>
    <s v="Gibson, Green and Lopez"/>
    <x v="0"/>
    <n v="2"/>
    <x v="516"/>
    <n v="0.14000000000000001"/>
    <x v="518"/>
  </r>
  <r>
    <x v="5"/>
    <x v="519"/>
    <s v="PROD60"/>
    <d v="2023-11-17T00:00:00"/>
    <s v="CUST1489"/>
    <s v="Gibson, Green and Lopez"/>
    <x v="0"/>
    <n v="4"/>
    <x v="517"/>
    <n v="0.1"/>
    <x v="519"/>
  </r>
  <r>
    <x v="5"/>
    <x v="520"/>
    <s v="PROD62"/>
    <d v="2025-07-07T00:00:00"/>
    <s v="CUST1012"/>
    <s v="Murray, Gould and Ware"/>
    <x v="4"/>
    <n v="4"/>
    <x v="518"/>
    <n v="0.23"/>
    <x v="520"/>
  </r>
  <r>
    <x v="5"/>
    <x v="521"/>
    <s v="PROD62"/>
    <d v="2025-03-30T00:00:00"/>
    <s v="CUST1309"/>
    <s v="Murray, Gould and Ware"/>
    <x v="4"/>
    <n v="4"/>
    <x v="519"/>
    <n v="0.27"/>
    <x v="521"/>
  </r>
  <r>
    <x v="5"/>
    <x v="522"/>
    <s v="PROD62"/>
    <d v="2023-10-21T00:00:00"/>
    <s v="CUST1417"/>
    <s v="Murray, Gould and Ware"/>
    <x v="4"/>
    <n v="1"/>
    <x v="520"/>
    <n v="0.04"/>
    <x v="522"/>
  </r>
  <r>
    <x v="5"/>
    <x v="523"/>
    <s v="PROD63"/>
    <d v="2025-06-16T00:00:00"/>
    <s v="CUST1383"/>
    <s v="Anderson-Riley"/>
    <x v="0"/>
    <n v="3"/>
    <x v="521"/>
    <n v="0.04"/>
    <x v="523"/>
  </r>
  <r>
    <x v="5"/>
    <x v="524"/>
    <s v="PROD63"/>
    <d v="2024-09-04T00:00:00"/>
    <s v="CUST1461"/>
    <s v="Anderson-Riley"/>
    <x v="0"/>
    <n v="3"/>
    <x v="522"/>
    <n v="0.28000000000000003"/>
    <x v="524"/>
  </r>
  <r>
    <x v="5"/>
    <x v="525"/>
    <s v="PROD67"/>
    <d v="2025-09-15T00:00:00"/>
    <s v="CUST1326"/>
    <s v="Flores-Davis"/>
    <x v="4"/>
    <n v="3"/>
    <x v="523"/>
    <n v="0.02"/>
    <x v="525"/>
  </r>
  <r>
    <x v="5"/>
    <x v="526"/>
    <s v="PROD67"/>
    <d v="2025-08-28T00:00:00"/>
    <s v="CUST1337"/>
    <s v="Flores-Davis"/>
    <x v="4"/>
    <n v="1"/>
    <x v="524"/>
    <n v="0.23"/>
    <x v="526"/>
  </r>
  <r>
    <x v="5"/>
    <x v="527"/>
    <s v="PROD68"/>
    <d v="2025-09-12T00:00:00"/>
    <s v="CUST1048"/>
    <s v="Wolfe, Ross and Hester"/>
    <x v="1"/>
    <n v="4"/>
    <x v="525"/>
    <n v="0.27"/>
    <x v="527"/>
  </r>
  <r>
    <x v="5"/>
    <x v="528"/>
    <s v="PROD68"/>
    <d v="2024-07-13T00:00:00"/>
    <s v="CUST1230"/>
    <s v="Wolfe, Ross and Hester"/>
    <x v="1"/>
    <n v="1"/>
    <x v="526"/>
    <n v="0.18"/>
    <x v="528"/>
  </r>
  <r>
    <x v="5"/>
    <x v="529"/>
    <s v="PROD68"/>
    <d v="2024-11-12T00:00:00"/>
    <s v="CUST1380"/>
    <s v="Wolfe, Ross and Hester"/>
    <x v="1"/>
    <n v="4"/>
    <x v="527"/>
    <n v="0.16"/>
    <x v="529"/>
  </r>
  <r>
    <x v="5"/>
    <x v="530"/>
    <s v="PROD71"/>
    <d v="2024-10-27T00:00:00"/>
    <s v="CUST1287"/>
    <s v="Hopkins Ltd"/>
    <x v="0"/>
    <n v="2"/>
    <x v="528"/>
    <n v="0.28999999999999998"/>
    <x v="530"/>
  </r>
  <r>
    <x v="5"/>
    <x v="531"/>
    <s v="PROD72"/>
    <d v="2024-11-23T00:00:00"/>
    <s v="CUST1358"/>
    <s v="Davis PLC"/>
    <x v="2"/>
    <n v="1"/>
    <x v="529"/>
    <n v="0.1"/>
    <x v="531"/>
  </r>
  <r>
    <x v="5"/>
    <x v="532"/>
    <s v="PROD73"/>
    <d v="2024-05-03T00:00:00"/>
    <s v="CUST1013"/>
    <s v="French Ltd"/>
    <x v="2"/>
    <n v="3"/>
    <x v="530"/>
    <n v="0.16"/>
    <x v="532"/>
  </r>
  <r>
    <x v="5"/>
    <x v="533"/>
    <s v="PROD73"/>
    <d v="2023-12-19T00:00:00"/>
    <s v="CUST1049"/>
    <s v="French Ltd"/>
    <x v="2"/>
    <n v="4"/>
    <x v="531"/>
    <n v="0.1"/>
    <x v="533"/>
  </r>
  <r>
    <x v="5"/>
    <x v="534"/>
    <s v="PROD73"/>
    <d v="2024-04-03T00:00:00"/>
    <s v="CUST1105"/>
    <s v="French Ltd"/>
    <x v="2"/>
    <n v="4"/>
    <x v="532"/>
    <n v="0.2"/>
    <x v="534"/>
  </r>
  <r>
    <x v="5"/>
    <x v="535"/>
    <s v="PROD73"/>
    <d v="2024-02-18T00:00:00"/>
    <s v="CUST1359"/>
    <s v="French Ltd"/>
    <x v="2"/>
    <n v="3"/>
    <x v="533"/>
    <n v="0.23"/>
    <x v="535"/>
  </r>
  <r>
    <x v="5"/>
    <x v="536"/>
    <s v="PROD73"/>
    <d v="2025-03-10T00:00:00"/>
    <s v="CUST1405"/>
    <s v="French Ltd"/>
    <x v="2"/>
    <n v="4"/>
    <x v="534"/>
    <n v="0.16"/>
    <x v="536"/>
  </r>
  <r>
    <x v="5"/>
    <x v="537"/>
    <s v="PROD76"/>
    <d v="2025-02-10T00:00:00"/>
    <s v="CUST1012"/>
    <s v="Larson Ltd"/>
    <x v="4"/>
    <n v="4"/>
    <x v="535"/>
    <n v="0.15"/>
    <x v="537"/>
  </r>
  <r>
    <x v="5"/>
    <x v="538"/>
    <s v="PROD76"/>
    <d v="2025-02-17T00:00:00"/>
    <s v="CUST1087"/>
    <s v="Larson Ltd"/>
    <x v="4"/>
    <n v="3"/>
    <x v="536"/>
    <n v="0.28999999999999998"/>
    <x v="538"/>
  </r>
  <r>
    <x v="5"/>
    <x v="539"/>
    <s v="PROD77"/>
    <d v="2025-05-01T00:00:00"/>
    <s v="CUST1461"/>
    <s v="White, Reeves and Woods"/>
    <x v="4"/>
    <n v="3"/>
    <x v="537"/>
    <n v="0.12"/>
    <x v="539"/>
  </r>
  <r>
    <x v="5"/>
    <x v="540"/>
    <s v="PROD78"/>
    <d v="2023-10-23T00:00:00"/>
    <s v="CUST1009"/>
    <s v="Hernandez Inc"/>
    <x v="1"/>
    <n v="2"/>
    <x v="538"/>
    <n v="0.3"/>
    <x v="540"/>
  </r>
  <r>
    <x v="5"/>
    <x v="541"/>
    <s v="PROD79"/>
    <d v="2023-10-21T00:00:00"/>
    <s v="CUST1037"/>
    <s v="Ramirez-Hanson"/>
    <x v="1"/>
    <n v="1"/>
    <x v="539"/>
    <n v="0.28000000000000003"/>
    <x v="541"/>
  </r>
  <r>
    <x v="5"/>
    <x v="542"/>
    <s v="PROD8"/>
    <d v="2025-03-19T00:00:00"/>
    <s v="CUST1210"/>
    <s v="Perez-Johnston"/>
    <x v="4"/>
    <n v="2"/>
    <x v="540"/>
    <n v="0.18"/>
    <x v="542"/>
  </r>
  <r>
    <x v="5"/>
    <x v="543"/>
    <s v="PROD81"/>
    <d v="2024-05-06T00:00:00"/>
    <s v="CUST1283"/>
    <s v="Robinson-Brown"/>
    <x v="2"/>
    <n v="1"/>
    <x v="541"/>
    <n v="0.21"/>
    <x v="543"/>
  </r>
  <r>
    <x v="5"/>
    <x v="544"/>
    <s v="PROD84"/>
    <d v="2024-11-14T00:00:00"/>
    <s v="CUST1054"/>
    <s v="Collins-Stephenson"/>
    <x v="1"/>
    <n v="4"/>
    <x v="542"/>
    <n v="0.25"/>
    <x v="544"/>
  </r>
  <r>
    <x v="5"/>
    <x v="545"/>
    <s v="PROD84"/>
    <d v="2025-02-03T00:00:00"/>
    <s v="CUST1059"/>
    <s v="Collins-Stephenson"/>
    <x v="1"/>
    <n v="3"/>
    <x v="543"/>
    <n v="7.0000000000000007E-2"/>
    <x v="545"/>
  </r>
  <r>
    <x v="5"/>
    <x v="546"/>
    <s v="PROD84"/>
    <d v="2024-08-14T00:00:00"/>
    <s v="CUST1260"/>
    <s v="Collins-Stephenson"/>
    <x v="1"/>
    <n v="1"/>
    <x v="544"/>
    <n v="0.15"/>
    <x v="546"/>
  </r>
  <r>
    <x v="5"/>
    <x v="547"/>
    <s v="PROD84"/>
    <d v="2024-07-18T00:00:00"/>
    <s v="CUST1280"/>
    <s v="Collins-Stephenson"/>
    <x v="1"/>
    <n v="2"/>
    <x v="545"/>
    <n v="0.15"/>
    <x v="547"/>
  </r>
  <r>
    <x v="5"/>
    <x v="548"/>
    <s v="PROD85"/>
    <d v="2023-12-21T00:00:00"/>
    <s v="CUST1160"/>
    <s v="Richardson-Carrillo"/>
    <x v="3"/>
    <n v="2"/>
    <x v="546"/>
    <n v="0.16"/>
    <x v="548"/>
  </r>
  <r>
    <x v="5"/>
    <x v="549"/>
    <s v="PROD86"/>
    <d v="2024-09-12T00:00:00"/>
    <s v="CUST1017"/>
    <s v="Taylor, Dodson and Johnston"/>
    <x v="1"/>
    <n v="4"/>
    <x v="547"/>
    <n v="0.27"/>
    <x v="549"/>
  </r>
  <r>
    <x v="5"/>
    <x v="550"/>
    <s v="PROD86"/>
    <d v="2024-06-04T00:00:00"/>
    <s v="CUST1171"/>
    <s v="Taylor, Dodson and Johnston"/>
    <x v="1"/>
    <n v="4"/>
    <x v="548"/>
    <n v="0.21"/>
    <x v="550"/>
  </r>
  <r>
    <x v="5"/>
    <x v="551"/>
    <s v="PROD87"/>
    <d v="2024-10-18T00:00:00"/>
    <s v="CUST1430"/>
    <s v="Aguilar, Horton and Lewis"/>
    <x v="1"/>
    <n v="3"/>
    <x v="549"/>
    <n v="0.18"/>
    <x v="551"/>
  </r>
  <r>
    <x v="5"/>
    <x v="552"/>
    <s v="PROD87"/>
    <d v="2025-06-08T00:00:00"/>
    <s v="CUST1497"/>
    <s v="Aguilar, Horton and Lewis"/>
    <x v="1"/>
    <n v="1"/>
    <x v="550"/>
    <n v="0.17"/>
    <x v="552"/>
  </r>
  <r>
    <x v="5"/>
    <x v="553"/>
    <s v="PROD88"/>
    <d v="2023-12-10T00:00:00"/>
    <s v="CUST1456"/>
    <s v="Olsen-Daniels"/>
    <x v="2"/>
    <n v="4"/>
    <x v="551"/>
    <n v="0.06"/>
    <x v="553"/>
  </r>
  <r>
    <x v="5"/>
    <x v="554"/>
    <s v="PROD9"/>
    <d v="2024-11-11T00:00:00"/>
    <s v="CUST1376"/>
    <s v="Hill PLC"/>
    <x v="2"/>
    <n v="4"/>
    <x v="552"/>
    <n v="0.25"/>
    <x v="554"/>
  </r>
  <r>
    <x v="5"/>
    <x v="555"/>
    <s v="PROD90"/>
    <d v="2025-09-12T00:00:00"/>
    <s v="CUST1134"/>
    <s v="Sharp, Taylor and Rodriguez"/>
    <x v="4"/>
    <n v="1"/>
    <x v="553"/>
    <n v="0.28999999999999998"/>
    <x v="555"/>
  </r>
  <r>
    <x v="5"/>
    <x v="556"/>
    <s v="PROD90"/>
    <d v="2024-08-16T00:00:00"/>
    <s v="CUST1231"/>
    <s v="Sharp, Taylor and Rodriguez"/>
    <x v="4"/>
    <n v="1"/>
    <x v="554"/>
    <n v="0.21"/>
    <x v="556"/>
  </r>
  <r>
    <x v="5"/>
    <x v="557"/>
    <s v="PROD91"/>
    <d v="2024-08-26T00:00:00"/>
    <s v="CUST1280"/>
    <s v="Smith-Charles"/>
    <x v="3"/>
    <n v="4"/>
    <x v="555"/>
    <n v="0.24"/>
    <x v="557"/>
  </r>
  <r>
    <x v="5"/>
    <x v="558"/>
    <s v="PROD93"/>
    <d v="2024-07-05T00:00:00"/>
    <s v="CUST1141"/>
    <s v="Martin LLC"/>
    <x v="4"/>
    <n v="2"/>
    <x v="556"/>
    <n v="0.27"/>
    <x v="558"/>
  </r>
  <r>
    <x v="5"/>
    <x v="559"/>
    <s v="PROD94"/>
    <d v="2024-03-22T00:00:00"/>
    <s v="CUST1037"/>
    <s v="Hoffman-Williams"/>
    <x v="0"/>
    <n v="2"/>
    <x v="557"/>
    <n v="0.21"/>
    <x v="559"/>
  </r>
  <r>
    <x v="5"/>
    <x v="560"/>
    <s v="PROD94"/>
    <d v="2025-05-27T00:00:00"/>
    <s v="CUST1245"/>
    <s v="Hoffman-Williams"/>
    <x v="0"/>
    <n v="2"/>
    <x v="558"/>
    <n v="0.22"/>
    <x v="560"/>
  </r>
  <r>
    <x v="5"/>
    <x v="561"/>
    <s v="PROD96"/>
    <d v="2024-03-31T00:00:00"/>
    <s v="CUST1156"/>
    <s v="Phillips and Sons"/>
    <x v="3"/>
    <n v="2"/>
    <x v="559"/>
    <n v="0.15"/>
    <x v="561"/>
  </r>
  <r>
    <x v="5"/>
    <x v="562"/>
    <s v="PROD97"/>
    <d v="2024-03-24T00:00:00"/>
    <s v="CUST1023"/>
    <s v="Khan LLC"/>
    <x v="2"/>
    <n v="1"/>
    <x v="560"/>
    <n v="0.28999999999999998"/>
    <x v="562"/>
  </r>
  <r>
    <x v="5"/>
    <x v="563"/>
    <s v="PROD97"/>
    <d v="2025-04-18T00:00:00"/>
    <s v="CUST1471"/>
    <s v="Khan LLC"/>
    <x v="2"/>
    <n v="2"/>
    <x v="561"/>
    <n v="0.28999999999999998"/>
    <x v="563"/>
  </r>
  <r>
    <x v="5"/>
    <x v="564"/>
    <s v="PROD98"/>
    <d v="2025-05-11T00:00:00"/>
    <s v="CUST1109"/>
    <s v="Flores-King"/>
    <x v="4"/>
    <n v="3"/>
    <x v="562"/>
    <n v="0.11"/>
    <x v="564"/>
  </r>
  <r>
    <x v="5"/>
    <x v="565"/>
    <s v="PROD99"/>
    <d v="2025-09-26T00:00:00"/>
    <s v="CUST1329"/>
    <s v="Campbell Ltd"/>
    <x v="1"/>
    <n v="2"/>
    <x v="563"/>
    <n v="7.0000000000000007E-2"/>
    <x v="565"/>
  </r>
  <r>
    <x v="6"/>
    <x v="566"/>
    <s v="PROD0"/>
    <d v="2024-08-20T00:00:00"/>
    <s v="CUST1003"/>
    <s v="Hunt Inc"/>
    <x v="4"/>
    <n v="1"/>
    <x v="564"/>
    <n v="0.01"/>
    <x v="566"/>
  </r>
  <r>
    <x v="6"/>
    <x v="567"/>
    <s v="PROD1"/>
    <d v="2024-01-05T00:00:00"/>
    <s v="CUST1292"/>
    <s v="Terry-Moore"/>
    <x v="3"/>
    <n v="4"/>
    <x v="565"/>
    <n v="0.12"/>
    <x v="567"/>
  </r>
  <r>
    <x v="6"/>
    <x v="568"/>
    <s v="PROD10"/>
    <d v="2025-01-05T00:00:00"/>
    <s v="CUST1317"/>
    <s v="Hamilton Group"/>
    <x v="1"/>
    <n v="1"/>
    <x v="566"/>
    <n v="0.28999999999999998"/>
    <x v="568"/>
  </r>
  <r>
    <x v="6"/>
    <x v="569"/>
    <s v="PROD12"/>
    <d v="2025-08-31T00:00:00"/>
    <s v="CUST1343"/>
    <s v="Rice LLC"/>
    <x v="0"/>
    <n v="1"/>
    <x v="567"/>
    <n v="0.05"/>
    <x v="569"/>
  </r>
  <r>
    <x v="6"/>
    <x v="570"/>
    <s v="PROD13"/>
    <d v="2025-04-14T00:00:00"/>
    <s v="CUST1355"/>
    <s v="Dawson-Perkins"/>
    <x v="4"/>
    <n v="2"/>
    <x v="568"/>
    <n v="0.01"/>
    <x v="570"/>
  </r>
  <r>
    <x v="6"/>
    <x v="571"/>
    <s v="PROD14"/>
    <d v="2024-12-09T00:00:00"/>
    <s v="CUST1463"/>
    <s v="Luna, Anderson and Bowman"/>
    <x v="1"/>
    <n v="3"/>
    <x v="569"/>
    <n v="0.11"/>
    <x v="571"/>
  </r>
  <r>
    <x v="6"/>
    <x v="572"/>
    <s v="PROD15"/>
    <d v="2024-03-28T00:00:00"/>
    <s v="CUST1241"/>
    <s v="Thomas LLC"/>
    <x v="4"/>
    <n v="1"/>
    <x v="570"/>
    <n v="0.21"/>
    <x v="572"/>
  </r>
  <r>
    <x v="6"/>
    <x v="573"/>
    <s v="PROD16"/>
    <d v="2025-04-16T00:00:00"/>
    <s v="CUST1236"/>
    <s v="Erickson-Green"/>
    <x v="0"/>
    <n v="4"/>
    <x v="571"/>
    <n v="0.08"/>
    <x v="573"/>
  </r>
  <r>
    <x v="6"/>
    <x v="574"/>
    <s v="PROD17"/>
    <d v="2025-03-05T00:00:00"/>
    <s v="CUST1076"/>
    <s v="Ford, Murphy and Wilson"/>
    <x v="2"/>
    <n v="1"/>
    <x v="572"/>
    <n v="0.3"/>
    <x v="574"/>
  </r>
  <r>
    <x v="6"/>
    <x v="575"/>
    <s v="PROD17"/>
    <d v="2025-09-10T00:00:00"/>
    <s v="CUST1141"/>
    <s v="Ford, Murphy and Wilson"/>
    <x v="2"/>
    <n v="2"/>
    <x v="573"/>
    <n v="0.12"/>
    <x v="575"/>
  </r>
  <r>
    <x v="6"/>
    <x v="576"/>
    <s v="PROD17"/>
    <d v="2023-12-19T00:00:00"/>
    <s v="CUST1206"/>
    <s v="Ford, Murphy and Wilson"/>
    <x v="2"/>
    <n v="1"/>
    <x v="574"/>
    <n v="0.13"/>
    <x v="576"/>
  </r>
  <r>
    <x v="6"/>
    <x v="577"/>
    <s v="PROD17"/>
    <d v="2024-12-01T00:00:00"/>
    <s v="CUST1234"/>
    <s v="Ford, Murphy and Wilson"/>
    <x v="2"/>
    <n v="4"/>
    <x v="575"/>
    <n v="0.04"/>
    <x v="577"/>
  </r>
  <r>
    <x v="6"/>
    <x v="578"/>
    <s v="PROD17"/>
    <d v="2024-06-29T00:00:00"/>
    <s v="CUST1494"/>
    <s v="Ford, Murphy and Wilson"/>
    <x v="2"/>
    <n v="4"/>
    <x v="576"/>
    <n v="0.09"/>
    <x v="578"/>
  </r>
  <r>
    <x v="6"/>
    <x v="579"/>
    <s v="PROD18"/>
    <d v="2024-04-25T00:00:00"/>
    <s v="CUST1015"/>
    <s v="Guerra-Hendrix"/>
    <x v="3"/>
    <n v="3"/>
    <x v="577"/>
    <n v="0.1"/>
    <x v="579"/>
  </r>
  <r>
    <x v="6"/>
    <x v="580"/>
    <s v="PROD18"/>
    <d v="2025-03-08T00:00:00"/>
    <s v="CUST1379"/>
    <s v="Guerra-Hendrix"/>
    <x v="3"/>
    <n v="4"/>
    <x v="578"/>
    <n v="0.16"/>
    <x v="580"/>
  </r>
  <r>
    <x v="6"/>
    <x v="581"/>
    <s v="PROD19"/>
    <d v="2024-04-12T00:00:00"/>
    <s v="CUST1368"/>
    <s v="May-Reese"/>
    <x v="2"/>
    <n v="2"/>
    <x v="579"/>
    <n v="0.02"/>
    <x v="581"/>
  </r>
  <r>
    <x v="6"/>
    <x v="582"/>
    <s v="PROD19"/>
    <d v="2025-03-06T00:00:00"/>
    <s v="CUST1494"/>
    <s v="May-Reese"/>
    <x v="2"/>
    <n v="1"/>
    <x v="580"/>
    <n v="0.1"/>
    <x v="582"/>
  </r>
  <r>
    <x v="6"/>
    <x v="583"/>
    <s v="PROD2"/>
    <d v="2024-01-18T00:00:00"/>
    <s v="CUST1458"/>
    <s v="Sims Inc"/>
    <x v="3"/>
    <n v="4"/>
    <x v="581"/>
    <n v="0.28000000000000003"/>
    <x v="583"/>
  </r>
  <r>
    <x v="6"/>
    <x v="584"/>
    <s v="PROD20"/>
    <d v="2025-03-17T00:00:00"/>
    <s v="CUST1453"/>
    <s v="Soto-Ellis"/>
    <x v="2"/>
    <n v="2"/>
    <x v="582"/>
    <n v="0.06"/>
    <x v="584"/>
  </r>
  <r>
    <x v="6"/>
    <x v="585"/>
    <s v="PROD21"/>
    <d v="2023-11-06T00:00:00"/>
    <s v="CUST1180"/>
    <s v="Gardner-Montes"/>
    <x v="1"/>
    <n v="1"/>
    <x v="583"/>
    <n v="0.06"/>
    <x v="585"/>
  </r>
  <r>
    <x v="6"/>
    <x v="586"/>
    <s v="PROD22"/>
    <d v="2024-10-24T00:00:00"/>
    <s v="CUST1008"/>
    <s v="Flores, Pineda and Rodriguez"/>
    <x v="2"/>
    <n v="1"/>
    <x v="584"/>
    <n v="0.21"/>
    <x v="586"/>
  </r>
  <r>
    <x v="6"/>
    <x v="587"/>
    <s v="PROD22"/>
    <d v="2024-06-23T00:00:00"/>
    <s v="CUST1160"/>
    <s v="Flores, Pineda and Rodriguez"/>
    <x v="2"/>
    <n v="2"/>
    <x v="585"/>
    <n v="0.18"/>
    <x v="587"/>
  </r>
  <r>
    <x v="6"/>
    <x v="588"/>
    <s v="PROD22"/>
    <d v="2025-01-07T00:00:00"/>
    <s v="CUST1462"/>
    <s v="Flores, Pineda and Rodriguez"/>
    <x v="2"/>
    <n v="1"/>
    <x v="586"/>
    <n v="0.26"/>
    <x v="588"/>
  </r>
  <r>
    <x v="6"/>
    <x v="589"/>
    <s v="PROD24"/>
    <d v="2024-02-13T00:00:00"/>
    <s v="CUST1065"/>
    <s v="Cook Ltd"/>
    <x v="2"/>
    <n v="1"/>
    <x v="587"/>
    <n v="7.0000000000000007E-2"/>
    <x v="589"/>
  </r>
  <r>
    <x v="6"/>
    <x v="590"/>
    <s v="PROD25"/>
    <d v="2025-08-24T00:00:00"/>
    <s v="CUST1382"/>
    <s v="Brown and Sons"/>
    <x v="3"/>
    <n v="2"/>
    <x v="588"/>
    <n v="0.08"/>
    <x v="590"/>
  </r>
  <r>
    <x v="6"/>
    <x v="591"/>
    <s v="PROD26"/>
    <d v="2025-03-13T00:00:00"/>
    <s v="CUST1099"/>
    <s v="Reed-Schmidt"/>
    <x v="4"/>
    <n v="4"/>
    <x v="589"/>
    <n v="0.15"/>
    <x v="591"/>
  </r>
  <r>
    <x v="6"/>
    <x v="592"/>
    <s v="PROD27"/>
    <d v="2024-03-12T00:00:00"/>
    <s v="CUST1057"/>
    <s v="Khan, Jones and Paul"/>
    <x v="1"/>
    <n v="3"/>
    <x v="590"/>
    <n v="0.23"/>
    <x v="592"/>
  </r>
  <r>
    <x v="6"/>
    <x v="593"/>
    <s v="PROD27"/>
    <d v="2025-01-18T00:00:00"/>
    <s v="CUST1068"/>
    <s v="Khan, Jones and Paul"/>
    <x v="1"/>
    <n v="4"/>
    <x v="591"/>
    <n v="0.12"/>
    <x v="593"/>
  </r>
  <r>
    <x v="6"/>
    <x v="594"/>
    <s v="PROD27"/>
    <d v="2024-11-12T00:00:00"/>
    <s v="CUST1072"/>
    <s v="Khan, Jones and Paul"/>
    <x v="1"/>
    <n v="4"/>
    <x v="592"/>
    <n v="0.26"/>
    <x v="594"/>
  </r>
  <r>
    <x v="6"/>
    <x v="595"/>
    <s v="PROD29"/>
    <d v="2023-12-04T00:00:00"/>
    <s v="CUST1220"/>
    <s v="Hoffman Group"/>
    <x v="1"/>
    <n v="2"/>
    <x v="593"/>
    <n v="0.22"/>
    <x v="595"/>
  </r>
  <r>
    <x v="6"/>
    <x v="596"/>
    <s v="PROD31"/>
    <d v="2025-10-09T00:00:00"/>
    <s v="CUST1126"/>
    <s v="Nolan-Snow"/>
    <x v="2"/>
    <n v="4"/>
    <x v="594"/>
    <n v="0.12"/>
    <x v="596"/>
  </r>
  <r>
    <x v="6"/>
    <x v="597"/>
    <s v="PROD33"/>
    <d v="2024-08-17T00:00:00"/>
    <s v="CUST1187"/>
    <s v="Weiss-Watson"/>
    <x v="1"/>
    <n v="1"/>
    <x v="595"/>
    <n v="0.3"/>
    <x v="597"/>
  </r>
  <r>
    <x v="6"/>
    <x v="598"/>
    <s v="PROD36"/>
    <d v="2025-10-08T00:00:00"/>
    <s v="CUST1300"/>
    <s v="Smith-Mills"/>
    <x v="3"/>
    <n v="1"/>
    <x v="596"/>
    <n v="0.28000000000000003"/>
    <x v="598"/>
  </r>
  <r>
    <x v="6"/>
    <x v="599"/>
    <s v="PROD37"/>
    <d v="2024-02-25T00:00:00"/>
    <s v="CUST1485"/>
    <s v="Hogan-Lee"/>
    <x v="3"/>
    <n v="4"/>
    <x v="597"/>
    <n v="0.02"/>
    <x v="599"/>
  </r>
  <r>
    <x v="6"/>
    <x v="600"/>
    <s v="PROD38"/>
    <d v="2025-06-14T00:00:00"/>
    <s v="CUST1057"/>
    <s v="Sims-Smith"/>
    <x v="2"/>
    <n v="2"/>
    <x v="598"/>
    <n v="0.24"/>
    <x v="600"/>
  </r>
  <r>
    <x v="6"/>
    <x v="601"/>
    <s v="PROD38"/>
    <d v="2025-02-06T00:00:00"/>
    <s v="CUST1312"/>
    <s v="Sims-Smith"/>
    <x v="2"/>
    <n v="2"/>
    <x v="599"/>
    <n v="0.06"/>
    <x v="601"/>
  </r>
  <r>
    <x v="6"/>
    <x v="602"/>
    <s v="PROD38"/>
    <d v="2024-03-01T00:00:00"/>
    <s v="CUST1432"/>
    <s v="Sims-Smith"/>
    <x v="2"/>
    <n v="4"/>
    <x v="600"/>
    <n v="7.0000000000000007E-2"/>
    <x v="602"/>
  </r>
  <r>
    <x v="6"/>
    <x v="603"/>
    <s v="PROD39"/>
    <d v="2024-06-22T00:00:00"/>
    <s v="CUST1031"/>
    <s v="Cummings and Sons"/>
    <x v="4"/>
    <n v="1"/>
    <x v="601"/>
    <n v="0.11"/>
    <x v="603"/>
  </r>
  <r>
    <x v="6"/>
    <x v="604"/>
    <s v="PROD39"/>
    <d v="2025-05-21T00:00:00"/>
    <s v="CUST1152"/>
    <s v="Cummings and Sons"/>
    <x v="4"/>
    <n v="3"/>
    <x v="602"/>
    <n v="0.04"/>
    <x v="604"/>
  </r>
  <r>
    <x v="6"/>
    <x v="605"/>
    <s v="PROD40"/>
    <d v="2024-02-24T00:00:00"/>
    <s v="CUST1245"/>
    <s v="Taylor-Hart"/>
    <x v="4"/>
    <n v="3"/>
    <x v="603"/>
    <n v="0.01"/>
    <x v="605"/>
  </r>
  <r>
    <x v="6"/>
    <x v="606"/>
    <s v="PROD41"/>
    <d v="2024-05-22T00:00:00"/>
    <s v="CUST1082"/>
    <s v="Carroll, Long and Mendoza"/>
    <x v="2"/>
    <n v="4"/>
    <x v="604"/>
    <n v="0.18"/>
    <x v="606"/>
  </r>
  <r>
    <x v="6"/>
    <x v="607"/>
    <s v="PROD42"/>
    <d v="2024-09-11T00:00:00"/>
    <s v="CUST1177"/>
    <s v="Holmes LLC"/>
    <x v="4"/>
    <n v="2"/>
    <x v="605"/>
    <n v="0.12"/>
    <x v="607"/>
  </r>
  <r>
    <x v="6"/>
    <x v="608"/>
    <s v="PROD45"/>
    <d v="2024-12-30T00:00:00"/>
    <s v="CUST1251"/>
    <s v="Bridges, Banks and Cummings"/>
    <x v="2"/>
    <n v="2"/>
    <x v="606"/>
    <n v="0.16"/>
    <x v="608"/>
  </r>
  <r>
    <x v="6"/>
    <x v="609"/>
    <s v="PROD46"/>
    <d v="2023-11-14T00:00:00"/>
    <s v="CUST1482"/>
    <s v="Kelly, Smith and Perez"/>
    <x v="3"/>
    <n v="1"/>
    <x v="607"/>
    <n v="0.1"/>
    <x v="609"/>
  </r>
  <r>
    <x v="6"/>
    <x v="610"/>
    <s v="PROD47"/>
    <d v="2024-06-19T00:00:00"/>
    <s v="CUST1467"/>
    <s v="Cook Inc"/>
    <x v="0"/>
    <n v="2"/>
    <x v="608"/>
    <n v="0.28000000000000003"/>
    <x v="610"/>
  </r>
  <r>
    <x v="6"/>
    <x v="611"/>
    <s v="PROD48"/>
    <d v="2025-09-05T00:00:00"/>
    <s v="CUST1164"/>
    <s v="Byrd, Stewart and Valdez"/>
    <x v="4"/>
    <n v="1"/>
    <x v="609"/>
    <n v="0.28000000000000003"/>
    <x v="611"/>
  </r>
  <r>
    <x v="6"/>
    <x v="612"/>
    <s v="PROD5"/>
    <d v="2025-05-08T00:00:00"/>
    <s v="CUST1007"/>
    <s v="Baldwin, Garza and Gonzalez"/>
    <x v="3"/>
    <n v="1"/>
    <x v="610"/>
    <n v="0.16"/>
    <x v="612"/>
  </r>
  <r>
    <x v="6"/>
    <x v="613"/>
    <s v="PROD51"/>
    <d v="2024-06-02T00:00:00"/>
    <s v="CUST1001"/>
    <s v="Bautista, Green and Hale"/>
    <x v="4"/>
    <n v="3"/>
    <x v="611"/>
    <n v="0.03"/>
    <x v="613"/>
  </r>
  <r>
    <x v="6"/>
    <x v="614"/>
    <s v="PROD51"/>
    <d v="2024-07-02T00:00:00"/>
    <s v="CUST1319"/>
    <s v="Bautista, Green and Hale"/>
    <x v="4"/>
    <n v="4"/>
    <x v="612"/>
    <n v="0.03"/>
    <x v="614"/>
  </r>
  <r>
    <x v="6"/>
    <x v="615"/>
    <s v="PROD54"/>
    <d v="2025-10-02T00:00:00"/>
    <s v="CUST1372"/>
    <s v="Thompson-French"/>
    <x v="2"/>
    <n v="1"/>
    <x v="613"/>
    <n v="0.04"/>
    <x v="615"/>
  </r>
  <r>
    <x v="6"/>
    <x v="616"/>
    <s v="PROD56"/>
    <d v="2024-11-07T00:00:00"/>
    <s v="CUST1350"/>
    <s v="Hernandez, Kennedy and Porter"/>
    <x v="1"/>
    <n v="3"/>
    <x v="614"/>
    <n v="0.19"/>
    <x v="616"/>
  </r>
  <r>
    <x v="6"/>
    <x v="617"/>
    <s v="PROD59"/>
    <d v="2025-07-04T00:00:00"/>
    <s v="CUST1177"/>
    <s v="Cline-Mccarthy"/>
    <x v="0"/>
    <n v="2"/>
    <x v="615"/>
    <n v="0.19"/>
    <x v="617"/>
  </r>
  <r>
    <x v="6"/>
    <x v="618"/>
    <s v="PROD59"/>
    <d v="2024-04-18T00:00:00"/>
    <s v="CUST1204"/>
    <s v="Cline-Mccarthy"/>
    <x v="0"/>
    <n v="1"/>
    <x v="616"/>
    <n v="0.04"/>
    <x v="618"/>
  </r>
  <r>
    <x v="6"/>
    <x v="619"/>
    <s v="PROD59"/>
    <d v="2025-10-06T00:00:00"/>
    <s v="CUST1269"/>
    <s v="Cline-Mccarthy"/>
    <x v="0"/>
    <n v="2"/>
    <x v="617"/>
    <n v="0.01"/>
    <x v="619"/>
  </r>
  <r>
    <x v="6"/>
    <x v="620"/>
    <s v="PROD60"/>
    <d v="2024-02-26T00:00:00"/>
    <s v="CUST1142"/>
    <s v="Gibson, Green and Lopez"/>
    <x v="0"/>
    <n v="3"/>
    <x v="618"/>
    <n v="0.08"/>
    <x v="620"/>
  </r>
  <r>
    <x v="6"/>
    <x v="621"/>
    <s v="PROD62"/>
    <d v="2024-12-03T00:00:00"/>
    <s v="CUST1154"/>
    <s v="Murray, Gould and Ware"/>
    <x v="4"/>
    <n v="2"/>
    <x v="619"/>
    <n v="0.05"/>
    <x v="621"/>
  </r>
  <r>
    <x v="6"/>
    <x v="622"/>
    <s v="PROD62"/>
    <d v="2024-03-21T00:00:00"/>
    <s v="CUST1175"/>
    <s v="Murray, Gould and Ware"/>
    <x v="4"/>
    <n v="1"/>
    <x v="620"/>
    <n v="0.08"/>
    <x v="622"/>
  </r>
  <r>
    <x v="6"/>
    <x v="623"/>
    <s v="PROD62"/>
    <d v="2025-10-12T00:00:00"/>
    <s v="CUST1398"/>
    <s v="Murray, Gould and Ware"/>
    <x v="4"/>
    <n v="3"/>
    <x v="621"/>
    <n v="0.02"/>
    <x v="623"/>
  </r>
  <r>
    <x v="6"/>
    <x v="624"/>
    <s v="PROD62"/>
    <d v="2025-01-22T00:00:00"/>
    <s v="CUST1481"/>
    <s v="Murray, Gould and Ware"/>
    <x v="4"/>
    <n v="2"/>
    <x v="622"/>
    <n v="0.03"/>
    <x v="624"/>
  </r>
  <r>
    <x v="6"/>
    <x v="625"/>
    <s v="PROD64"/>
    <d v="2023-11-11T00:00:00"/>
    <s v="CUST1337"/>
    <s v="Zhang Inc"/>
    <x v="0"/>
    <n v="2"/>
    <x v="623"/>
    <n v="0.28999999999999998"/>
    <x v="625"/>
  </r>
  <r>
    <x v="6"/>
    <x v="626"/>
    <s v="PROD65"/>
    <d v="2024-09-14T00:00:00"/>
    <s v="CUST1090"/>
    <s v="Montgomery, Benton and Miller"/>
    <x v="2"/>
    <n v="2"/>
    <x v="624"/>
    <n v="0.08"/>
    <x v="626"/>
  </r>
  <r>
    <x v="6"/>
    <x v="627"/>
    <s v="PROD65"/>
    <d v="2025-07-22T00:00:00"/>
    <s v="CUST1300"/>
    <s v="Montgomery, Benton and Miller"/>
    <x v="2"/>
    <n v="4"/>
    <x v="625"/>
    <n v="0.2"/>
    <x v="627"/>
  </r>
  <r>
    <x v="6"/>
    <x v="628"/>
    <s v="PROD68"/>
    <d v="2024-08-30T00:00:00"/>
    <s v="CUST1245"/>
    <s v="Wolfe, Ross and Hester"/>
    <x v="1"/>
    <n v="4"/>
    <x v="626"/>
    <n v="0.02"/>
    <x v="628"/>
  </r>
  <r>
    <x v="6"/>
    <x v="629"/>
    <s v="PROD68"/>
    <d v="2024-09-19T00:00:00"/>
    <s v="CUST1385"/>
    <s v="Wolfe, Ross and Hester"/>
    <x v="1"/>
    <n v="1"/>
    <x v="627"/>
    <n v="0.25"/>
    <x v="629"/>
  </r>
  <r>
    <x v="6"/>
    <x v="630"/>
    <s v="PROD69"/>
    <d v="2025-04-29T00:00:00"/>
    <s v="CUST1052"/>
    <s v="Fitzpatrick Ltd"/>
    <x v="3"/>
    <n v="4"/>
    <x v="628"/>
    <n v="0.24"/>
    <x v="630"/>
  </r>
  <r>
    <x v="6"/>
    <x v="631"/>
    <s v="PROD69"/>
    <d v="2025-06-03T00:00:00"/>
    <s v="CUST1159"/>
    <s v="Fitzpatrick Ltd"/>
    <x v="3"/>
    <n v="2"/>
    <x v="629"/>
    <n v="0.17"/>
    <x v="631"/>
  </r>
  <r>
    <x v="6"/>
    <x v="632"/>
    <s v="PROD69"/>
    <d v="2024-07-04T00:00:00"/>
    <s v="CUST1226"/>
    <s v="Fitzpatrick Ltd"/>
    <x v="3"/>
    <n v="2"/>
    <x v="630"/>
    <n v="0.17"/>
    <x v="632"/>
  </r>
  <r>
    <x v="6"/>
    <x v="633"/>
    <s v="PROD70"/>
    <d v="2025-06-05T00:00:00"/>
    <s v="CUST1047"/>
    <s v="Duran Group"/>
    <x v="1"/>
    <n v="1"/>
    <x v="631"/>
    <n v="0.1"/>
    <x v="633"/>
  </r>
  <r>
    <x v="6"/>
    <x v="634"/>
    <s v="PROD70"/>
    <d v="2023-12-09T00:00:00"/>
    <s v="CUST1059"/>
    <s v="Duran Group"/>
    <x v="1"/>
    <n v="2"/>
    <x v="632"/>
    <n v="0.01"/>
    <x v="634"/>
  </r>
  <r>
    <x v="6"/>
    <x v="635"/>
    <s v="PROD70"/>
    <d v="2025-06-21T00:00:00"/>
    <s v="CUST1354"/>
    <s v="Duran Group"/>
    <x v="1"/>
    <n v="2"/>
    <x v="633"/>
    <n v="0.14000000000000001"/>
    <x v="635"/>
  </r>
  <r>
    <x v="6"/>
    <x v="636"/>
    <s v="PROD70"/>
    <d v="2024-02-14T00:00:00"/>
    <s v="CUST1413"/>
    <s v="Duran Group"/>
    <x v="1"/>
    <n v="2"/>
    <x v="634"/>
    <n v="0.1"/>
    <x v="636"/>
  </r>
  <r>
    <x v="6"/>
    <x v="637"/>
    <s v="PROD71"/>
    <d v="2025-04-09T00:00:00"/>
    <s v="CUST1337"/>
    <s v="Hopkins Ltd"/>
    <x v="0"/>
    <n v="4"/>
    <x v="635"/>
    <n v="0.25"/>
    <x v="637"/>
  </r>
  <r>
    <x v="6"/>
    <x v="638"/>
    <s v="PROD72"/>
    <d v="2024-08-16T00:00:00"/>
    <s v="CUST1155"/>
    <s v="Davis PLC"/>
    <x v="2"/>
    <n v="3"/>
    <x v="636"/>
    <n v="0.01"/>
    <x v="638"/>
  </r>
  <r>
    <x v="6"/>
    <x v="639"/>
    <s v="PROD73"/>
    <d v="2024-04-05T00:00:00"/>
    <s v="CUST1214"/>
    <s v="French Ltd"/>
    <x v="2"/>
    <n v="2"/>
    <x v="637"/>
    <n v="0.22"/>
    <x v="639"/>
  </r>
  <r>
    <x v="6"/>
    <x v="640"/>
    <s v="PROD74"/>
    <d v="2025-08-26T00:00:00"/>
    <s v="CUST1336"/>
    <s v="Bruce-Bowen"/>
    <x v="4"/>
    <n v="2"/>
    <x v="638"/>
    <n v="0.22"/>
    <x v="640"/>
  </r>
  <r>
    <x v="6"/>
    <x v="641"/>
    <s v="PROD76"/>
    <d v="2024-06-04T00:00:00"/>
    <s v="CUST1361"/>
    <s v="Larson Ltd"/>
    <x v="4"/>
    <n v="3"/>
    <x v="639"/>
    <n v="0.3"/>
    <x v="641"/>
  </r>
  <r>
    <x v="6"/>
    <x v="642"/>
    <s v="PROD76"/>
    <d v="2024-05-29T00:00:00"/>
    <s v="CUST1464"/>
    <s v="Larson Ltd"/>
    <x v="4"/>
    <n v="2"/>
    <x v="640"/>
    <n v="0.26"/>
    <x v="642"/>
  </r>
  <r>
    <x v="6"/>
    <x v="643"/>
    <s v="PROD77"/>
    <d v="2025-05-01T00:00:00"/>
    <s v="CUST1388"/>
    <s v="White, Reeves and Woods"/>
    <x v="4"/>
    <n v="3"/>
    <x v="641"/>
    <n v="0.18"/>
    <x v="643"/>
  </r>
  <r>
    <x v="6"/>
    <x v="644"/>
    <s v="PROD78"/>
    <d v="2024-12-13T00:00:00"/>
    <s v="CUST1430"/>
    <s v="Hernandez Inc"/>
    <x v="1"/>
    <n v="3"/>
    <x v="642"/>
    <n v="7.0000000000000007E-2"/>
    <x v="644"/>
  </r>
  <r>
    <x v="6"/>
    <x v="645"/>
    <s v="PROD83"/>
    <d v="2025-05-29T00:00:00"/>
    <s v="CUST1071"/>
    <s v="Butler Group"/>
    <x v="0"/>
    <n v="2"/>
    <x v="643"/>
    <n v="0.03"/>
    <x v="645"/>
  </r>
  <r>
    <x v="6"/>
    <x v="646"/>
    <s v="PROD84"/>
    <d v="2024-05-23T00:00:00"/>
    <s v="CUST1490"/>
    <s v="Collins-Stephenson"/>
    <x v="1"/>
    <n v="1"/>
    <x v="644"/>
    <n v="0.2"/>
    <x v="646"/>
  </r>
  <r>
    <x v="6"/>
    <x v="647"/>
    <s v="PROD88"/>
    <d v="2024-05-14T00:00:00"/>
    <s v="CUST1076"/>
    <s v="Olsen-Daniels"/>
    <x v="2"/>
    <n v="1"/>
    <x v="645"/>
    <n v="0.11"/>
    <x v="647"/>
  </r>
  <r>
    <x v="6"/>
    <x v="648"/>
    <s v="PROD88"/>
    <d v="2024-09-04T00:00:00"/>
    <s v="CUST1258"/>
    <s v="Olsen-Daniels"/>
    <x v="2"/>
    <n v="4"/>
    <x v="646"/>
    <n v="0.08"/>
    <x v="648"/>
  </r>
  <r>
    <x v="6"/>
    <x v="649"/>
    <s v="PROD89"/>
    <d v="2024-02-27T00:00:00"/>
    <s v="CUST1208"/>
    <s v="Taylor-Elliott"/>
    <x v="0"/>
    <n v="1"/>
    <x v="647"/>
    <n v="0.27"/>
    <x v="649"/>
  </r>
  <r>
    <x v="6"/>
    <x v="650"/>
    <s v="PROD89"/>
    <d v="2024-07-04T00:00:00"/>
    <s v="CUST1496"/>
    <s v="Taylor-Elliott"/>
    <x v="0"/>
    <n v="4"/>
    <x v="648"/>
    <n v="0.18"/>
    <x v="650"/>
  </r>
  <r>
    <x v="6"/>
    <x v="651"/>
    <s v="PROD91"/>
    <d v="2024-03-25T00:00:00"/>
    <s v="CUST1168"/>
    <s v="Smith-Charles"/>
    <x v="3"/>
    <n v="3"/>
    <x v="649"/>
    <n v="7.0000000000000007E-2"/>
    <x v="651"/>
  </r>
  <r>
    <x v="6"/>
    <x v="652"/>
    <s v="PROD92"/>
    <d v="2025-08-03T00:00:00"/>
    <s v="CUST1223"/>
    <s v="Green, Powell and Palmer"/>
    <x v="1"/>
    <n v="3"/>
    <x v="650"/>
    <n v="0.28000000000000003"/>
    <x v="652"/>
  </r>
  <r>
    <x v="6"/>
    <x v="653"/>
    <s v="PROD92"/>
    <d v="2024-11-21T00:00:00"/>
    <s v="CUST1424"/>
    <s v="Green, Powell and Palmer"/>
    <x v="1"/>
    <n v="3"/>
    <x v="651"/>
    <n v="0.15"/>
    <x v="653"/>
  </r>
  <r>
    <x v="6"/>
    <x v="654"/>
    <s v="PROD93"/>
    <d v="2023-11-03T00:00:00"/>
    <s v="CUST1266"/>
    <s v="Martin LLC"/>
    <x v="4"/>
    <n v="1"/>
    <x v="652"/>
    <n v="0.15"/>
    <x v="654"/>
  </r>
  <r>
    <x v="6"/>
    <x v="655"/>
    <s v="PROD94"/>
    <d v="2025-06-13T00:00:00"/>
    <s v="CUST1168"/>
    <s v="Hoffman-Williams"/>
    <x v="0"/>
    <n v="1"/>
    <x v="653"/>
    <n v="7.0000000000000007E-2"/>
    <x v="655"/>
  </r>
  <r>
    <x v="6"/>
    <x v="656"/>
    <s v="PROD95"/>
    <d v="2023-12-22T00:00:00"/>
    <s v="CUST1035"/>
    <s v="Wilson Group"/>
    <x v="2"/>
    <n v="2"/>
    <x v="654"/>
    <n v="0.06"/>
    <x v="656"/>
  </r>
  <r>
    <x v="6"/>
    <x v="657"/>
    <s v="PROD95"/>
    <d v="2025-05-04T00:00:00"/>
    <s v="CUST1048"/>
    <s v="Wilson Group"/>
    <x v="2"/>
    <n v="4"/>
    <x v="655"/>
    <n v="0.16"/>
    <x v="657"/>
  </r>
  <r>
    <x v="6"/>
    <x v="658"/>
    <s v="PROD95"/>
    <d v="2024-01-27T00:00:00"/>
    <s v="CUST1343"/>
    <s v="Wilson Group"/>
    <x v="2"/>
    <n v="2"/>
    <x v="656"/>
    <n v="0.01"/>
    <x v="658"/>
  </r>
  <r>
    <x v="6"/>
    <x v="659"/>
    <s v="PROD96"/>
    <d v="2024-10-25T00:00:00"/>
    <s v="CUST1410"/>
    <s v="Phillips and Sons"/>
    <x v="3"/>
    <n v="3"/>
    <x v="657"/>
    <n v="0.06"/>
    <x v="659"/>
  </r>
  <r>
    <x v="6"/>
    <x v="660"/>
    <s v="PROD98"/>
    <d v="2025-04-05T00:00:00"/>
    <s v="CUST1380"/>
    <s v="Flores-King"/>
    <x v="4"/>
    <n v="4"/>
    <x v="658"/>
    <n v="0.14000000000000001"/>
    <x v="660"/>
  </r>
  <r>
    <x v="7"/>
    <x v="661"/>
    <s v="PROD0"/>
    <d v="2024-09-07T00:00:00"/>
    <s v="CUST1416"/>
    <s v="Hunt Inc"/>
    <x v="4"/>
    <n v="3"/>
    <x v="659"/>
    <n v="0.08"/>
    <x v="661"/>
  </r>
  <r>
    <x v="7"/>
    <x v="662"/>
    <s v="PROD1"/>
    <d v="2024-03-31T00:00:00"/>
    <s v="CUST1182"/>
    <s v="Terry-Moore"/>
    <x v="3"/>
    <n v="2"/>
    <x v="660"/>
    <n v="0.17"/>
    <x v="662"/>
  </r>
  <r>
    <x v="7"/>
    <x v="663"/>
    <s v="PROD1"/>
    <d v="2024-07-16T00:00:00"/>
    <s v="CUST1468"/>
    <s v="Terry-Moore"/>
    <x v="3"/>
    <n v="3"/>
    <x v="661"/>
    <n v="0.21"/>
    <x v="663"/>
  </r>
  <r>
    <x v="7"/>
    <x v="664"/>
    <s v="PROD10"/>
    <d v="2024-06-22T00:00:00"/>
    <s v="CUST1128"/>
    <s v="Hamilton Group"/>
    <x v="1"/>
    <n v="2"/>
    <x v="662"/>
    <n v="0.08"/>
    <x v="664"/>
  </r>
  <r>
    <x v="7"/>
    <x v="665"/>
    <s v="PROD10"/>
    <d v="2023-11-21T00:00:00"/>
    <s v="CUST1229"/>
    <s v="Hamilton Group"/>
    <x v="1"/>
    <n v="4"/>
    <x v="663"/>
    <n v="0.12"/>
    <x v="665"/>
  </r>
  <r>
    <x v="7"/>
    <x v="666"/>
    <s v="PROD11"/>
    <d v="2025-03-11T00:00:00"/>
    <s v="CUST1150"/>
    <s v="Gibson, Hobbs and Weaver"/>
    <x v="4"/>
    <n v="3"/>
    <x v="664"/>
    <n v="7.0000000000000007E-2"/>
    <x v="666"/>
  </r>
  <r>
    <x v="7"/>
    <x v="667"/>
    <s v="PROD11"/>
    <d v="2024-10-13T00:00:00"/>
    <s v="CUST1271"/>
    <s v="Gibson, Hobbs and Weaver"/>
    <x v="4"/>
    <n v="4"/>
    <x v="665"/>
    <n v="0.25"/>
    <x v="667"/>
  </r>
  <r>
    <x v="7"/>
    <x v="668"/>
    <s v="PROD11"/>
    <d v="2025-09-29T00:00:00"/>
    <s v="CUST1334"/>
    <s v="Gibson, Hobbs and Weaver"/>
    <x v="4"/>
    <n v="2"/>
    <x v="666"/>
    <n v="0.05"/>
    <x v="668"/>
  </r>
  <r>
    <x v="7"/>
    <x v="669"/>
    <s v="PROD11"/>
    <d v="2024-03-22T00:00:00"/>
    <s v="CUST1336"/>
    <s v="Gibson, Hobbs and Weaver"/>
    <x v="4"/>
    <n v="4"/>
    <x v="667"/>
    <n v="0.18"/>
    <x v="669"/>
  </r>
  <r>
    <x v="7"/>
    <x v="670"/>
    <s v="PROD12"/>
    <d v="2024-01-04T00:00:00"/>
    <s v="CUST1123"/>
    <s v="Rice LLC"/>
    <x v="0"/>
    <n v="2"/>
    <x v="668"/>
    <n v="0.2"/>
    <x v="670"/>
  </r>
  <r>
    <x v="7"/>
    <x v="671"/>
    <s v="PROD12"/>
    <d v="2023-12-08T00:00:00"/>
    <s v="CUST1198"/>
    <s v="Rice LLC"/>
    <x v="0"/>
    <n v="4"/>
    <x v="669"/>
    <n v="0.24"/>
    <x v="671"/>
  </r>
  <r>
    <x v="7"/>
    <x v="672"/>
    <s v="PROD13"/>
    <d v="2023-11-05T00:00:00"/>
    <s v="CUST1119"/>
    <s v="Dawson-Perkins"/>
    <x v="4"/>
    <n v="2"/>
    <x v="670"/>
    <n v="0.05"/>
    <x v="672"/>
  </r>
  <r>
    <x v="7"/>
    <x v="673"/>
    <s v="PROD13"/>
    <d v="2025-07-15T00:00:00"/>
    <s v="CUST1338"/>
    <s v="Dawson-Perkins"/>
    <x v="4"/>
    <n v="1"/>
    <x v="671"/>
    <n v="0.15"/>
    <x v="673"/>
  </r>
  <r>
    <x v="7"/>
    <x v="674"/>
    <s v="PROD14"/>
    <d v="2024-10-02T00:00:00"/>
    <s v="CUST1067"/>
    <s v="Luna, Anderson and Bowman"/>
    <x v="1"/>
    <n v="4"/>
    <x v="672"/>
    <n v="0.02"/>
    <x v="674"/>
  </r>
  <r>
    <x v="7"/>
    <x v="675"/>
    <s v="PROD15"/>
    <d v="2024-09-06T00:00:00"/>
    <s v="CUST1054"/>
    <s v="Thomas LLC"/>
    <x v="4"/>
    <n v="2"/>
    <x v="673"/>
    <n v="0.22"/>
    <x v="675"/>
  </r>
  <r>
    <x v="7"/>
    <x v="676"/>
    <s v="PROD15"/>
    <d v="2024-01-13T00:00:00"/>
    <s v="CUST1241"/>
    <s v="Thomas LLC"/>
    <x v="4"/>
    <n v="2"/>
    <x v="674"/>
    <n v="0.17"/>
    <x v="676"/>
  </r>
  <r>
    <x v="7"/>
    <x v="677"/>
    <s v="PROD15"/>
    <d v="2025-07-31T00:00:00"/>
    <s v="CUST1481"/>
    <s v="Thomas LLC"/>
    <x v="4"/>
    <n v="3"/>
    <x v="675"/>
    <n v="0.24"/>
    <x v="677"/>
  </r>
  <r>
    <x v="7"/>
    <x v="678"/>
    <s v="PROD17"/>
    <d v="2024-09-01T00:00:00"/>
    <s v="CUST1034"/>
    <s v="Ford, Murphy and Wilson"/>
    <x v="2"/>
    <n v="4"/>
    <x v="676"/>
    <n v="0.1"/>
    <x v="678"/>
  </r>
  <r>
    <x v="7"/>
    <x v="679"/>
    <s v="PROD18"/>
    <d v="2025-02-05T00:00:00"/>
    <s v="CUST1411"/>
    <s v="Guerra-Hendrix"/>
    <x v="3"/>
    <n v="1"/>
    <x v="677"/>
    <n v="7.0000000000000007E-2"/>
    <x v="679"/>
  </r>
  <r>
    <x v="7"/>
    <x v="680"/>
    <s v="PROD19"/>
    <d v="2025-04-05T00:00:00"/>
    <s v="CUST1270"/>
    <s v="May-Reese"/>
    <x v="2"/>
    <n v="3"/>
    <x v="678"/>
    <n v="0.05"/>
    <x v="680"/>
  </r>
  <r>
    <x v="7"/>
    <x v="681"/>
    <s v="PROD19"/>
    <d v="2025-08-01T00:00:00"/>
    <s v="CUST1468"/>
    <s v="May-Reese"/>
    <x v="2"/>
    <n v="1"/>
    <x v="679"/>
    <n v="0.02"/>
    <x v="681"/>
  </r>
  <r>
    <x v="7"/>
    <x v="682"/>
    <s v="PROD2"/>
    <d v="2025-04-11T00:00:00"/>
    <s v="CUST1115"/>
    <s v="Sims Inc"/>
    <x v="3"/>
    <n v="4"/>
    <x v="680"/>
    <n v="0.18"/>
    <x v="682"/>
  </r>
  <r>
    <x v="7"/>
    <x v="683"/>
    <s v="PROD23"/>
    <d v="2023-12-21T00:00:00"/>
    <s v="CUST1046"/>
    <s v="Moon, Mora and Santos"/>
    <x v="3"/>
    <n v="1"/>
    <x v="681"/>
    <n v="0.14000000000000001"/>
    <x v="683"/>
  </r>
  <r>
    <x v="7"/>
    <x v="684"/>
    <s v="PROD23"/>
    <d v="2024-10-07T00:00:00"/>
    <s v="CUST1170"/>
    <s v="Moon, Mora and Santos"/>
    <x v="3"/>
    <n v="1"/>
    <x v="682"/>
    <n v="0.01"/>
    <x v="684"/>
  </r>
  <r>
    <x v="7"/>
    <x v="685"/>
    <s v="PROD24"/>
    <d v="2025-06-21T00:00:00"/>
    <s v="CUST1348"/>
    <s v="Cook Ltd"/>
    <x v="2"/>
    <n v="4"/>
    <x v="683"/>
    <n v="0.28999999999999998"/>
    <x v="685"/>
  </r>
  <r>
    <x v="7"/>
    <x v="686"/>
    <s v="PROD25"/>
    <d v="2024-08-16T00:00:00"/>
    <s v="CUST1015"/>
    <s v="Brown and Sons"/>
    <x v="3"/>
    <n v="4"/>
    <x v="394"/>
    <n v="0.15"/>
    <x v="686"/>
  </r>
  <r>
    <x v="7"/>
    <x v="687"/>
    <s v="PROD25"/>
    <d v="2024-01-05T00:00:00"/>
    <s v="CUST1067"/>
    <s v="Brown and Sons"/>
    <x v="3"/>
    <n v="2"/>
    <x v="684"/>
    <n v="0.2"/>
    <x v="687"/>
  </r>
  <r>
    <x v="7"/>
    <x v="688"/>
    <s v="PROD25"/>
    <d v="2024-03-20T00:00:00"/>
    <s v="CUST1128"/>
    <s v="Brown and Sons"/>
    <x v="3"/>
    <n v="1"/>
    <x v="685"/>
    <n v="0.28000000000000003"/>
    <x v="688"/>
  </r>
  <r>
    <x v="7"/>
    <x v="689"/>
    <s v="PROD25"/>
    <d v="2024-05-29T00:00:00"/>
    <s v="CUST1457"/>
    <s v="Brown and Sons"/>
    <x v="3"/>
    <n v="3"/>
    <x v="686"/>
    <n v="0.3"/>
    <x v="689"/>
  </r>
  <r>
    <x v="7"/>
    <x v="690"/>
    <s v="PROD3"/>
    <d v="2024-08-02T00:00:00"/>
    <s v="CUST1471"/>
    <s v="Pineda Ltd"/>
    <x v="3"/>
    <n v="1"/>
    <x v="687"/>
    <n v="0.3"/>
    <x v="690"/>
  </r>
  <r>
    <x v="7"/>
    <x v="691"/>
    <s v="PROD31"/>
    <d v="2024-03-29T00:00:00"/>
    <s v="CUST1110"/>
    <s v="Nolan-Snow"/>
    <x v="2"/>
    <n v="3"/>
    <x v="688"/>
    <n v="0.19"/>
    <x v="691"/>
  </r>
  <r>
    <x v="7"/>
    <x v="692"/>
    <s v="PROD31"/>
    <d v="2025-03-28T00:00:00"/>
    <s v="CUST1463"/>
    <s v="Nolan-Snow"/>
    <x v="2"/>
    <n v="2"/>
    <x v="689"/>
    <n v="0.2"/>
    <x v="692"/>
  </r>
  <r>
    <x v="7"/>
    <x v="693"/>
    <s v="PROD32"/>
    <d v="2023-11-23T00:00:00"/>
    <s v="CUST1421"/>
    <s v="Griffin Ltd"/>
    <x v="0"/>
    <n v="1"/>
    <x v="690"/>
    <n v="0.28999999999999998"/>
    <x v="693"/>
  </r>
  <r>
    <x v="7"/>
    <x v="694"/>
    <s v="PROD33"/>
    <d v="2025-02-12T00:00:00"/>
    <s v="CUST1121"/>
    <s v="Weiss-Watson"/>
    <x v="1"/>
    <n v="2"/>
    <x v="691"/>
    <n v="0.1"/>
    <x v="694"/>
  </r>
  <r>
    <x v="7"/>
    <x v="695"/>
    <s v="PROD33"/>
    <d v="2024-06-03T00:00:00"/>
    <s v="CUST1381"/>
    <s v="Weiss-Watson"/>
    <x v="1"/>
    <n v="1"/>
    <x v="692"/>
    <n v="0.05"/>
    <x v="695"/>
  </r>
  <r>
    <x v="7"/>
    <x v="696"/>
    <s v="PROD34"/>
    <d v="2025-07-23T00:00:00"/>
    <s v="CUST1179"/>
    <s v="Lucero LLC"/>
    <x v="4"/>
    <n v="2"/>
    <x v="693"/>
    <n v="0.17"/>
    <x v="696"/>
  </r>
  <r>
    <x v="7"/>
    <x v="697"/>
    <s v="PROD34"/>
    <d v="2024-07-06T00:00:00"/>
    <s v="CUST1394"/>
    <s v="Lucero LLC"/>
    <x v="4"/>
    <n v="2"/>
    <x v="694"/>
    <n v="0.11"/>
    <x v="697"/>
  </r>
  <r>
    <x v="7"/>
    <x v="698"/>
    <s v="PROD35"/>
    <d v="2025-09-05T00:00:00"/>
    <s v="CUST1030"/>
    <s v="Jones LLC"/>
    <x v="1"/>
    <n v="4"/>
    <x v="695"/>
    <n v="0.25"/>
    <x v="698"/>
  </r>
  <r>
    <x v="7"/>
    <x v="699"/>
    <s v="PROD37"/>
    <d v="2023-12-08T00:00:00"/>
    <s v="CUST1136"/>
    <s v="Hogan-Lee"/>
    <x v="3"/>
    <n v="3"/>
    <x v="696"/>
    <n v="0.01"/>
    <x v="699"/>
  </r>
  <r>
    <x v="7"/>
    <x v="700"/>
    <s v="PROD37"/>
    <d v="2025-08-08T00:00:00"/>
    <s v="CUST1428"/>
    <s v="Hogan-Lee"/>
    <x v="3"/>
    <n v="4"/>
    <x v="697"/>
    <n v="0.28000000000000003"/>
    <x v="700"/>
  </r>
  <r>
    <x v="7"/>
    <x v="701"/>
    <s v="PROD38"/>
    <d v="2025-04-27T00:00:00"/>
    <s v="CUST1139"/>
    <s v="Sims-Smith"/>
    <x v="2"/>
    <n v="2"/>
    <x v="698"/>
    <n v="0.27"/>
    <x v="701"/>
  </r>
  <r>
    <x v="7"/>
    <x v="702"/>
    <s v="PROD38"/>
    <d v="2024-09-16T00:00:00"/>
    <s v="CUST1380"/>
    <s v="Sims-Smith"/>
    <x v="2"/>
    <n v="4"/>
    <x v="699"/>
    <n v="0.12"/>
    <x v="702"/>
  </r>
  <r>
    <x v="7"/>
    <x v="703"/>
    <s v="PROD39"/>
    <d v="2023-11-09T00:00:00"/>
    <s v="CUST1202"/>
    <s v="Cummings and Sons"/>
    <x v="4"/>
    <n v="2"/>
    <x v="700"/>
    <n v="0.26"/>
    <x v="703"/>
  </r>
  <r>
    <x v="7"/>
    <x v="704"/>
    <s v="PROD39"/>
    <d v="2023-11-14T00:00:00"/>
    <s v="CUST1388"/>
    <s v="Cummings and Sons"/>
    <x v="4"/>
    <n v="3"/>
    <x v="701"/>
    <n v="0.16"/>
    <x v="704"/>
  </r>
  <r>
    <x v="7"/>
    <x v="705"/>
    <s v="PROD40"/>
    <d v="2024-01-11T00:00:00"/>
    <s v="CUST1066"/>
    <s v="Taylor-Hart"/>
    <x v="4"/>
    <n v="1"/>
    <x v="702"/>
    <n v="0.28999999999999998"/>
    <x v="705"/>
  </r>
  <r>
    <x v="7"/>
    <x v="706"/>
    <s v="PROD43"/>
    <d v="2024-08-23T00:00:00"/>
    <s v="CUST1457"/>
    <s v="Robinson Inc"/>
    <x v="4"/>
    <n v="3"/>
    <x v="703"/>
    <n v="0.28999999999999998"/>
    <x v="706"/>
  </r>
  <r>
    <x v="7"/>
    <x v="707"/>
    <s v="PROD45"/>
    <d v="2023-11-05T00:00:00"/>
    <s v="CUST1078"/>
    <s v="Bridges, Banks and Cummings"/>
    <x v="2"/>
    <n v="3"/>
    <x v="704"/>
    <n v="0.23"/>
    <x v="707"/>
  </r>
  <r>
    <x v="7"/>
    <x v="708"/>
    <s v="PROD45"/>
    <d v="2023-12-16T00:00:00"/>
    <s v="CUST1469"/>
    <s v="Bridges, Banks and Cummings"/>
    <x v="2"/>
    <n v="1"/>
    <x v="705"/>
    <n v="0.08"/>
    <x v="708"/>
  </r>
  <r>
    <x v="7"/>
    <x v="709"/>
    <s v="PROD46"/>
    <d v="2025-01-25T00:00:00"/>
    <s v="CUST1109"/>
    <s v="Kelly, Smith and Perez"/>
    <x v="3"/>
    <n v="4"/>
    <x v="706"/>
    <n v="0.16"/>
    <x v="709"/>
  </r>
  <r>
    <x v="7"/>
    <x v="710"/>
    <s v="PROD48"/>
    <d v="2024-09-20T00:00:00"/>
    <s v="CUST1209"/>
    <s v="Byrd, Stewart and Valdez"/>
    <x v="4"/>
    <n v="1"/>
    <x v="707"/>
    <n v="0.04"/>
    <x v="710"/>
  </r>
  <r>
    <x v="7"/>
    <x v="711"/>
    <s v="PROD49"/>
    <d v="2025-05-10T00:00:00"/>
    <s v="CUST1492"/>
    <s v="Sullivan and Sons"/>
    <x v="0"/>
    <n v="3"/>
    <x v="708"/>
    <n v="0.15"/>
    <x v="711"/>
  </r>
  <r>
    <x v="7"/>
    <x v="712"/>
    <s v="PROD54"/>
    <d v="2024-06-11T00:00:00"/>
    <s v="CUST1402"/>
    <s v="Thompson-French"/>
    <x v="2"/>
    <n v="3"/>
    <x v="709"/>
    <n v="0"/>
    <x v="712"/>
  </r>
  <r>
    <x v="7"/>
    <x v="713"/>
    <s v="PROD54"/>
    <d v="2024-08-18T00:00:00"/>
    <s v="CUST1459"/>
    <s v="Thompson-French"/>
    <x v="2"/>
    <n v="2"/>
    <x v="710"/>
    <n v="0.09"/>
    <x v="713"/>
  </r>
  <r>
    <x v="7"/>
    <x v="714"/>
    <s v="PROD59"/>
    <d v="2025-02-05T00:00:00"/>
    <s v="CUST1352"/>
    <s v="Cline-Mccarthy"/>
    <x v="0"/>
    <n v="3"/>
    <x v="711"/>
    <n v="0.02"/>
    <x v="714"/>
  </r>
  <r>
    <x v="7"/>
    <x v="715"/>
    <s v="PROD59"/>
    <d v="2023-11-05T00:00:00"/>
    <s v="CUST1446"/>
    <s v="Cline-Mccarthy"/>
    <x v="0"/>
    <n v="1"/>
    <x v="712"/>
    <n v="0.26"/>
    <x v="715"/>
  </r>
  <r>
    <x v="7"/>
    <x v="716"/>
    <s v="PROD60"/>
    <d v="2025-07-25T00:00:00"/>
    <s v="CUST1288"/>
    <s v="Gibson, Green and Lopez"/>
    <x v="0"/>
    <n v="1"/>
    <x v="713"/>
    <n v="0.3"/>
    <x v="716"/>
  </r>
  <r>
    <x v="7"/>
    <x v="717"/>
    <s v="PROD61"/>
    <d v="2025-08-17T00:00:00"/>
    <s v="CUST1036"/>
    <s v="Lopez LLC"/>
    <x v="2"/>
    <n v="3"/>
    <x v="714"/>
    <n v="7.0000000000000007E-2"/>
    <x v="717"/>
  </r>
  <r>
    <x v="7"/>
    <x v="718"/>
    <s v="PROD61"/>
    <d v="2024-03-10T00:00:00"/>
    <s v="CUST1495"/>
    <s v="Lopez LLC"/>
    <x v="2"/>
    <n v="4"/>
    <x v="715"/>
    <n v="0.03"/>
    <x v="718"/>
  </r>
  <r>
    <x v="7"/>
    <x v="719"/>
    <s v="PROD62"/>
    <d v="2024-04-20T00:00:00"/>
    <s v="CUST1156"/>
    <s v="Murray, Gould and Ware"/>
    <x v="4"/>
    <n v="3"/>
    <x v="716"/>
    <n v="0.28000000000000003"/>
    <x v="719"/>
  </r>
  <r>
    <x v="7"/>
    <x v="720"/>
    <s v="PROD62"/>
    <d v="2024-10-30T00:00:00"/>
    <s v="CUST1492"/>
    <s v="Murray, Gould and Ware"/>
    <x v="4"/>
    <n v="3"/>
    <x v="717"/>
    <n v="0.1"/>
    <x v="720"/>
  </r>
  <r>
    <x v="7"/>
    <x v="721"/>
    <s v="PROD64"/>
    <d v="2024-07-29T00:00:00"/>
    <s v="CUST1015"/>
    <s v="Zhang Inc"/>
    <x v="0"/>
    <n v="3"/>
    <x v="718"/>
    <n v="0.13"/>
    <x v="721"/>
  </r>
  <r>
    <x v="7"/>
    <x v="722"/>
    <s v="PROD64"/>
    <d v="2024-11-21T00:00:00"/>
    <s v="CUST1381"/>
    <s v="Zhang Inc"/>
    <x v="0"/>
    <n v="2"/>
    <x v="719"/>
    <n v="0.05"/>
    <x v="722"/>
  </r>
  <r>
    <x v="7"/>
    <x v="723"/>
    <s v="PROD65"/>
    <d v="2024-10-21T00:00:00"/>
    <s v="CUST1401"/>
    <s v="Montgomery, Benton and Miller"/>
    <x v="2"/>
    <n v="1"/>
    <x v="720"/>
    <n v="0.28000000000000003"/>
    <x v="723"/>
  </r>
  <r>
    <x v="7"/>
    <x v="724"/>
    <s v="PROD67"/>
    <d v="2025-05-23T00:00:00"/>
    <s v="CUST1007"/>
    <s v="Flores-Davis"/>
    <x v="4"/>
    <n v="1"/>
    <x v="721"/>
    <n v="0.27"/>
    <x v="724"/>
  </r>
  <r>
    <x v="7"/>
    <x v="725"/>
    <s v="PROD7"/>
    <d v="2025-07-31T00:00:00"/>
    <s v="CUST1277"/>
    <s v="Harrell LLC"/>
    <x v="1"/>
    <n v="3"/>
    <x v="722"/>
    <n v="0.1"/>
    <x v="725"/>
  </r>
  <r>
    <x v="7"/>
    <x v="726"/>
    <s v="PROD7"/>
    <d v="2024-12-26T00:00:00"/>
    <s v="CUST1425"/>
    <s v="Harrell LLC"/>
    <x v="1"/>
    <n v="1"/>
    <x v="723"/>
    <n v="0.06"/>
    <x v="726"/>
  </r>
  <r>
    <x v="7"/>
    <x v="727"/>
    <s v="PROD70"/>
    <d v="2025-08-04T00:00:00"/>
    <s v="CUST1407"/>
    <s v="Duran Group"/>
    <x v="1"/>
    <n v="3"/>
    <x v="724"/>
    <n v="0.03"/>
    <x v="727"/>
  </r>
  <r>
    <x v="7"/>
    <x v="728"/>
    <s v="PROD71"/>
    <d v="2023-11-04T00:00:00"/>
    <s v="CUST1409"/>
    <s v="Hopkins Ltd"/>
    <x v="0"/>
    <n v="2"/>
    <x v="725"/>
    <n v="0.25"/>
    <x v="728"/>
  </r>
  <r>
    <x v="7"/>
    <x v="729"/>
    <s v="PROD74"/>
    <d v="2025-02-16T00:00:00"/>
    <s v="CUST1003"/>
    <s v="Bruce-Bowen"/>
    <x v="4"/>
    <n v="2"/>
    <x v="726"/>
    <n v="0.21"/>
    <x v="729"/>
  </r>
  <r>
    <x v="7"/>
    <x v="730"/>
    <s v="PROD74"/>
    <d v="2024-02-22T00:00:00"/>
    <s v="CUST1461"/>
    <s v="Bruce-Bowen"/>
    <x v="4"/>
    <n v="4"/>
    <x v="727"/>
    <n v="0.12"/>
    <x v="730"/>
  </r>
  <r>
    <x v="7"/>
    <x v="731"/>
    <s v="PROD78"/>
    <d v="2024-06-08T00:00:00"/>
    <s v="CUST1037"/>
    <s v="Hernandez Inc"/>
    <x v="1"/>
    <n v="3"/>
    <x v="728"/>
    <n v="0.06"/>
    <x v="731"/>
  </r>
  <r>
    <x v="7"/>
    <x v="732"/>
    <s v="PROD8"/>
    <d v="2024-01-19T00:00:00"/>
    <s v="CUST1137"/>
    <s v="Perez-Johnston"/>
    <x v="4"/>
    <n v="1"/>
    <x v="729"/>
    <n v="0.01"/>
    <x v="732"/>
  </r>
  <r>
    <x v="7"/>
    <x v="733"/>
    <s v="PROD80"/>
    <d v="2024-10-07T00:00:00"/>
    <s v="CUST1018"/>
    <s v="Allison Ltd"/>
    <x v="1"/>
    <n v="2"/>
    <x v="730"/>
    <n v="0.08"/>
    <x v="733"/>
  </r>
  <r>
    <x v="7"/>
    <x v="734"/>
    <s v="PROD80"/>
    <d v="2024-12-23T00:00:00"/>
    <s v="CUST1462"/>
    <s v="Allison Ltd"/>
    <x v="1"/>
    <n v="4"/>
    <x v="731"/>
    <n v="0.16"/>
    <x v="734"/>
  </r>
  <r>
    <x v="7"/>
    <x v="735"/>
    <s v="PROD81"/>
    <d v="2025-01-24T00:00:00"/>
    <s v="CUST1369"/>
    <s v="Robinson-Brown"/>
    <x v="2"/>
    <n v="2"/>
    <x v="732"/>
    <n v="0.01"/>
    <x v="735"/>
  </r>
  <r>
    <x v="7"/>
    <x v="736"/>
    <s v="PROD83"/>
    <d v="2024-04-02T00:00:00"/>
    <s v="CUST1177"/>
    <s v="Butler Group"/>
    <x v="0"/>
    <n v="3"/>
    <x v="733"/>
    <n v="0.03"/>
    <x v="736"/>
  </r>
  <r>
    <x v="7"/>
    <x v="737"/>
    <s v="PROD83"/>
    <d v="2024-10-24T00:00:00"/>
    <s v="CUST1322"/>
    <s v="Butler Group"/>
    <x v="0"/>
    <n v="1"/>
    <x v="734"/>
    <n v="0"/>
    <x v="737"/>
  </r>
  <r>
    <x v="7"/>
    <x v="738"/>
    <s v="PROD83"/>
    <d v="2025-02-04T00:00:00"/>
    <s v="CUST1437"/>
    <s v="Butler Group"/>
    <x v="0"/>
    <n v="1"/>
    <x v="735"/>
    <n v="7.0000000000000007E-2"/>
    <x v="738"/>
  </r>
  <r>
    <x v="7"/>
    <x v="739"/>
    <s v="PROD84"/>
    <d v="2024-11-24T00:00:00"/>
    <s v="CUST1251"/>
    <s v="Collins-Stephenson"/>
    <x v="1"/>
    <n v="1"/>
    <x v="736"/>
    <n v="0.26"/>
    <x v="739"/>
  </r>
  <r>
    <x v="7"/>
    <x v="740"/>
    <s v="PROD86"/>
    <d v="2024-09-09T00:00:00"/>
    <s v="CUST1145"/>
    <s v="Taylor, Dodson and Johnston"/>
    <x v="1"/>
    <n v="2"/>
    <x v="737"/>
    <n v="0.09"/>
    <x v="740"/>
  </r>
  <r>
    <x v="7"/>
    <x v="741"/>
    <s v="PROD87"/>
    <d v="2025-06-19T00:00:00"/>
    <s v="CUST1201"/>
    <s v="Aguilar, Horton and Lewis"/>
    <x v="1"/>
    <n v="4"/>
    <x v="738"/>
    <n v="0.06"/>
    <x v="741"/>
  </r>
  <r>
    <x v="7"/>
    <x v="742"/>
    <s v="PROD88"/>
    <d v="2025-03-18T00:00:00"/>
    <s v="CUST1171"/>
    <s v="Olsen-Daniels"/>
    <x v="2"/>
    <n v="2"/>
    <x v="739"/>
    <n v="0.23"/>
    <x v="742"/>
  </r>
  <r>
    <x v="7"/>
    <x v="743"/>
    <s v="PROD88"/>
    <d v="2024-11-02T00:00:00"/>
    <s v="CUST1481"/>
    <s v="Olsen-Daniels"/>
    <x v="2"/>
    <n v="3"/>
    <x v="740"/>
    <n v="0.04"/>
    <x v="743"/>
  </r>
  <r>
    <x v="7"/>
    <x v="744"/>
    <s v="PROD89"/>
    <d v="2024-07-20T00:00:00"/>
    <s v="CUST1068"/>
    <s v="Taylor-Elliott"/>
    <x v="0"/>
    <n v="4"/>
    <x v="195"/>
    <n v="0.23"/>
    <x v="744"/>
  </r>
  <r>
    <x v="7"/>
    <x v="745"/>
    <s v="PROD89"/>
    <d v="2025-09-10T00:00:00"/>
    <s v="CUST1080"/>
    <s v="Taylor-Elliott"/>
    <x v="0"/>
    <n v="3"/>
    <x v="741"/>
    <n v="0.06"/>
    <x v="745"/>
  </r>
  <r>
    <x v="7"/>
    <x v="746"/>
    <s v="PROD89"/>
    <d v="2024-08-06T00:00:00"/>
    <s v="CUST1234"/>
    <s v="Taylor-Elliott"/>
    <x v="0"/>
    <n v="4"/>
    <x v="742"/>
    <n v="0.09"/>
    <x v="746"/>
  </r>
  <r>
    <x v="7"/>
    <x v="747"/>
    <s v="PROD9"/>
    <d v="2024-01-11T00:00:00"/>
    <s v="CUST1483"/>
    <s v="Hill PLC"/>
    <x v="2"/>
    <n v="4"/>
    <x v="743"/>
    <n v="0.16"/>
    <x v="747"/>
  </r>
  <r>
    <x v="7"/>
    <x v="748"/>
    <s v="PROD90"/>
    <d v="2023-10-26T00:00:00"/>
    <s v="CUST1203"/>
    <s v="Sharp, Taylor and Rodriguez"/>
    <x v="4"/>
    <n v="4"/>
    <x v="744"/>
    <n v="0.02"/>
    <x v="748"/>
  </r>
  <r>
    <x v="7"/>
    <x v="749"/>
    <s v="PROD93"/>
    <d v="2024-08-28T00:00:00"/>
    <s v="CUST1426"/>
    <s v="Martin LLC"/>
    <x v="4"/>
    <n v="3"/>
    <x v="745"/>
    <n v="0.24"/>
    <x v="749"/>
  </r>
  <r>
    <x v="7"/>
    <x v="750"/>
    <s v="PROD94"/>
    <d v="2025-04-08T00:00:00"/>
    <s v="CUST1277"/>
    <s v="Hoffman-Williams"/>
    <x v="0"/>
    <n v="4"/>
    <x v="746"/>
    <n v="0.25"/>
    <x v="750"/>
  </r>
  <r>
    <x v="7"/>
    <x v="751"/>
    <s v="PROD94"/>
    <d v="2025-08-25T00:00:00"/>
    <s v="CUST1400"/>
    <s v="Hoffman-Williams"/>
    <x v="0"/>
    <n v="1"/>
    <x v="747"/>
    <n v="0.27"/>
    <x v="751"/>
  </r>
  <r>
    <x v="7"/>
    <x v="752"/>
    <s v="PROD95"/>
    <d v="2024-01-16T00:00:00"/>
    <s v="CUST1233"/>
    <s v="Wilson Group"/>
    <x v="2"/>
    <n v="2"/>
    <x v="748"/>
    <n v="0.27"/>
    <x v="752"/>
  </r>
  <r>
    <x v="7"/>
    <x v="753"/>
    <s v="PROD95"/>
    <d v="2024-03-23T00:00:00"/>
    <s v="CUST1336"/>
    <s v="Wilson Group"/>
    <x v="2"/>
    <n v="4"/>
    <x v="749"/>
    <n v="0.1"/>
    <x v="753"/>
  </r>
  <r>
    <x v="7"/>
    <x v="754"/>
    <s v="PROD95"/>
    <d v="2025-07-26T00:00:00"/>
    <s v="CUST1485"/>
    <s v="Wilson Group"/>
    <x v="2"/>
    <n v="4"/>
    <x v="750"/>
    <n v="0.19"/>
    <x v="754"/>
  </r>
  <r>
    <x v="7"/>
    <x v="755"/>
    <s v="PROD97"/>
    <d v="2025-07-18T00:00:00"/>
    <s v="CUST1417"/>
    <s v="Khan LLC"/>
    <x v="2"/>
    <n v="4"/>
    <x v="751"/>
    <n v="0.24"/>
    <x v="755"/>
  </r>
  <r>
    <x v="8"/>
    <x v="756"/>
    <s v="PROD0"/>
    <d v="2025-08-16T00:00:00"/>
    <s v="CUST1147"/>
    <s v="Hunt Inc"/>
    <x v="4"/>
    <n v="3"/>
    <x v="752"/>
    <n v="0.04"/>
    <x v="756"/>
  </r>
  <r>
    <x v="8"/>
    <x v="757"/>
    <s v="PROD0"/>
    <d v="2024-06-19T00:00:00"/>
    <s v="CUST1175"/>
    <s v="Hunt Inc"/>
    <x v="4"/>
    <n v="4"/>
    <x v="753"/>
    <n v="0.05"/>
    <x v="757"/>
  </r>
  <r>
    <x v="8"/>
    <x v="758"/>
    <s v="PROD0"/>
    <d v="2025-06-02T00:00:00"/>
    <s v="CUST1365"/>
    <s v="Hunt Inc"/>
    <x v="4"/>
    <n v="3"/>
    <x v="754"/>
    <n v="0.15"/>
    <x v="758"/>
  </r>
  <r>
    <x v="8"/>
    <x v="759"/>
    <s v="PROD1"/>
    <d v="2024-09-13T00:00:00"/>
    <s v="CUST1076"/>
    <s v="Terry-Moore"/>
    <x v="3"/>
    <n v="2"/>
    <x v="755"/>
    <n v="0.11"/>
    <x v="759"/>
  </r>
  <r>
    <x v="8"/>
    <x v="760"/>
    <s v="PROD1"/>
    <d v="2025-03-07T00:00:00"/>
    <s v="CUST1315"/>
    <s v="Terry-Moore"/>
    <x v="3"/>
    <n v="1"/>
    <x v="756"/>
    <n v="0.3"/>
    <x v="760"/>
  </r>
  <r>
    <x v="8"/>
    <x v="761"/>
    <s v="PROD10"/>
    <d v="2024-01-19T00:00:00"/>
    <s v="CUST1327"/>
    <s v="Hamilton Group"/>
    <x v="1"/>
    <n v="2"/>
    <x v="757"/>
    <n v="0.09"/>
    <x v="761"/>
  </r>
  <r>
    <x v="8"/>
    <x v="762"/>
    <s v="PROD10"/>
    <d v="2024-03-23T00:00:00"/>
    <s v="CUST1422"/>
    <s v="Hamilton Group"/>
    <x v="1"/>
    <n v="2"/>
    <x v="758"/>
    <n v="0.16"/>
    <x v="762"/>
  </r>
  <r>
    <x v="8"/>
    <x v="763"/>
    <s v="PROD11"/>
    <d v="2025-05-04T00:00:00"/>
    <s v="CUST1039"/>
    <s v="Gibson, Hobbs and Weaver"/>
    <x v="4"/>
    <n v="3"/>
    <x v="759"/>
    <n v="0.27"/>
    <x v="763"/>
  </r>
  <r>
    <x v="8"/>
    <x v="764"/>
    <s v="PROD13"/>
    <d v="2024-09-09T00:00:00"/>
    <s v="CUST1252"/>
    <s v="Dawson-Perkins"/>
    <x v="4"/>
    <n v="2"/>
    <x v="760"/>
    <n v="0.14000000000000001"/>
    <x v="764"/>
  </r>
  <r>
    <x v="8"/>
    <x v="765"/>
    <s v="PROD13"/>
    <d v="2025-08-28T00:00:00"/>
    <s v="CUST1423"/>
    <s v="Dawson-Perkins"/>
    <x v="4"/>
    <n v="4"/>
    <x v="761"/>
    <n v="0.24"/>
    <x v="765"/>
  </r>
  <r>
    <x v="8"/>
    <x v="766"/>
    <s v="PROD15"/>
    <d v="2024-05-17T00:00:00"/>
    <s v="CUST1196"/>
    <s v="Thomas LLC"/>
    <x v="4"/>
    <n v="3"/>
    <x v="762"/>
    <n v="0.04"/>
    <x v="766"/>
  </r>
  <r>
    <x v="8"/>
    <x v="767"/>
    <s v="PROD15"/>
    <d v="2025-06-29T00:00:00"/>
    <s v="CUST1327"/>
    <s v="Thomas LLC"/>
    <x v="4"/>
    <n v="4"/>
    <x v="763"/>
    <n v="0.08"/>
    <x v="767"/>
  </r>
  <r>
    <x v="8"/>
    <x v="768"/>
    <s v="PROD16"/>
    <d v="2025-05-09T00:00:00"/>
    <s v="CUST1070"/>
    <s v="Erickson-Green"/>
    <x v="0"/>
    <n v="2"/>
    <x v="764"/>
    <n v="0.09"/>
    <x v="768"/>
  </r>
  <r>
    <x v="8"/>
    <x v="769"/>
    <s v="PROD16"/>
    <d v="2024-02-08T00:00:00"/>
    <s v="CUST1347"/>
    <s v="Erickson-Green"/>
    <x v="0"/>
    <n v="2"/>
    <x v="765"/>
    <n v="0.17"/>
    <x v="769"/>
  </r>
  <r>
    <x v="8"/>
    <x v="770"/>
    <s v="PROD17"/>
    <d v="2024-12-27T00:00:00"/>
    <s v="CUST1264"/>
    <s v="Ford, Murphy and Wilson"/>
    <x v="2"/>
    <n v="1"/>
    <x v="766"/>
    <n v="0.05"/>
    <x v="770"/>
  </r>
  <r>
    <x v="8"/>
    <x v="771"/>
    <s v="PROD17"/>
    <d v="2025-03-25T00:00:00"/>
    <s v="CUST1417"/>
    <s v="Ford, Murphy and Wilson"/>
    <x v="2"/>
    <n v="3"/>
    <x v="767"/>
    <n v="0.23"/>
    <x v="771"/>
  </r>
  <r>
    <x v="8"/>
    <x v="772"/>
    <s v="PROD19"/>
    <d v="2023-10-28T00:00:00"/>
    <s v="CUST1095"/>
    <s v="May-Reese"/>
    <x v="2"/>
    <n v="2"/>
    <x v="768"/>
    <n v="0.22"/>
    <x v="772"/>
  </r>
  <r>
    <x v="8"/>
    <x v="773"/>
    <s v="PROD2"/>
    <d v="2025-09-22T00:00:00"/>
    <s v="CUST1098"/>
    <s v="Sims Inc"/>
    <x v="3"/>
    <n v="1"/>
    <x v="769"/>
    <n v="0.12"/>
    <x v="773"/>
  </r>
  <r>
    <x v="8"/>
    <x v="774"/>
    <s v="PROD21"/>
    <d v="2025-07-13T00:00:00"/>
    <s v="CUST1349"/>
    <s v="Gardner-Montes"/>
    <x v="1"/>
    <n v="4"/>
    <x v="770"/>
    <n v="0.15"/>
    <x v="774"/>
  </r>
  <r>
    <x v="8"/>
    <x v="775"/>
    <s v="PROD21"/>
    <d v="2024-11-11T00:00:00"/>
    <s v="CUST1420"/>
    <s v="Gardner-Montes"/>
    <x v="1"/>
    <n v="2"/>
    <x v="771"/>
    <n v="0.08"/>
    <x v="775"/>
  </r>
  <r>
    <x v="8"/>
    <x v="776"/>
    <s v="PROD22"/>
    <d v="2024-05-26T00:00:00"/>
    <s v="CUST1283"/>
    <s v="Flores, Pineda and Rodriguez"/>
    <x v="2"/>
    <n v="4"/>
    <x v="772"/>
    <n v="0.05"/>
    <x v="776"/>
  </r>
  <r>
    <x v="8"/>
    <x v="777"/>
    <s v="PROD23"/>
    <d v="2024-06-17T00:00:00"/>
    <s v="CUST1404"/>
    <s v="Moon, Mora and Santos"/>
    <x v="3"/>
    <n v="2"/>
    <x v="773"/>
    <n v="0.09"/>
    <x v="777"/>
  </r>
  <r>
    <x v="8"/>
    <x v="778"/>
    <s v="PROD24"/>
    <d v="2025-04-27T00:00:00"/>
    <s v="CUST1100"/>
    <s v="Cook Ltd"/>
    <x v="2"/>
    <n v="2"/>
    <x v="774"/>
    <n v="0.06"/>
    <x v="778"/>
  </r>
  <r>
    <x v="8"/>
    <x v="779"/>
    <s v="PROD25"/>
    <d v="2024-08-02T00:00:00"/>
    <s v="CUST1418"/>
    <s v="Brown and Sons"/>
    <x v="3"/>
    <n v="4"/>
    <x v="775"/>
    <n v="0.11"/>
    <x v="779"/>
  </r>
  <r>
    <x v="8"/>
    <x v="780"/>
    <s v="PROD27"/>
    <d v="2024-04-15T00:00:00"/>
    <s v="CUST1129"/>
    <s v="Khan, Jones and Paul"/>
    <x v="1"/>
    <n v="2"/>
    <x v="776"/>
    <n v="0.1"/>
    <x v="780"/>
  </r>
  <r>
    <x v="8"/>
    <x v="781"/>
    <s v="PROD27"/>
    <d v="2024-01-31T00:00:00"/>
    <s v="CUST1179"/>
    <s v="Khan, Jones and Paul"/>
    <x v="1"/>
    <n v="4"/>
    <x v="777"/>
    <n v="0.22"/>
    <x v="781"/>
  </r>
  <r>
    <x v="8"/>
    <x v="782"/>
    <s v="PROD28"/>
    <d v="2025-03-12T00:00:00"/>
    <s v="CUST1075"/>
    <s v="Burns-Hansen"/>
    <x v="2"/>
    <n v="2"/>
    <x v="778"/>
    <n v="0.28000000000000003"/>
    <x v="782"/>
  </r>
  <r>
    <x v="8"/>
    <x v="783"/>
    <s v="PROD29"/>
    <d v="2024-08-27T00:00:00"/>
    <s v="CUST1385"/>
    <s v="Hoffman Group"/>
    <x v="1"/>
    <n v="1"/>
    <x v="779"/>
    <n v="0.28999999999999998"/>
    <x v="783"/>
  </r>
  <r>
    <x v="8"/>
    <x v="784"/>
    <s v="PROD3"/>
    <d v="2025-03-24T00:00:00"/>
    <s v="CUST1406"/>
    <s v="Pineda Ltd"/>
    <x v="3"/>
    <n v="1"/>
    <x v="780"/>
    <n v="0.19"/>
    <x v="784"/>
  </r>
  <r>
    <x v="8"/>
    <x v="785"/>
    <s v="PROD30"/>
    <d v="2025-09-25T00:00:00"/>
    <s v="CUST1075"/>
    <s v="Stevens, Fernandez and Martin"/>
    <x v="1"/>
    <n v="1"/>
    <x v="781"/>
    <n v="0.28999999999999998"/>
    <x v="785"/>
  </r>
  <r>
    <x v="8"/>
    <x v="786"/>
    <s v="PROD30"/>
    <d v="2024-03-04T00:00:00"/>
    <s v="CUST1143"/>
    <s v="Stevens, Fernandez and Martin"/>
    <x v="1"/>
    <n v="1"/>
    <x v="782"/>
    <n v="0.17"/>
    <x v="786"/>
  </r>
  <r>
    <x v="8"/>
    <x v="787"/>
    <s v="PROD31"/>
    <d v="2025-08-11T00:00:00"/>
    <s v="CUST1445"/>
    <s v="Nolan-Snow"/>
    <x v="2"/>
    <n v="3"/>
    <x v="783"/>
    <n v="0.14000000000000001"/>
    <x v="787"/>
  </r>
  <r>
    <x v="8"/>
    <x v="788"/>
    <s v="PROD34"/>
    <d v="2024-06-02T00:00:00"/>
    <s v="CUST1243"/>
    <s v="Lucero LLC"/>
    <x v="4"/>
    <n v="4"/>
    <x v="784"/>
    <n v="0.21"/>
    <x v="788"/>
  </r>
  <r>
    <x v="8"/>
    <x v="789"/>
    <s v="PROD34"/>
    <d v="2024-10-21T00:00:00"/>
    <s v="CUST1370"/>
    <s v="Lucero LLC"/>
    <x v="4"/>
    <n v="2"/>
    <x v="785"/>
    <n v="0.03"/>
    <x v="789"/>
  </r>
  <r>
    <x v="8"/>
    <x v="790"/>
    <s v="PROD34"/>
    <d v="2025-08-15T00:00:00"/>
    <s v="CUST1401"/>
    <s v="Lucero LLC"/>
    <x v="4"/>
    <n v="4"/>
    <x v="786"/>
    <n v="0.28999999999999998"/>
    <x v="790"/>
  </r>
  <r>
    <x v="8"/>
    <x v="791"/>
    <s v="PROD34"/>
    <d v="2025-06-29T00:00:00"/>
    <s v="CUST1442"/>
    <s v="Lucero LLC"/>
    <x v="4"/>
    <n v="4"/>
    <x v="787"/>
    <n v="0.03"/>
    <x v="791"/>
  </r>
  <r>
    <x v="8"/>
    <x v="792"/>
    <s v="PROD34"/>
    <d v="2025-08-06T00:00:00"/>
    <s v="CUST1443"/>
    <s v="Lucero LLC"/>
    <x v="4"/>
    <n v="2"/>
    <x v="788"/>
    <n v="0.3"/>
    <x v="792"/>
  </r>
  <r>
    <x v="8"/>
    <x v="793"/>
    <s v="PROD37"/>
    <d v="2024-06-03T00:00:00"/>
    <s v="CUST1020"/>
    <s v="Hogan-Lee"/>
    <x v="3"/>
    <n v="4"/>
    <x v="789"/>
    <n v="0.18"/>
    <x v="793"/>
  </r>
  <r>
    <x v="8"/>
    <x v="794"/>
    <s v="PROD37"/>
    <d v="2024-09-03T00:00:00"/>
    <s v="CUST1234"/>
    <s v="Hogan-Lee"/>
    <x v="3"/>
    <n v="2"/>
    <x v="790"/>
    <n v="7.0000000000000007E-2"/>
    <x v="794"/>
  </r>
  <r>
    <x v="8"/>
    <x v="795"/>
    <s v="PROD37"/>
    <d v="2024-06-26T00:00:00"/>
    <s v="CUST1370"/>
    <s v="Hogan-Lee"/>
    <x v="3"/>
    <n v="1"/>
    <x v="791"/>
    <n v="0.03"/>
    <x v="795"/>
  </r>
  <r>
    <x v="8"/>
    <x v="796"/>
    <s v="PROD42"/>
    <d v="2025-07-30T00:00:00"/>
    <s v="CUST1304"/>
    <s v="Holmes LLC"/>
    <x v="4"/>
    <n v="1"/>
    <x v="792"/>
    <n v="0.3"/>
    <x v="796"/>
  </r>
  <r>
    <x v="8"/>
    <x v="797"/>
    <s v="PROD44"/>
    <d v="2023-12-27T00:00:00"/>
    <s v="CUST1204"/>
    <s v="Cox Inc"/>
    <x v="2"/>
    <n v="1"/>
    <x v="728"/>
    <n v="0.14000000000000001"/>
    <x v="797"/>
  </r>
  <r>
    <x v="8"/>
    <x v="798"/>
    <s v="PROD45"/>
    <d v="2025-03-19T00:00:00"/>
    <s v="CUST1365"/>
    <s v="Bridges, Banks and Cummings"/>
    <x v="2"/>
    <n v="1"/>
    <x v="793"/>
    <n v="0.19"/>
    <x v="798"/>
  </r>
  <r>
    <x v="8"/>
    <x v="799"/>
    <s v="PROD46"/>
    <d v="2024-09-13T00:00:00"/>
    <s v="CUST1492"/>
    <s v="Kelly, Smith and Perez"/>
    <x v="3"/>
    <n v="2"/>
    <x v="794"/>
    <n v="0.24"/>
    <x v="799"/>
  </r>
  <r>
    <x v="8"/>
    <x v="800"/>
    <s v="PROD47"/>
    <d v="2024-07-02T00:00:00"/>
    <s v="CUST1490"/>
    <s v="Cook Inc"/>
    <x v="0"/>
    <n v="3"/>
    <x v="795"/>
    <n v="0.08"/>
    <x v="800"/>
  </r>
  <r>
    <x v="8"/>
    <x v="801"/>
    <s v="PROD48"/>
    <d v="2025-10-13T00:00:00"/>
    <s v="CUST1199"/>
    <s v="Byrd, Stewart and Valdez"/>
    <x v="4"/>
    <n v="1"/>
    <x v="796"/>
    <n v="0.26"/>
    <x v="801"/>
  </r>
  <r>
    <x v="8"/>
    <x v="802"/>
    <s v="PROD5"/>
    <d v="2024-11-26T00:00:00"/>
    <s v="CUST1325"/>
    <s v="Baldwin, Garza and Gonzalez"/>
    <x v="3"/>
    <n v="2"/>
    <x v="797"/>
    <n v="0.28000000000000003"/>
    <x v="802"/>
  </r>
  <r>
    <x v="8"/>
    <x v="803"/>
    <s v="PROD51"/>
    <d v="2024-01-08T00:00:00"/>
    <s v="CUST1052"/>
    <s v="Bautista, Green and Hale"/>
    <x v="4"/>
    <n v="1"/>
    <x v="798"/>
    <n v="0.13"/>
    <x v="803"/>
  </r>
  <r>
    <x v="8"/>
    <x v="804"/>
    <s v="PROD51"/>
    <d v="2023-11-10T00:00:00"/>
    <s v="CUST1334"/>
    <s v="Bautista, Green and Hale"/>
    <x v="4"/>
    <n v="1"/>
    <x v="799"/>
    <n v="0.3"/>
    <x v="804"/>
  </r>
  <r>
    <x v="8"/>
    <x v="805"/>
    <s v="PROD54"/>
    <d v="2025-09-27T00:00:00"/>
    <s v="CUST1164"/>
    <s v="Thompson-French"/>
    <x v="2"/>
    <n v="3"/>
    <x v="800"/>
    <n v="0.28000000000000003"/>
    <x v="805"/>
  </r>
  <r>
    <x v="8"/>
    <x v="806"/>
    <s v="PROD55"/>
    <d v="2025-03-02T00:00:00"/>
    <s v="CUST1153"/>
    <s v="Hatfield, Baird and Torres"/>
    <x v="1"/>
    <n v="4"/>
    <x v="801"/>
    <n v="0.26"/>
    <x v="806"/>
  </r>
  <r>
    <x v="8"/>
    <x v="807"/>
    <s v="PROD55"/>
    <d v="2024-04-13T00:00:00"/>
    <s v="CUST1305"/>
    <s v="Hatfield, Baird and Torres"/>
    <x v="1"/>
    <n v="4"/>
    <x v="802"/>
    <n v="0.01"/>
    <x v="807"/>
  </r>
  <r>
    <x v="8"/>
    <x v="808"/>
    <s v="PROD55"/>
    <d v="2024-08-27T00:00:00"/>
    <s v="CUST1468"/>
    <s v="Hatfield, Baird and Torres"/>
    <x v="1"/>
    <n v="4"/>
    <x v="803"/>
    <n v="0.26"/>
    <x v="808"/>
  </r>
  <r>
    <x v="8"/>
    <x v="809"/>
    <s v="PROD56"/>
    <d v="2025-09-03T00:00:00"/>
    <s v="CUST1118"/>
    <s v="Hernandez, Kennedy and Porter"/>
    <x v="1"/>
    <n v="3"/>
    <x v="804"/>
    <n v="0.25"/>
    <x v="809"/>
  </r>
  <r>
    <x v="8"/>
    <x v="810"/>
    <s v="PROD56"/>
    <d v="2023-10-14T00:00:00"/>
    <s v="CUST1283"/>
    <s v="Hernandez, Kennedy and Porter"/>
    <x v="1"/>
    <n v="2"/>
    <x v="805"/>
    <n v="0.27"/>
    <x v="810"/>
  </r>
  <r>
    <x v="8"/>
    <x v="811"/>
    <s v="PROD57"/>
    <d v="2025-09-04T00:00:00"/>
    <s v="CUST1464"/>
    <s v="Atkinson, Camacho and Oliver"/>
    <x v="2"/>
    <n v="4"/>
    <x v="806"/>
    <n v="0.05"/>
    <x v="811"/>
  </r>
  <r>
    <x v="8"/>
    <x v="812"/>
    <s v="PROD58"/>
    <d v="2025-08-06T00:00:00"/>
    <s v="CUST1200"/>
    <s v="Shepherd-Gould"/>
    <x v="3"/>
    <n v="3"/>
    <x v="807"/>
    <n v="0.21"/>
    <x v="812"/>
  </r>
  <r>
    <x v="8"/>
    <x v="813"/>
    <s v="PROD6"/>
    <d v="2024-10-14T00:00:00"/>
    <s v="CUST1037"/>
    <s v="Davidson PLC"/>
    <x v="0"/>
    <n v="2"/>
    <x v="808"/>
    <n v="0.1"/>
    <x v="813"/>
  </r>
  <r>
    <x v="8"/>
    <x v="814"/>
    <s v="PROD6"/>
    <d v="2024-04-30T00:00:00"/>
    <s v="CUST1497"/>
    <s v="Davidson PLC"/>
    <x v="0"/>
    <n v="2"/>
    <x v="809"/>
    <n v="0.1"/>
    <x v="814"/>
  </r>
  <r>
    <x v="8"/>
    <x v="815"/>
    <s v="PROD60"/>
    <d v="2024-05-01T00:00:00"/>
    <s v="CUST1210"/>
    <s v="Gibson, Green and Lopez"/>
    <x v="0"/>
    <n v="4"/>
    <x v="810"/>
    <n v="0.06"/>
    <x v="815"/>
  </r>
  <r>
    <x v="8"/>
    <x v="816"/>
    <s v="PROD61"/>
    <d v="2024-02-17T00:00:00"/>
    <s v="CUST1118"/>
    <s v="Lopez LLC"/>
    <x v="2"/>
    <n v="1"/>
    <x v="811"/>
    <n v="0.1"/>
    <x v="816"/>
  </r>
  <r>
    <x v="8"/>
    <x v="817"/>
    <s v="PROD61"/>
    <d v="2024-06-27T00:00:00"/>
    <s v="CUST1469"/>
    <s v="Lopez LLC"/>
    <x v="2"/>
    <n v="2"/>
    <x v="812"/>
    <n v="0.26"/>
    <x v="817"/>
  </r>
  <r>
    <x v="8"/>
    <x v="818"/>
    <s v="PROD62"/>
    <d v="2024-12-24T00:00:00"/>
    <s v="CUST1459"/>
    <s v="Murray, Gould and Ware"/>
    <x v="4"/>
    <n v="3"/>
    <x v="813"/>
    <n v="0.28000000000000003"/>
    <x v="818"/>
  </r>
  <r>
    <x v="8"/>
    <x v="819"/>
    <s v="PROD63"/>
    <d v="2025-05-03T00:00:00"/>
    <s v="CUST1000"/>
    <s v="Anderson-Riley"/>
    <x v="0"/>
    <n v="1"/>
    <x v="814"/>
    <n v="0.1"/>
    <x v="819"/>
  </r>
  <r>
    <x v="8"/>
    <x v="820"/>
    <s v="PROD63"/>
    <d v="2024-09-09T00:00:00"/>
    <s v="CUST1041"/>
    <s v="Anderson-Riley"/>
    <x v="0"/>
    <n v="3"/>
    <x v="815"/>
    <n v="0.28999999999999998"/>
    <x v="820"/>
  </r>
  <r>
    <x v="8"/>
    <x v="821"/>
    <s v="PROD64"/>
    <d v="2024-05-29T00:00:00"/>
    <s v="CUST1004"/>
    <s v="Zhang Inc"/>
    <x v="0"/>
    <n v="1"/>
    <x v="816"/>
    <n v="0.04"/>
    <x v="821"/>
  </r>
  <r>
    <x v="8"/>
    <x v="822"/>
    <s v="PROD65"/>
    <d v="2025-10-06T00:00:00"/>
    <s v="CUST1106"/>
    <s v="Montgomery, Benton and Miller"/>
    <x v="2"/>
    <n v="3"/>
    <x v="817"/>
    <n v="0.06"/>
    <x v="822"/>
  </r>
  <r>
    <x v="8"/>
    <x v="823"/>
    <s v="PROD66"/>
    <d v="2025-04-13T00:00:00"/>
    <s v="CUST1251"/>
    <s v="Torres, Spencer and Potter"/>
    <x v="0"/>
    <n v="4"/>
    <x v="818"/>
    <n v="0.06"/>
    <x v="823"/>
  </r>
  <r>
    <x v="8"/>
    <x v="824"/>
    <s v="PROD68"/>
    <d v="2025-04-07T00:00:00"/>
    <s v="CUST1191"/>
    <s v="Wolfe, Ross and Hester"/>
    <x v="1"/>
    <n v="1"/>
    <x v="819"/>
    <n v="0.22"/>
    <x v="824"/>
  </r>
  <r>
    <x v="8"/>
    <x v="825"/>
    <s v="PROD69"/>
    <d v="2024-09-18T00:00:00"/>
    <s v="CUST1120"/>
    <s v="Fitzpatrick Ltd"/>
    <x v="3"/>
    <n v="1"/>
    <x v="820"/>
    <n v="0.06"/>
    <x v="825"/>
  </r>
  <r>
    <x v="8"/>
    <x v="826"/>
    <s v="PROD69"/>
    <d v="2024-05-21T00:00:00"/>
    <s v="CUST1420"/>
    <s v="Fitzpatrick Ltd"/>
    <x v="3"/>
    <n v="3"/>
    <x v="821"/>
    <n v="0.06"/>
    <x v="826"/>
  </r>
  <r>
    <x v="8"/>
    <x v="827"/>
    <s v="PROD7"/>
    <d v="2024-12-12T00:00:00"/>
    <s v="CUST1220"/>
    <s v="Harrell LLC"/>
    <x v="1"/>
    <n v="2"/>
    <x v="822"/>
    <n v="0.09"/>
    <x v="827"/>
  </r>
  <r>
    <x v="8"/>
    <x v="828"/>
    <s v="PROD70"/>
    <d v="2024-09-17T00:00:00"/>
    <s v="CUST1107"/>
    <s v="Duran Group"/>
    <x v="1"/>
    <n v="4"/>
    <x v="823"/>
    <n v="0.04"/>
    <x v="828"/>
  </r>
  <r>
    <x v="8"/>
    <x v="829"/>
    <s v="PROD70"/>
    <d v="2025-03-05T00:00:00"/>
    <s v="CUST1382"/>
    <s v="Duran Group"/>
    <x v="1"/>
    <n v="1"/>
    <x v="824"/>
    <n v="0.14000000000000001"/>
    <x v="829"/>
  </r>
  <r>
    <x v="8"/>
    <x v="830"/>
    <s v="PROD71"/>
    <d v="2025-08-13T00:00:00"/>
    <s v="CUST1138"/>
    <s v="Hopkins Ltd"/>
    <x v="0"/>
    <n v="3"/>
    <x v="825"/>
    <n v="0.12"/>
    <x v="830"/>
  </r>
  <r>
    <x v="8"/>
    <x v="831"/>
    <s v="PROD75"/>
    <d v="2024-12-02T00:00:00"/>
    <s v="CUST1476"/>
    <s v="Poole PLC"/>
    <x v="3"/>
    <n v="1"/>
    <x v="826"/>
    <n v="0.25"/>
    <x v="831"/>
  </r>
  <r>
    <x v="8"/>
    <x v="832"/>
    <s v="PROD76"/>
    <d v="2024-03-21T00:00:00"/>
    <s v="CUST1047"/>
    <s v="Larson Ltd"/>
    <x v="4"/>
    <n v="2"/>
    <x v="827"/>
    <n v="0.08"/>
    <x v="832"/>
  </r>
  <r>
    <x v="8"/>
    <x v="833"/>
    <s v="PROD76"/>
    <d v="2025-06-03T00:00:00"/>
    <s v="CUST1477"/>
    <s v="Larson Ltd"/>
    <x v="4"/>
    <n v="3"/>
    <x v="828"/>
    <n v="0.06"/>
    <x v="833"/>
  </r>
  <r>
    <x v="8"/>
    <x v="834"/>
    <s v="PROD76"/>
    <d v="2025-07-11T00:00:00"/>
    <s v="CUST1485"/>
    <s v="Larson Ltd"/>
    <x v="4"/>
    <n v="1"/>
    <x v="829"/>
    <n v="7.0000000000000007E-2"/>
    <x v="834"/>
  </r>
  <r>
    <x v="8"/>
    <x v="835"/>
    <s v="PROD78"/>
    <d v="2024-10-05T00:00:00"/>
    <s v="CUST1070"/>
    <s v="Hernandez Inc"/>
    <x v="1"/>
    <n v="1"/>
    <x v="830"/>
    <n v="0.06"/>
    <x v="835"/>
  </r>
  <r>
    <x v="8"/>
    <x v="836"/>
    <s v="PROD78"/>
    <d v="2024-03-27T00:00:00"/>
    <s v="CUST1208"/>
    <s v="Hernandez Inc"/>
    <x v="1"/>
    <n v="3"/>
    <x v="831"/>
    <n v="0.27"/>
    <x v="836"/>
  </r>
  <r>
    <x v="8"/>
    <x v="837"/>
    <s v="PROD79"/>
    <d v="2024-06-23T00:00:00"/>
    <s v="CUST1394"/>
    <s v="Ramirez-Hanson"/>
    <x v="1"/>
    <n v="1"/>
    <x v="832"/>
    <n v="0.13"/>
    <x v="837"/>
  </r>
  <r>
    <x v="8"/>
    <x v="838"/>
    <s v="PROD8"/>
    <d v="2024-06-03T00:00:00"/>
    <s v="CUST1317"/>
    <s v="Perez-Johnston"/>
    <x v="4"/>
    <n v="3"/>
    <x v="833"/>
    <n v="0.1"/>
    <x v="838"/>
  </r>
  <r>
    <x v="8"/>
    <x v="839"/>
    <s v="PROD8"/>
    <d v="2024-01-21T00:00:00"/>
    <s v="CUST1325"/>
    <s v="Perez-Johnston"/>
    <x v="4"/>
    <n v="1"/>
    <x v="834"/>
    <n v="0.09"/>
    <x v="839"/>
  </r>
  <r>
    <x v="8"/>
    <x v="840"/>
    <s v="PROD80"/>
    <d v="2024-10-06T00:00:00"/>
    <s v="CUST1016"/>
    <s v="Allison Ltd"/>
    <x v="1"/>
    <n v="3"/>
    <x v="835"/>
    <n v="0"/>
    <x v="840"/>
  </r>
  <r>
    <x v="8"/>
    <x v="841"/>
    <s v="PROD82"/>
    <d v="2024-12-18T00:00:00"/>
    <s v="CUST1457"/>
    <s v="Reese-Watson"/>
    <x v="2"/>
    <n v="1"/>
    <x v="836"/>
    <n v="0.04"/>
    <x v="841"/>
  </r>
  <r>
    <x v="8"/>
    <x v="842"/>
    <s v="PROD84"/>
    <d v="2024-04-07T00:00:00"/>
    <s v="CUST1062"/>
    <s v="Collins-Stephenson"/>
    <x v="1"/>
    <n v="3"/>
    <x v="837"/>
    <n v="0.05"/>
    <x v="842"/>
  </r>
  <r>
    <x v="8"/>
    <x v="843"/>
    <s v="PROD85"/>
    <d v="2025-09-28T00:00:00"/>
    <s v="CUST1155"/>
    <s v="Richardson-Carrillo"/>
    <x v="3"/>
    <n v="3"/>
    <x v="838"/>
    <n v="0.14000000000000001"/>
    <x v="843"/>
  </r>
  <r>
    <x v="8"/>
    <x v="844"/>
    <s v="PROD85"/>
    <d v="2024-01-08T00:00:00"/>
    <s v="CUST1453"/>
    <s v="Richardson-Carrillo"/>
    <x v="3"/>
    <n v="3"/>
    <x v="839"/>
    <n v="0.27"/>
    <x v="844"/>
  </r>
  <r>
    <x v="8"/>
    <x v="845"/>
    <s v="PROD86"/>
    <d v="2025-10-02T00:00:00"/>
    <s v="CUST1314"/>
    <s v="Taylor, Dodson and Johnston"/>
    <x v="1"/>
    <n v="2"/>
    <x v="840"/>
    <n v="0.18"/>
    <x v="845"/>
  </r>
  <r>
    <x v="8"/>
    <x v="846"/>
    <s v="PROD86"/>
    <d v="2024-01-28T00:00:00"/>
    <s v="CUST1328"/>
    <s v="Taylor, Dodson and Johnston"/>
    <x v="1"/>
    <n v="3"/>
    <x v="841"/>
    <n v="0.28000000000000003"/>
    <x v="846"/>
  </r>
  <r>
    <x v="8"/>
    <x v="847"/>
    <s v="PROD86"/>
    <d v="2025-07-30T00:00:00"/>
    <s v="CUST1351"/>
    <s v="Taylor, Dodson and Johnston"/>
    <x v="1"/>
    <n v="4"/>
    <x v="842"/>
    <n v="0.11"/>
    <x v="847"/>
  </r>
  <r>
    <x v="8"/>
    <x v="848"/>
    <s v="PROD88"/>
    <d v="2025-02-25T00:00:00"/>
    <s v="CUST1006"/>
    <s v="Olsen-Daniels"/>
    <x v="2"/>
    <n v="3"/>
    <x v="843"/>
    <n v="0.28000000000000003"/>
    <x v="848"/>
  </r>
  <r>
    <x v="8"/>
    <x v="849"/>
    <s v="PROD89"/>
    <d v="2024-06-11T00:00:00"/>
    <s v="CUST1394"/>
    <s v="Taylor-Elliott"/>
    <x v="0"/>
    <n v="2"/>
    <x v="844"/>
    <n v="0.21"/>
    <x v="849"/>
  </r>
  <r>
    <x v="8"/>
    <x v="850"/>
    <s v="PROD89"/>
    <d v="2024-06-10T00:00:00"/>
    <s v="CUST1470"/>
    <s v="Taylor-Elliott"/>
    <x v="0"/>
    <n v="2"/>
    <x v="845"/>
    <n v="0.3"/>
    <x v="850"/>
  </r>
  <r>
    <x v="8"/>
    <x v="851"/>
    <s v="PROD9"/>
    <d v="2024-04-26T00:00:00"/>
    <s v="CUST1323"/>
    <s v="Hill PLC"/>
    <x v="2"/>
    <n v="2"/>
    <x v="846"/>
    <n v="0.01"/>
    <x v="851"/>
  </r>
  <r>
    <x v="8"/>
    <x v="852"/>
    <s v="PROD9"/>
    <d v="2024-02-21T00:00:00"/>
    <s v="CUST1327"/>
    <s v="Hill PLC"/>
    <x v="2"/>
    <n v="4"/>
    <x v="847"/>
    <n v="0.2"/>
    <x v="852"/>
  </r>
  <r>
    <x v="8"/>
    <x v="853"/>
    <s v="PROD90"/>
    <d v="2025-08-12T00:00:00"/>
    <s v="CUST1346"/>
    <s v="Sharp, Taylor and Rodriguez"/>
    <x v="4"/>
    <n v="1"/>
    <x v="848"/>
    <n v="0.14000000000000001"/>
    <x v="853"/>
  </r>
  <r>
    <x v="8"/>
    <x v="854"/>
    <s v="PROD91"/>
    <d v="2024-09-12T00:00:00"/>
    <s v="CUST1176"/>
    <s v="Smith-Charles"/>
    <x v="3"/>
    <n v="4"/>
    <x v="849"/>
    <n v="0.09"/>
    <x v="854"/>
  </r>
  <r>
    <x v="8"/>
    <x v="855"/>
    <s v="PROD91"/>
    <d v="2023-11-26T00:00:00"/>
    <s v="CUST1389"/>
    <s v="Smith-Charles"/>
    <x v="3"/>
    <n v="1"/>
    <x v="850"/>
    <n v="0.03"/>
    <x v="855"/>
  </r>
  <r>
    <x v="8"/>
    <x v="856"/>
    <s v="PROD92"/>
    <d v="2024-10-28T00:00:00"/>
    <s v="CUST1032"/>
    <s v="Green, Powell and Palmer"/>
    <x v="1"/>
    <n v="1"/>
    <x v="851"/>
    <n v="0.21"/>
    <x v="856"/>
  </r>
  <r>
    <x v="8"/>
    <x v="857"/>
    <s v="PROD93"/>
    <d v="2024-08-11T00:00:00"/>
    <s v="CUST1464"/>
    <s v="Martin LLC"/>
    <x v="4"/>
    <n v="1"/>
    <x v="852"/>
    <n v="0.12"/>
    <x v="857"/>
  </r>
  <r>
    <x v="8"/>
    <x v="858"/>
    <s v="PROD94"/>
    <d v="2024-06-24T00:00:00"/>
    <s v="CUST1134"/>
    <s v="Hoffman-Williams"/>
    <x v="0"/>
    <n v="3"/>
    <x v="853"/>
    <n v="0.01"/>
    <x v="858"/>
  </r>
  <r>
    <x v="8"/>
    <x v="859"/>
    <s v="PROD96"/>
    <d v="2024-07-05T00:00:00"/>
    <s v="CUST1147"/>
    <s v="Phillips and Sons"/>
    <x v="3"/>
    <n v="1"/>
    <x v="854"/>
    <n v="0.09"/>
    <x v="859"/>
  </r>
  <r>
    <x v="8"/>
    <x v="860"/>
    <s v="PROD96"/>
    <d v="2024-01-03T00:00:00"/>
    <s v="CUST1431"/>
    <s v="Phillips and Sons"/>
    <x v="3"/>
    <n v="1"/>
    <x v="855"/>
    <n v="0.02"/>
    <x v="860"/>
  </r>
  <r>
    <x v="8"/>
    <x v="861"/>
    <s v="PROD99"/>
    <d v="2025-08-06T00:00:00"/>
    <s v="CUST1084"/>
    <s v="Campbell Ltd"/>
    <x v="1"/>
    <n v="4"/>
    <x v="856"/>
    <n v="0.25"/>
    <x v="861"/>
  </r>
  <r>
    <x v="9"/>
    <x v="862"/>
    <s v="PROD0"/>
    <d v="2025-01-02T00:00:00"/>
    <s v="CUST1299"/>
    <s v="Hunt Inc"/>
    <x v="4"/>
    <n v="2"/>
    <x v="857"/>
    <n v="0.26"/>
    <x v="862"/>
  </r>
  <r>
    <x v="9"/>
    <x v="863"/>
    <s v="PROD0"/>
    <d v="2025-06-26T00:00:00"/>
    <s v="CUST1300"/>
    <s v="Hunt Inc"/>
    <x v="4"/>
    <n v="1"/>
    <x v="858"/>
    <n v="0.06"/>
    <x v="863"/>
  </r>
  <r>
    <x v="9"/>
    <x v="864"/>
    <s v="PROD0"/>
    <d v="2024-12-27T00:00:00"/>
    <s v="CUST1379"/>
    <s v="Hunt Inc"/>
    <x v="4"/>
    <n v="3"/>
    <x v="859"/>
    <n v="0.28999999999999998"/>
    <x v="864"/>
  </r>
  <r>
    <x v="9"/>
    <x v="865"/>
    <s v="PROD10"/>
    <d v="2024-08-04T00:00:00"/>
    <s v="CUST1073"/>
    <s v="Hamilton Group"/>
    <x v="1"/>
    <n v="3"/>
    <x v="860"/>
    <n v="0.18"/>
    <x v="865"/>
  </r>
  <r>
    <x v="9"/>
    <x v="866"/>
    <s v="PROD10"/>
    <d v="2024-02-07T00:00:00"/>
    <s v="CUST1492"/>
    <s v="Hamilton Group"/>
    <x v="1"/>
    <n v="3"/>
    <x v="861"/>
    <n v="0.27"/>
    <x v="866"/>
  </r>
  <r>
    <x v="9"/>
    <x v="867"/>
    <s v="PROD11"/>
    <d v="2025-03-06T00:00:00"/>
    <s v="CUST1135"/>
    <s v="Gibson, Hobbs and Weaver"/>
    <x v="4"/>
    <n v="4"/>
    <x v="862"/>
    <n v="0.21"/>
    <x v="867"/>
  </r>
  <r>
    <x v="9"/>
    <x v="868"/>
    <s v="PROD11"/>
    <d v="2024-06-16T00:00:00"/>
    <s v="CUST1182"/>
    <s v="Gibson, Hobbs and Weaver"/>
    <x v="4"/>
    <n v="2"/>
    <x v="863"/>
    <n v="0.06"/>
    <x v="868"/>
  </r>
  <r>
    <x v="9"/>
    <x v="869"/>
    <s v="PROD14"/>
    <d v="2024-06-05T00:00:00"/>
    <s v="CUST1013"/>
    <s v="Luna, Anderson and Bowman"/>
    <x v="1"/>
    <n v="4"/>
    <x v="864"/>
    <n v="0.13"/>
    <x v="869"/>
  </r>
  <r>
    <x v="9"/>
    <x v="870"/>
    <s v="PROD16"/>
    <d v="2025-06-15T00:00:00"/>
    <s v="CUST1078"/>
    <s v="Erickson-Green"/>
    <x v="0"/>
    <n v="3"/>
    <x v="865"/>
    <n v="0.28999999999999998"/>
    <x v="870"/>
  </r>
  <r>
    <x v="9"/>
    <x v="871"/>
    <s v="PROD17"/>
    <d v="2024-09-14T00:00:00"/>
    <s v="CUST1211"/>
    <s v="Ford, Murphy and Wilson"/>
    <x v="2"/>
    <n v="1"/>
    <x v="866"/>
    <n v="0.1"/>
    <x v="871"/>
  </r>
  <r>
    <x v="9"/>
    <x v="872"/>
    <s v="PROD2"/>
    <d v="2024-03-10T00:00:00"/>
    <s v="CUST1051"/>
    <s v="Sims Inc"/>
    <x v="3"/>
    <n v="4"/>
    <x v="867"/>
    <n v="0.15"/>
    <x v="872"/>
  </r>
  <r>
    <x v="9"/>
    <x v="873"/>
    <s v="PROD23"/>
    <d v="2025-09-18T00:00:00"/>
    <s v="CUST1087"/>
    <s v="Moon, Mora and Santos"/>
    <x v="3"/>
    <n v="3"/>
    <x v="868"/>
    <n v="0.01"/>
    <x v="873"/>
  </r>
  <r>
    <x v="9"/>
    <x v="874"/>
    <s v="PROD23"/>
    <d v="2025-09-14T00:00:00"/>
    <s v="CUST1299"/>
    <s v="Moon, Mora and Santos"/>
    <x v="3"/>
    <n v="3"/>
    <x v="869"/>
    <n v="0.2"/>
    <x v="874"/>
  </r>
  <r>
    <x v="9"/>
    <x v="875"/>
    <s v="PROD25"/>
    <d v="2025-04-15T00:00:00"/>
    <s v="CUST1069"/>
    <s v="Brown and Sons"/>
    <x v="3"/>
    <n v="3"/>
    <x v="870"/>
    <n v="0.16"/>
    <x v="875"/>
  </r>
  <r>
    <x v="9"/>
    <x v="876"/>
    <s v="PROD25"/>
    <d v="2024-01-22T00:00:00"/>
    <s v="CUST1116"/>
    <s v="Brown and Sons"/>
    <x v="3"/>
    <n v="3"/>
    <x v="871"/>
    <n v="0.12"/>
    <x v="876"/>
  </r>
  <r>
    <x v="9"/>
    <x v="877"/>
    <s v="PROD26"/>
    <d v="2024-07-05T00:00:00"/>
    <s v="CUST1240"/>
    <s v="Reed-Schmidt"/>
    <x v="4"/>
    <n v="3"/>
    <x v="872"/>
    <n v="0.3"/>
    <x v="877"/>
  </r>
  <r>
    <x v="9"/>
    <x v="878"/>
    <s v="PROD26"/>
    <d v="2023-11-20T00:00:00"/>
    <s v="CUST1367"/>
    <s v="Reed-Schmidt"/>
    <x v="4"/>
    <n v="2"/>
    <x v="873"/>
    <n v="0.09"/>
    <x v="878"/>
  </r>
  <r>
    <x v="9"/>
    <x v="879"/>
    <s v="PROD28"/>
    <d v="2025-02-21T00:00:00"/>
    <s v="CUST1108"/>
    <s v="Burns-Hansen"/>
    <x v="2"/>
    <n v="4"/>
    <x v="874"/>
    <n v="0.24"/>
    <x v="879"/>
  </r>
  <r>
    <x v="9"/>
    <x v="880"/>
    <s v="PROD28"/>
    <d v="2025-02-17T00:00:00"/>
    <s v="CUST1115"/>
    <s v="Burns-Hansen"/>
    <x v="2"/>
    <n v="2"/>
    <x v="875"/>
    <n v="0.12"/>
    <x v="880"/>
  </r>
  <r>
    <x v="9"/>
    <x v="881"/>
    <s v="PROD28"/>
    <d v="2024-09-24T00:00:00"/>
    <s v="CUST1494"/>
    <s v="Burns-Hansen"/>
    <x v="2"/>
    <n v="4"/>
    <x v="876"/>
    <n v="0.2"/>
    <x v="881"/>
  </r>
  <r>
    <x v="9"/>
    <x v="882"/>
    <s v="PROD30"/>
    <d v="2024-02-04T00:00:00"/>
    <s v="CUST1349"/>
    <s v="Stevens, Fernandez and Martin"/>
    <x v="1"/>
    <n v="1"/>
    <x v="877"/>
    <n v="0.22"/>
    <x v="882"/>
  </r>
  <r>
    <x v="9"/>
    <x v="883"/>
    <s v="PROD31"/>
    <d v="2025-09-11T00:00:00"/>
    <s v="CUST1011"/>
    <s v="Nolan-Snow"/>
    <x v="2"/>
    <n v="1"/>
    <x v="878"/>
    <n v="0.15"/>
    <x v="883"/>
  </r>
  <r>
    <x v="9"/>
    <x v="884"/>
    <s v="PROD31"/>
    <d v="2023-12-14T00:00:00"/>
    <s v="CUST1231"/>
    <s v="Nolan-Snow"/>
    <x v="2"/>
    <n v="2"/>
    <x v="879"/>
    <n v="0.28999999999999998"/>
    <x v="884"/>
  </r>
  <r>
    <x v="9"/>
    <x v="885"/>
    <s v="PROD32"/>
    <d v="2024-07-17T00:00:00"/>
    <s v="CUST1213"/>
    <s v="Griffin Ltd"/>
    <x v="0"/>
    <n v="3"/>
    <x v="880"/>
    <n v="0.28999999999999998"/>
    <x v="885"/>
  </r>
  <r>
    <x v="9"/>
    <x v="886"/>
    <s v="PROD33"/>
    <d v="2024-03-19T00:00:00"/>
    <s v="CUST1045"/>
    <s v="Weiss-Watson"/>
    <x v="1"/>
    <n v="3"/>
    <x v="881"/>
    <n v="0.13"/>
    <x v="886"/>
  </r>
  <r>
    <x v="9"/>
    <x v="887"/>
    <s v="PROD33"/>
    <d v="2025-01-20T00:00:00"/>
    <s v="CUST1084"/>
    <s v="Weiss-Watson"/>
    <x v="1"/>
    <n v="2.1607009492020444"/>
    <x v="882"/>
    <n v="0.28000000000000003"/>
    <x v="887"/>
  </r>
  <r>
    <x v="9"/>
    <x v="888"/>
    <s v="PROD33"/>
    <d v="2025-05-19T00:00:00"/>
    <s v="CUST1257"/>
    <s v="Weiss-Watson"/>
    <x v="1"/>
    <n v="3"/>
    <x v="883"/>
    <n v="7.0000000000000007E-2"/>
    <x v="888"/>
  </r>
  <r>
    <x v="9"/>
    <x v="889"/>
    <s v="PROD34"/>
    <d v="2024-04-29T00:00:00"/>
    <s v="CUST1184"/>
    <s v="Lucero LLC"/>
    <x v="4"/>
    <n v="4"/>
    <x v="884"/>
    <n v="0.04"/>
    <x v="889"/>
  </r>
  <r>
    <x v="9"/>
    <x v="890"/>
    <s v="PROD34"/>
    <d v="2024-08-18T00:00:00"/>
    <s v="CUST1407"/>
    <s v="Lucero LLC"/>
    <x v="4"/>
    <n v="3"/>
    <x v="885"/>
    <n v="0.04"/>
    <x v="890"/>
  </r>
  <r>
    <x v="9"/>
    <x v="891"/>
    <s v="PROD35"/>
    <d v="2024-01-09T00:00:00"/>
    <s v="CUST1136"/>
    <s v="Jones LLC"/>
    <x v="1"/>
    <n v="1"/>
    <x v="886"/>
    <n v="0.19"/>
    <x v="891"/>
  </r>
  <r>
    <x v="9"/>
    <x v="892"/>
    <s v="PROD36"/>
    <d v="2024-04-15T00:00:00"/>
    <s v="CUST1219"/>
    <s v="Smith-Mills"/>
    <x v="3"/>
    <n v="2"/>
    <x v="887"/>
    <n v="0.05"/>
    <x v="892"/>
  </r>
  <r>
    <x v="9"/>
    <x v="893"/>
    <s v="PROD38"/>
    <d v="2025-08-18T00:00:00"/>
    <s v="CUST1170"/>
    <s v="Sims-Smith"/>
    <x v="2"/>
    <n v="3"/>
    <x v="888"/>
    <n v="0.08"/>
    <x v="893"/>
  </r>
  <r>
    <x v="9"/>
    <x v="894"/>
    <s v="PROD38"/>
    <d v="2024-12-07T00:00:00"/>
    <s v="CUST1347"/>
    <s v="Sims-Smith"/>
    <x v="2"/>
    <n v="2"/>
    <x v="889"/>
    <n v="0.21"/>
    <x v="894"/>
  </r>
  <r>
    <x v="9"/>
    <x v="895"/>
    <s v="PROD38"/>
    <d v="2025-01-12T00:00:00"/>
    <s v="CUST1385"/>
    <s v="Sims-Smith"/>
    <x v="2"/>
    <n v="4"/>
    <x v="890"/>
    <n v="0.02"/>
    <x v="895"/>
  </r>
  <r>
    <x v="9"/>
    <x v="896"/>
    <s v="PROD39"/>
    <d v="2024-10-26T00:00:00"/>
    <s v="CUST1196"/>
    <s v="Cummings and Sons"/>
    <x v="4"/>
    <n v="1"/>
    <x v="891"/>
    <n v="0.25"/>
    <x v="896"/>
  </r>
  <r>
    <x v="9"/>
    <x v="897"/>
    <s v="PROD4"/>
    <d v="2025-07-16T00:00:00"/>
    <s v="CUST1103"/>
    <s v="Gonzales-Davis"/>
    <x v="3"/>
    <n v="2"/>
    <x v="892"/>
    <n v="0.17"/>
    <x v="897"/>
  </r>
  <r>
    <x v="9"/>
    <x v="898"/>
    <s v="PROD4"/>
    <d v="2024-05-08T00:00:00"/>
    <s v="CUST1329"/>
    <s v="Gonzales-Davis"/>
    <x v="3"/>
    <n v="1"/>
    <x v="893"/>
    <n v="0.13"/>
    <x v="898"/>
  </r>
  <r>
    <x v="9"/>
    <x v="899"/>
    <s v="PROD40"/>
    <d v="2025-06-05T00:00:00"/>
    <s v="CUST1253"/>
    <s v="Taylor-Hart"/>
    <x v="4"/>
    <n v="3"/>
    <x v="894"/>
    <n v="0.12"/>
    <x v="899"/>
  </r>
  <r>
    <x v="9"/>
    <x v="900"/>
    <s v="PROD40"/>
    <d v="2024-08-06T00:00:00"/>
    <s v="CUST1486"/>
    <s v="Taylor-Hart"/>
    <x v="4"/>
    <n v="4"/>
    <x v="895"/>
    <n v="0.14000000000000001"/>
    <x v="900"/>
  </r>
  <r>
    <x v="9"/>
    <x v="901"/>
    <s v="PROD41"/>
    <d v="2024-07-12T00:00:00"/>
    <s v="CUST1017"/>
    <s v="Carroll, Long and Mendoza"/>
    <x v="2"/>
    <n v="1"/>
    <x v="896"/>
    <n v="0.25"/>
    <x v="901"/>
  </r>
  <r>
    <x v="9"/>
    <x v="902"/>
    <s v="PROD41"/>
    <d v="2024-03-05T00:00:00"/>
    <s v="CUST1485"/>
    <s v="Carroll, Long and Mendoza"/>
    <x v="2"/>
    <n v="4"/>
    <x v="897"/>
    <n v="0.2"/>
    <x v="902"/>
  </r>
  <r>
    <x v="9"/>
    <x v="903"/>
    <s v="PROD42"/>
    <d v="2025-09-06T00:00:00"/>
    <s v="CUST1447"/>
    <s v="Holmes LLC"/>
    <x v="4"/>
    <n v="1"/>
    <x v="898"/>
    <n v="0.06"/>
    <x v="903"/>
  </r>
  <r>
    <x v="9"/>
    <x v="904"/>
    <s v="PROD44"/>
    <d v="2023-10-19T00:00:00"/>
    <s v="CUST1203"/>
    <s v="Cox Inc"/>
    <x v="2"/>
    <n v="1"/>
    <x v="899"/>
    <n v="0.28000000000000003"/>
    <x v="904"/>
  </r>
  <r>
    <x v="9"/>
    <x v="905"/>
    <s v="PROD45"/>
    <d v="2024-10-06T00:00:00"/>
    <s v="CUST1469"/>
    <s v="Bridges, Banks and Cummings"/>
    <x v="2"/>
    <n v="3"/>
    <x v="900"/>
    <n v="0.28999999999999998"/>
    <x v="905"/>
  </r>
  <r>
    <x v="9"/>
    <x v="906"/>
    <s v="PROD46"/>
    <d v="2023-12-16T00:00:00"/>
    <s v="CUST1247"/>
    <s v="Kelly, Smith and Perez"/>
    <x v="3"/>
    <n v="4"/>
    <x v="901"/>
    <n v="0.27"/>
    <x v="906"/>
  </r>
  <r>
    <x v="9"/>
    <x v="907"/>
    <s v="PROD46"/>
    <d v="2023-12-08T00:00:00"/>
    <s v="CUST1423"/>
    <s v="Kelly, Smith and Perez"/>
    <x v="3"/>
    <n v="1"/>
    <x v="902"/>
    <n v="0.05"/>
    <x v="907"/>
  </r>
  <r>
    <x v="9"/>
    <x v="908"/>
    <s v="PROD46"/>
    <d v="2025-02-12T00:00:00"/>
    <s v="CUST1469"/>
    <s v="Kelly, Smith and Perez"/>
    <x v="3"/>
    <n v="1"/>
    <x v="903"/>
    <n v="0.09"/>
    <x v="908"/>
  </r>
  <r>
    <x v="9"/>
    <x v="909"/>
    <s v="PROD47"/>
    <d v="2024-07-13T00:00:00"/>
    <s v="CUST1004"/>
    <s v="Cook Inc"/>
    <x v="0"/>
    <n v="2"/>
    <x v="904"/>
    <n v="0.13"/>
    <x v="909"/>
  </r>
  <r>
    <x v="9"/>
    <x v="910"/>
    <s v="PROD48"/>
    <d v="2025-07-31T00:00:00"/>
    <s v="CUST1378"/>
    <s v="Byrd, Stewart and Valdez"/>
    <x v="4"/>
    <n v="2"/>
    <x v="905"/>
    <n v="0.24"/>
    <x v="910"/>
  </r>
  <r>
    <x v="9"/>
    <x v="911"/>
    <s v="PROD49"/>
    <d v="2024-02-19T00:00:00"/>
    <s v="CUST1171"/>
    <s v="Sullivan and Sons"/>
    <x v="0"/>
    <n v="2"/>
    <x v="906"/>
    <n v="0.24"/>
    <x v="911"/>
  </r>
  <r>
    <x v="9"/>
    <x v="912"/>
    <s v="PROD49"/>
    <d v="2024-02-16T00:00:00"/>
    <s v="CUST1344"/>
    <s v="Sullivan and Sons"/>
    <x v="0"/>
    <n v="1"/>
    <x v="907"/>
    <n v="0.22"/>
    <x v="912"/>
  </r>
  <r>
    <x v="9"/>
    <x v="913"/>
    <s v="PROD50"/>
    <d v="2023-10-18T00:00:00"/>
    <s v="CUST1224"/>
    <s v="Smith-King"/>
    <x v="2"/>
    <n v="1"/>
    <x v="908"/>
    <n v="0.04"/>
    <x v="913"/>
  </r>
  <r>
    <x v="9"/>
    <x v="914"/>
    <s v="PROD54"/>
    <d v="2025-09-27T00:00:00"/>
    <s v="CUST1007"/>
    <s v="Thompson-French"/>
    <x v="2"/>
    <n v="2"/>
    <x v="909"/>
    <n v="0.1"/>
    <x v="914"/>
  </r>
  <r>
    <x v="9"/>
    <x v="915"/>
    <s v="PROD54"/>
    <d v="2024-09-14T00:00:00"/>
    <s v="CUST1188"/>
    <s v="Thompson-French"/>
    <x v="2"/>
    <n v="3"/>
    <x v="910"/>
    <n v="0.24"/>
    <x v="915"/>
  </r>
  <r>
    <x v="9"/>
    <x v="916"/>
    <s v="PROD56"/>
    <d v="2025-05-03T00:00:00"/>
    <s v="CUST1081"/>
    <s v="Hernandez, Kennedy and Porter"/>
    <x v="1"/>
    <n v="2"/>
    <x v="911"/>
    <n v="0.16"/>
    <x v="916"/>
  </r>
  <r>
    <x v="9"/>
    <x v="917"/>
    <s v="PROD57"/>
    <d v="2025-01-08T00:00:00"/>
    <s v="CUST1473"/>
    <s v="Atkinson, Camacho and Oliver"/>
    <x v="2"/>
    <n v="2"/>
    <x v="912"/>
    <n v="0.02"/>
    <x v="917"/>
  </r>
  <r>
    <x v="9"/>
    <x v="918"/>
    <s v="PROD58"/>
    <d v="2023-11-21T00:00:00"/>
    <s v="CUST1107"/>
    <s v="Shepherd-Gould"/>
    <x v="3"/>
    <n v="4"/>
    <x v="913"/>
    <n v="0.22"/>
    <x v="918"/>
  </r>
  <r>
    <x v="9"/>
    <x v="919"/>
    <s v="PROD58"/>
    <d v="2025-06-13T00:00:00"/>
    <s v="CUST1160"/>
    <s v="Shepherd-Gould"/>
    <x v="3"/>
    <n v="3"/>
    <x v="914"/>
    <n v="0.28000000000000003"/>
    <x v="919"/>
  </r>
  <r>
    <x v="9"/>
    <x v="920"/>
    <s v="PROD58"/>
    <d v="2024-04-26T00:00:00"/>
    <s v="CUST1252"/>
    <s v="Shepherd-Gould"/>
    <x v="3"/>
    <n v="1"/>
    <x v="915"/>
    <n v="0.3"/>
    <x v="920"/>
  </r>
  <r>
    <x v="9"/>
    <x v="921"/>
    <s v="PROD59"/>
    <d v="2024-08-29T00:00:00"/>
    <s v="CUST1269"/>
    <s v="Cline-Mccarthy"/>
    <x v="0"/>
    <n v="2"/>
    <x v="916"/>
    <n v="0.08"/>
    <x v="921"/>
  </r>
  <r>
    <x v="9"/>
    <x v="922"/>
    <s v="PROD6"/>
    <d v="2023-10-31T00:00:00"/>
    <s v="CUST1391"/>
    <s v="Davidson PLC"/>
    <x v="0"/>
    <n v="1"/>
    <x v="917"/>
    <n v="0.04"/>
    <x v="922"/>
  </r>
  <r>
    <x v="9"/>
    <x v="923"/>
    <s v="PROD60"/>
    <d v="2023-12-30T00:00:00"/>
    <s v="CUST1427"/>
    <s v="Gibson, Green and Lopez"/>
    <x v="0"/>
    <n v="1"/>
    <x v="918"/>
    <n v="0.03"/>
    <x v="923"/>
  </r>
  <r>
    <x v="9"/>
    <x v="924"/>
    <s v="PROD61"/>
    <d v="2024-11-11T00:00:00"/>
    <s v="CUST1375"/>
    <s v="Lopez LLC"/>
    <x v="2"/>
    <n v="2"/>
    <x v="919"/>
    <n v="0.15"/>
    <x v="924"/>
  </r>
  <r>
    <x v="9"/>
    <x v="925"/>
    <s v="PROD63"/>
    <d v="2024-06-30T00:00:00"/>
    <s v="CUST1165"/>
    <s v="Anderson-Riley"/>
    <x v="0"/>
    <n v="4"/>
    <x v="920"/>
    <n v="0.23"/>
    <x v="925"/>
  </r>
  <r>
    <x v="9"/>
    <x v="926"/>
    <s v="PROD65"/>
    <d v="2025-06-16T00:00:00"/>
    <s v="CUST1370"/>
    <s v="Montgomery, Benton and Miller"/>
    <x v="2"/>
    <n v="3"/>
    <x v="921"/>
    <n v="0.23"/>
    <x v="926"/>
  </r>
  <r>
    <x v="9"/>
    <x v="927"/>
    <s v="PROD66"/>
    <d v="2024-12-13T00:00:00"/>
    <s v="CUST1479"/>
    <s v="Torres, Spencer and Potter"/>
    <x v="0"/>
    <n v="1"/>
    <x v="922"/>
    <n v="0.03"/>
    <x v="927"/>
  </r>
  <r>
    <x v="9"/>
    <x v="928"/>
    <s v="PROD67"/>
    <d v="2024-12-11T00:00:00"/>
    <s v="CUST1353"/>
    <s v="Flores-Davis"/>
    <x v="4"/>
    <n v="1"/>
    <x v="923"/>
    <n v="0.19"/>
    <x v="928"/>
  </r>
  <r>
    <x v="9"/>
    <x v="929"/>
    <s v="PROD68"/>
    <d v="2025-04-10T00:00:00"/>
    <s v="CUST1057"/>
    <s v="Wolfe, Ross and Hester"/>
    <x v="1"/>
    <n v="4"/>
    <x v="924"/>
    <n v="0.17"/>
    <x v="929"/>
  </r>
  <r>
    <x v="9"/>
    <x v="930"/>
    <s v="PROD69"/>
    <d v="2024-11-26T00:00:00"/>
    <s v="CUST1026"/>
    <s v="Fitzpatrick Ltd"/>
    <x v="3"/>
    <n v="4"/>
    <x v="925"/>
    <n v="7.0000000000000007E-2"/>
    <x v="930"/>
  </r>
  <r>
    <x v="9"/>
    <x v="931"/>
    <s v="PROD7"/>
    <d v="2024-06-16T00:00:00"/>
    <s v="CUST1185"/>
    <s v="Harrell LLC"/>
    <x v="1"/>
    <n v="4"/>
    <x v="926"/>
    <n v="0.23"/>
    <x v="931"/>
  </r>
  <r>
    <x v="9"/>
    <x v="932"/>
    <s v="PROD7"/>
    <d v="2024-01-10T00:00:00"/>
    <s v="CUST1226"/>
    <s v="Harrell LLC"/>
    <x v="1"/>
    <n v="4"/>
    <x v="927"/>
    <n v="0.03"/>
    <x v="932"/>
  </r>
  <r>
    <x v="9"/>
    <x v="933"/>
    <s v="PROD70"/>
    <d v="2025-03-24T00:00:00"/>
    <s v="CUST1282"/>
    <s v="Duran Group"/>
    <x v="1"/>
    <n v="3"/>
    <x v="928"/>
    <n v="7.0000000000000007E-2"/>
    <x v="933"/>
  </r>
  <r>
    <x v="9"/>
    <x v="934"/>
    <s v="PROD71"/>
    <d v="2024-09-24T00:00:00"/>
    <s v="CUST1366"/>
    <s v="Hopkins Ltd"/>
    <x v="0"/>
    <n v="1"/>
    <x v="929"/>
    <n v="0.14000000000000001"/>
    <x v="934"/>
  </r>
  <r>
    <x v="9"/>
    <x v="935"/>
    <s v="PROD72"/>
    <d v="2025-07-05T00:00:00"/>
    <s v="CUST1144"/>
    <s v="Davis PLC"/>
    <x v="2"/>
    <n v="3"/>
    <x v="930"/>
    <n v="0.27"/>
    <x v="935"/>
  </r>
  <r>
    <x v="9"/>
    <x v="936"/>
    <s v="PROD72"/>
    <d v="2024-07-20T00:00:00"/>
    <s v="CUST1171"/>
    <s v="Davis PLC"/>
    <x v="2"/>
    <n v="1"/>
    <x v="931"/>
    <n v="0.18"/>
    <x v="936"/>
  </r>
  <r>
    <x v="9"/>
    <x v="937"/>
    <s v="PROD72"/>
    <d v="2024-01-24T00:00:00"/>
    <s v="CUST1467"/>
    <s v="Davis PLC"/>
    <x v="2"/>
    <n v="2"/>
    <x v="932"/>
    <n v="0.18"/>
    <x v="937"/>
  </r>
  <r>
    <x v="9"/>
    <x v="938"/>
    <s v="PROD74"/>
    <d v="2024-09-08T00:00:00"/>
    <s v="CUST1438"/>
    <s v="Bruce-Bowen"/>
    <x v="4"/>
    <n v="4"/>
    <x v="933"/>
    <n v="0.1"/>
    <x v="938"/>
  </r>
  <r>
    <x v="9"/>
    <x v="939"/>
    <s v="PROD74"/>
    <d v="2023-12-25T00:00:00"/>
    <s v="CUST1467"/>
    <s v="Bruce-Bowen"/>
    <x v="4"/>
    <n v="3"/>
    <x v="934"/>
    <n v="0.27"/>
    <x v="939"/>
  </r>
  <r>
    <x v="9"/>
    <x v="940"/>
    <s v="PROD75"/>
    <d v="2025-07-23T00:00:00"/>
    <s v="CUST1002"/>
    <s v="Poole PLC"/>
    <x v="3"/>
    <n v="3"/>
    <x v="935"/>
    <n v="0.23"/>
    <x v="940"/>
  </r>
  <r>
    <x v="9"/>
    <x v="941"/>
    <s v="PROD76"/>
    <d v="2025-06-16T00:00:00"/>
    <s v="CUST1222"/>
    <s v="Larson Ltd"/>
    <x v="4"/>
    <n v="4"/>
    <x v="936"/>
    <n v="7.0000000000000007E-2"/>
    <x v="941"/>
  </r>
  <r>
    <x v="9"/>
    <x v="942"/>
    <s v="PROD76"/>
    <d v="2024-07-07T00:00:00"/>
    <s v="CUST1269"/>
    <s v="Larson Ltd"/>
    <x v="4"/>
    <n v="3"/>
    <x v="937"/>
    <n v="0.15"/>
    <x v="942"/>
  </r>
  <r>
    <x v="9"/>
    <x v="943"/>
    <s v="PROD76"/>
    <d v="2025-01-10T00:00:00"/>
    <s v="CUST1440"/>
    <s v="Larson Ltd"/>
    <x v="4"/>
    <n v="2"/>
    <x v="938"/>
    <n v="0.1"/>
    <x v="943"/>
  </r>
  <r>
    <x v="9"/>
    <x v="944"/>
    <s v="PROD76"/>
    <d v="2024-06-29T00:00:00"/>
    <s v="CUST1484"/>
    <s v="Larson Ltd"/>
    <x v="4"/>
    <n v="3"/>
    <x v="939"/>
    <n v="0.17"/>
    <x v="944"/>
  </r>
  <r>
    <x v="9"/>
    <x v="945"/>
    <s v="PROD77"/>
    <d v="2023-12-07T00:00:00"/>
    <s v="CUST1464"/>
    <s v="White, Reeves and Woods"/>
    <x v="4"/>
    <n v="1"/>
    <x v="940"/>
    <n v="0.1"/>
    <x v="945"/>
  </r>
  <r>
    <x v="9"/>
    <x v="946"/>
    <s v="PROD79"/>
    <d v="2023-10-15T00:00:00"/>
    <s v="CUST1002"/>
    <s v="Ramirez-Hanson"/>
    <x v="1"/>
    <n v="2"/>
    <x v="941"/>
    <n v="0.28000000000000003"/>
    <x v="946"/>
  </r>
  <r>
    <x v="9"/>
    <x v="947"/>
    <s v="PROD8"/>
    <d v="2024-06-04T00:00:00"/>
    <s v="CUST1110"/>
    <s v="Perez-Johnston"/>
    <x v="4"/>
    <n v="3"/>
    <x v="942"/>
    <n v="0.06"/>
    <x v="947"/>
  </r>
  <r>
    <x v="9"/>
    <x v="948"/>
    <s v="PROD80"/>
    <d v="2024-02-24T00:00:00"/>
    <s v="CUST1017"/>
    <s v="Allison Ltd"/>
    <x v="1"/>
    <n v="1"/>
    <x v="943"/>
    <n v="0.08"/>
    <x v="948"/>
  </r>
  <r>
    <x v="9"/>
    <x v="949"/>
    <s v="PROD80"/>
    <d v="2024-11-15T00:00:00"/>
    <s v="CUST1023"/>
    <s v="Allison Ltd"/>
    <x v="1"/>
    <n v="2"/>
    <x v="944"/>
    <n v="0.19"/>
    <x v="949"/>
  </r>
  <r>
    <x v="9"/>
    <x v="950"/>
    <s v="PROD80"/>
    <d v="2025-04-02T00:00:00"/>
    <s v="CUST1070"/>
    <s v="Allison Ltd"/>
    <x v="1"/>
    <n v="4"/>
    <x v="945"/>
    <n v="0.12"/>
    <x v="950"/>
  </r>
  <r>
    <x v="9"/>
    <x v="951"/>
    <s v="PROD82"/>
    <d v="2024-03-05T00:00:00"/>
    <s v="CUST1219"/>
    <s v="Reese-Watson"/>
    <x v="2"/>
    <n v="4"/>
    <x v="946"/>
    <n v="0"/>
    <x v="951"/>
  </r>
  <r>
    <x v="9"/>
    <x v="952"/>
    <s v="PROD82"/>
    <d v="2023-12-22T00:00:00"/>
    <s v="CUST1345"/>
    <s v="Reese-Watson"/>
    <x v="2"/>
    <n v="2"/>
    <x v="947"/>
    <n v="0.09"/>
    <x v="952"/>
  </r>
  <r>
    <x v="9"/>
    <x v="953"/>
    <s v="PROD83"/>
    <d v="2024-06-11T00:00:00"/>
    <s v="CUST1006"/>
    <s v="Butler Group"/>
    <x v="0"/>
    <n v="3"/>
    <x v="948"/>
    <n v="0.14000000000000001"/>
    <x v="953"/>
  </r>
  <r>
    <x v="9"/>
    <x v="954"/>
    <s v="PROD83"/>
    <d v="2025-06-17T00:00:00"/>
    <s v="CUST1424"/>
    <s v="Butler Group"/>
    <x v="0"/>
    <n v="3"/>
    <x v="949"/>
    <n v="0.28999999999999998"/>
    <x v="954"/>
  </r>
  <r>
    <x v="9"/>
    <x v="955"/>
    <s v="PROD84"/>
    <d v="2024-10-28T00:00:00"/>
    <s v="CUST1301"/>
    <s v="Collins-Stephenson"/>
    <x v="1"/>
    <n v="4"/>
    <x v="950"/>
    <n v="0.28000000000000003"/>
    <x v="955"/>
  </r>
  <r>
    <x v="9"/>
    <x v="956"/>
    <s v="PROD84"/>
    <d v="2024-06-19T00:00:00"/>
    <s v="CUST1327"/>
    <s v="Collins-Stephenson"/>
    <x v="1"/>
    <n v="1"/>
    <x v="951"/>
    <n v="0.19"/>
    <x v="956"/>
  </r>
  <r>
    <x v="9"/>
    <x v="957"/>
    <s v="PROD84"/>
    <d v="2025-05-27T00:00:00"/>
    <s v="CUST1408"/>
    <s v="Collins-Stephenson"/>
    <x v="1"/>
    <n v="3"/>
    <x v="952"/>
    <n v="0.18"/>
    <x v="957"/>
  </r>
  <r>
    <x v="9"/>
    <x v="958"/>
    <s v="PROD85"/>
    <d v="2024-09-21T00:00:00"/>
    <s v="CUST1211"/>
    <s v="Richardson-Carrillo"/>
    <x v="3"/>
    <n v="4"/>
    <x v="953"/>
    <n v="0.25"/>
    <x v="958"/>
  </r>
  <r>
    <x v="9"/>
    <x v="959"/>
    <s v="PROD86"/>
    <d v="2023-11-23T00:00:00"/>
    <s v="CUST1087"/>
    <s v="Taylor, Dodson and Johnston"/>
    <x v="1"/>
    <n v="4"/>
    <x v="954"/>
    <n v="0.18"/>
    <x v="959"/>
  </r>
  <r>
    <x v="9"/>
    <x v="960"/>
    <s v="PROD89"/>
    <d v="2024-04-08T00:00:00"/>
    <s v="CUST1348"/>
    <s v="Taylor-Elliott"/>
    <x v="0"/>
    <n v="2"/>
    <x v="955"/>
    <n v="0.25"/>
    <x v="960"/>
  </r>
  <r>
    <x v="9"/>
    <x v="961"/>
    <s v="PROD91"/>
    <d v="2024-06-10T00:00:00"/>
    <s v="CUST1355"/>
    <s v="Smith-Charles"/>
    <x v="3"/>
    <n v="1"/>
    <x v="956"/>
    <n v="0.05"/>
    <x v="961"/>
  </r>
  <r>
    <x v="9"/>
    <x v="962"/>
    <s v="PROD91"/>
    <d v="2024-08-14T00:00:00"/>
    <s v="CUST1378"/>
    <s v="Smith-Charles"/>
    <x v="3"/>
    <n v="2"/>
    <x v="957"/>
    <n v="0.16"/>
    <x v="962"/>
  </r>
  <r>
    <x v="9"/>
    <x v="963"/>
    <s v="PROD92"/>
    <d v="2025-10-13T00:00:00"/>
    <s v="CUST1388"/>
    <s v="Green, Powell and Palmer"/>
    <x v="1"/>
    <n v="3"/>
    <x v="958"/>
    <n v="0.24"/>
    <x v="963"/>
  </r>
  <r>
    <x v="9"/>
    <x v="964"/>
    <s v="PROD93"/>
    <d v="2024-07-09T00:00:00"/>
    <s v="CUST1054"/>
    <s v="Martin LLC"/>
    <x v="4"/>
    <n v="4"/>
    <x v="959"/>
    <n v="0.02"/>
    <x v="964"/>
  </r>
  <r>
    <x v="9"/>
    <x v="965"/>
    <s v="PROD94"/>
    <d v="2024-04-08T00:00:00"/>
    <s v="CUST1110"/>
    <s v="Hoffman-Williams"/>
    <x v="0"/>
    <n v="4"/>
    <x v="960"/>
    <n v="0.17"/>
    <x v="965"/>
  </r>
  <r>
    <x v="9"/>
    <x v="966"/>
    <s v="PROD94"/>
    <d v="2025-05-20T00:00:00"/>
    <s v="CUST1133"/>
    <s v="Hoffman-Williams"/>
    <x v="0"/>
    <n v="1"/>
    <x v="961"/>
    <n v="0.27"/>
    <x v="966"/>
  </r>
  <r>
    <x v="9"/>
    <x v="967"/>
    <s v="PROD95"/>
    <d v="2023-11-12T00:00:00"/>
    <s v="CUST1211"/>
    <s v="Wilson Group"/>
    <x v="2"/>
    <n v="1"/>
    <x v="962"/>
    <n v="0.22"/>
    <x v="967"/>
  </r>
  <r>
    <x v="9"/>
    <x v="968"/>
    <s v="PROD95"/>
    <d v="2025-06-16T00:00:00"/>
    <s v="CUST1476"/>
    <s v="Wilson Group"/>
    <x v="2"/>
    <n v="4"/>
    <x v="963"/>
    <n v="0.23"/>
    <x v="968"/>
  </r>
  <r>
    <x v="9"/>
    <x v="969"/>
    <s v="PROD96"/>
    <d v="2024-08-29T00:00:00"/>
    <s v="CUST1351"/>
    <s v="Phillips and Sons"/>
    <x v="3"/>
    <n v="2"/>
    <x v="964"/>
    <n v="0.19"/>
    <x v="969"/>
  </r>
  <r>
    <x v="9"/>
    <x v="970"/>
    <s v="PROD99"/>
    <d v="2023-12-30T00:00:00"/>
    <s v="CUST1162"/>
    <s v="Campbell Ltd"/>
    <x v="1"/>
    <n v="2"/>
    <x v="965"/>
    <n v="0.24"/>
    <x v="970"/>
  </r>
  <r>
    <x v="9"/>
    <x v="971"/>
    <s v="PROD99"/>
    <d v="2024-08-14T00:00:00"/>
    <s v="CUST1479"/>
    <s v="Campbell Ltd"/>
    <x v="1"/>
    <n v="3"/>
    <x v="966"/>
    <n v="0.06"/>
    <x v="971"/>
  </r>
  <r>
    <x v="10"/>
    <x v="972"/>
    <s v="PROD10"/>
    <d v="2023-10-25T00:00:00"/>
    <s v="CUST1121"/>
    <s v="Hamilton Group"/>
    <x v="1"/>
    <n v="2"/>
    <x v="967"/>
    <n v="0.28999999999999998"/>
    <x v="972"/>
  </r>
  <r>
    <x v="10"/>
    <x v="973"/>
    <s v="PROD12"/>
    <d v="2024-11-25T00:00:00"/>
    <s v="CUST1214"/>
    <s v="Rice LLC"/>
    <x v="0"/>
    <n v="3"/>
    <x v="968"/>
    <n v="0.12"/>
    <x v="973"/>
  </r>
  <r>
    <x v="10"/>
    <x v="974"/>
    <s v="PROD12"/>
    <d v="2024-08-20T00:00:00"/>
    <s v="CUST1228"/>
    <s v="Rice LLC"/>
    <x v="0"/>
    <n v="4"/>
    <x v="969"/>
    <n v="0.11"/>
    <x v="974"/>
  </r>
  <r>
    <x v="10"/>
    <x v="975"/>
    <s v="PROD12"/>
    <d v="2023-12-28T00:00:00"/>
    <s v="CUST1263"/>
    <s v="Rice LLC"/>
    <x v="0"/>
    <n v="4"/>
    <x v="970"/>
    <n v="0.12"/>
    <x v="975"/>
  </r>
  <r>
    <x v="10"/>
    <x v="976"/>
    <s v="PROD12"/>
    <d v="2024-09-04T00:00:00"/>
    <s v="CUST1356"/>
    <s v="Rice LLC"/>
    <x v="0"/>
    <n v="1"/>
    <x v="971"/>
    <n v="0.11"/>
    <x v="976"/>
  </r>
  <r>
    <x v="10"/>
    <x v="977"/>
    <s v="PROD13"/>
    <d v="2025-01-07T00:00:00"/>
    <s v="CUST1007"/>
    <s v="Dawson-Perkins"/>
    <x v="4"/>
    <n v="1"/>
    <x v="972"/>
    <n v="0.03"/>
    <x v="977"/>
  </r>
  <r>
    <x v="10"/>
    <x v="978"/>
    <s v="PROD13"/>
    <d v="2025-02-12T00:00:00"/>
    <s v="CUST1259"/>
    <s v="Dawson-Perkins"/>
    <x v="4"/>
    <n v="4"/>
    <x v="973"/>
    <n v="0.16"/>
    <x v="978"/>
  </r>
  <r>
    <x v="10"/>
    <x v="979"/>
    <s v="PROD15"/>
    <d v="2025-06-24T00:00:00"/>
    <s v="CUST1139"/>
    <s v="Thomas LLC"/>
    <x v="4"/>
    <n v="2"/>
    <x v="974"/>
    <n v="0.22"/>
    <x v="979"/>
  </r>
  <r>
    <x v="10"/>
    <x v="980"/>
    <s v="PROD15"/>
    <d v="2025-05-20T00:00:00"/>
    <s v="CUST1378"/>
    <s v="Thomas LLC"/>
    <x v="4"/>
    <n v="3"/>
    <x v="975"/>
    <n v="0"/>
    <x v="980"/>
  </r>
  <r>
    <x v="10"/>
    <x v="981"/>
    <s v="PROD16"/>
    <d v="2025-04-07T00:00:00"/>
    <s v="CUST1075"/>
    <s v="Erickson-Green"/>
    <x v="0"/>
    <n v="3"/>
    <x v="976"/>
    <n v="0.08"/>
    <x v="981"/>
  </r>
  <r>
    <x v="10"/>
    <x v="982"/>
    <s v="PROD17"/>
    <d v="2024-05-15T00:00:00"/>
    <s v="CUST1403"/>
    <s v="Ford, Murphy and Wilson"/>
    <x v="2"/>
    <n v="4"/>
    <x v="977"/>
    <n v="0.03"/>
    <x v="982"/>
  </r>
  <r>
    <x v="10"/>
    <x v="983"/>
    <s v="PROD18"/>
    <d v="2024-01-31T00:00:00"/>
    <s v="CUST1037"/>
    <s v="Guerra-Hendrix"/>
    <x v="3"/>
    <n v="1"/>
    <x v="978"/>
    <n v="0.05"/>
    <x v="983"/>
  </r>
  <r>
    <x v="10"/>
    <x v="984"/>
    <s v="PROD19"/>
    <d v="2025-02-14T00:00:00"/>
    <s v="CUST1138"/>
    <s v="May-Reese"/>
    <x v="2"/>
    <n v="4"/>
    <x v="979"/>
    <n v="0.04"/>
    <x v="984"/>
  </r>
  <r>
    <x v="10"/>
    <x v="985"/>
    <s v="PROD19"/>
    <d v="2025-08-22T00:00:00"/>
    <s v="CUST1269"/>
    <s v="May-Reese"/>
    <x v="2"/>
    <n v="3"/>
    <x v="980"/>
    <n v="0.03"/>
    <x v="985"/>
  </r>
  <r>
    <x v="10"/>
    <x v="986"/>
    <s v="PROD19"/>
    <d v="2024-02-23T00:00:00"/>
    <s v="CUST1323"/>
    <s v="May-Reese"/>
    <x v="2"/>
    <n v="3"/>
    <x v="981"/>
    <n v="0.04"/>
    <x v="986"/>
  </r>
  <r>
    <x v="10"/>
    <x v="987"/>
    <s v="PROD20"/>
    <d v="2025-04-13T00:00:00"/>
    <s v="CUST1089"/>
    <s v="Soto-Ellis"/>
    <x v="2"/>
    <n v="1"/>
    <x v="982"/>
    <n v="0.3"/>
    <x v="987"/>
  </r>
  <r>
    <x v="10"/>
    <x v="988"/>
    <s v="PROD20"/>
    <d v="2023-11-07T00:00:00"/>
    <s v="CUST1247"/>
    <s v="Soto-Ellis"/>
    <x v="2"/>
    <n v="3"/>
    <x v="983"/>
    <n v="0.16"/>
    <x v="988"/>
  </r>
  <r>
    <x v="10"/>
    <x v="989"/>
    <s v="PROD20"/>
    <d v="2025-01-01T00:00:00"/>
    <s v="CUST1294"/>
    <s v="Soto-Ellis"/>
    <x v="2"/>
    <n v="4"/>
    <x v="984"/>
    <n v="0.16"/>
    <x v="989"/>
  </r>
  <r>
    <x v="10"/>
    <x v="990"/>
    <s v="PROD22"/>
    <d v="2023-12-05T00:00:00"/>
    <s v="CUST1062"/>
    <s v="Flores, Pineda and Rodriguez"/>
    <x v="2"/>
    <n v="2"/>
    <x v="985"/>
    <n v="0.02"/>
    <x v="990"/>
  </r>
  <r>
    <x v="10"/>
    <x v="991"/>
    <s v="PROD22"/>
    <d v="2025-03-17T00:00:00"/>
    <s v="CUST1099"/>
    <s v="Flores, Pineda and Rodriguez"/>
    <x v="2"/>
    <n v="1"/>
    <x v="986"/>
    <n v="0.14000000000000001"/>
    <x v="991"/>
  </r>
  <r>
    <x v="10"/>
    <x v="992"/>
    <s v="PROD23"/>
    <d v="2024-01-05T00:00:00"/>
    <s v="CUST1296"/>
    <s v="Moon, Mora and Santos"/>
    <x v="3"/>
    <n v="1"/>
    <x v="987"/>
    <n v="0.24"/>
    <x v="992"/>
  </r>
  <r>
    <x v="10"/>
    <x v="993"/>
    <s v="PROD24"/>
    <d v="2023-11-26T00:00:00"/>
    <s v="CUST1055"/>
    <s v="Cook Ltd"/>
    <x v="2"/>
    <n v="4"/>
    <x v="988"/>
    <n v="0.16"/>
    <x v="993"/>
  </r>
  <r>
    <x v="10"/>
    <x v="994"/>
    <s v="PROD24"/>
    <d v="2025-05-26T00:00:00"/>
    <s v="CUST1151"/>
    <s v="Cook Ltd"/>
    <x v="2"/>
    <n v="4"/>
    <x v="989"/>
    <n v="0.22"/>
    <x v="994"/>
  </r>
  <r>
    <x v="10"/>
    <x v="995"/>
    <s v="PROD25"/>
    <d v="2025-10-11T00:00:00"/>
    <s v="CUST1241"/>
    <s v="Brown and Sons"/>
    <x v="3"/>
    <n v="1"/>
    <x v="990"/>
    <n v="0.15"/>
    <x v="995"/>
  </r>
  <r>
    <x v="10"/>
    <x v="996"/>
    <s v="PROD25"/>
    <d v="2024-04-10T00:00:00"/>
    <s v="CUST1355"/>
    <s v="Brown and Sons"/>
    <x v="3"/>
    <n v="3"/>
    <x v="991"/>
    <n v="0.12"/>
    <x v="996"/>
  </r>
  <r>
    <x v="10"/>
    <x v="997"/>
    <s v="PROD26"/>
    <d v="2025-09-06T00:00:00"/>
    <s v="CUST1021"/>
    <s v="Reed-Schmidt"/>
    <x v="4"/>
    <n v="1"/>
    <x v="992"/>
    <n v="0.23"/>
    <x v="997"/>
  </r>
  <r>
    <x v="10"/>
    <x v="998"/>
    <s v="PROD28"/>
    <d v="2025-09-12T00:00:00"/>
    <s v="CUST1075"/>
    <s v="Burns-Hansen"/>
    <x v="2"/>
    <n v="1"/>
    <x v="993"/>
    <n v="0.2"/>
    <x v="998"/>
  </r>
  <r>
    <x v="10"/>
    <x v="999"/>
    <s v="PROD29"/>
    <d v="2024-06-15T00:00:00"/>
    <s v="CUST1114"/>
    <s v="Hoffman Group"/>
    <x v="1"/>
    <n v="1"/>
    <x v="994"/>
    <n v="0.28999999999999998"/>
    <x v="999"/>
  </r>
  <r>
    <x v="10"/>
    <x v="1000"/>
    <s v="PROD31"/>
    <d v="2025-02-21T00:00:00"/>
    <s v="CUST1069"/>
    <s v="Nolan-Snow"/>
    <x v="2"/>
    <n v="2"/>
    <x v="995"/>
    <n v="7.0000000000000007E-2"/>
    <x v="1000"/>
  </r>
  <r>
    <x v="10"/>
    <x v="1001"/>
    <s v="PROD31"/>
    <d v="2024-07-10T00:00:00"/>
    <s v="CUST1323"/>
    <s v="Nolan-Snow"/>
    <x v="2"/>
    <n v="2"/>
    <x v="996"/>
    <n v="0.19"/>
    <x v="1001"/>
  </r>
  <r>
    <x v="10"/>
    <x v="1002"/>
    <s v="PROD31"/>
    <d v="2024-09-14T00:00:00"/>
    <s v="CUST1478"/>
    <s v="Nolan-Snow"/>
    <x v="2"/>
    <n v="2"/>
    <x v="997"/>
    <n v="0.3"/>
    <x v="1002"/>
  </r>
  <r>
    <x v="10"/>
    <x v="1003"/>
    <s v="PROD33"/>
    <d v="2024-10-12T00:00:00"/>
    <s v="CUST1010"/>
    <s v="Weiss-Watson"/>
    <x v="1"/>
    <n v="2"/>
    <x v="998"/>
    <n v="0.12"/>
    <x v="1003"/>
  </r>
  <r>
    <x v="10"/>
    <x v="1004"/>
    <s v="PROD34"/>
    <d v="2025-04-23T00:00:00"/>
    <s v="CUST1466"/>
    <s v="Lucero LLC"/>
    <x v="4"/>
    <n v="4"/>
    <x v="999"/>
    <n v="0.16"/>
    <x v="1004"/>
  </r>
  <r>
    <x v="10"/>
    <x v="1005"/>
    <s v="PROD35"/>
    <d v="2024-04-01T00:00:00"/>
    <s v="CUST1005"/>
    <s v="Jones LLC"/>
    <x v="1"/>
    <n v="3"/>
    <x v="1000"/>
    <n v="0.22"/>
    <x v="1005"/>
  </r>
  <r>
    <x v="10"/>
    <x v="1006"/>
    <s v="PROD35"/>
    <d v="2025-03-07T00:00:00"/>
    <s v="CUST1216"/>
    <s v="Jones LLC"/>
    <x v="1"/>
    <n v="1"/>
    <x v="318"/>
    <n v="0.28000000000000003"/>
    <x v="1006"/>
  </r>
  <r>
    <x v="10"/>
    <x v="1007"/>
    <s v="PROD37"/>
    <d v="2024-08-31T00:00:00"/>
    <s v="CUST1072"/>
    <s v="Hogan-Lee"/>
    <x v="3"/>
    <n v="4"/>
    <x v="1001"/>
    <n v="0.28000000000000003"/>
    <x v="1007"/>
  </r>
  <r>
    <x v="10"/>
    <x v="1008"/>
    <s v="PROD39"/>
    <d v="2024-08-27T00:00:00"/>
    <s v="CUST1006"/>
    <s v="Cummings and Sons"/>
    <x v="4"/>
    <n v="2"/>
    <x v="1002"/>
    <n v="0.11"/>
    <x v="1008"/>
  </r>
  <r>
    <x v="10"/>
    <x v="1009"/>
    <s v="PROD39"/>
    <d v="2025-05-06T00:00:00"/>
    <s v="CUST1248"/>
    <s v="Cummings and Sons"/>
    <x v="4"/>
    <n v="3"/>
    <x v="1003"/>
    <n v="0.21"/>
    <x v="1009"/>
  </r>
  <r>
    <x v="10"/>
    <x v="1010"/>
    <s v="PROD4"/>
    <d v="2024-07-26T00:00:00"/>
    <s v="CUST1101"/>
    <s v="Gonzales-Davis"/>
    <x v="3"/>
    <n v="3"/>
    <x v="1004"/>
    <n v="0.06"/>
    <x v="1010"/>
  </r>
  <r>
    <x v="10"/>
    <x v="1011"/>
    <s v="PROD4"/>
    <d v="2025-04-11T00:00:00"/>
    <s v="CUST1153"/>
    <s v="Gonzales-Davis"/>
    <x v="3"/>
    <n v="4"/>
    <x v="1005"/>
    <n v="0.18"/>
    <x v="1011"/>
  </r>
  <r>
    <x v="10"/>
    <x v="1012"/>
    <s v="PROD40"/>
    <d v="2025-06-16T00:00:00"/>
    <s v="CUST1036"/>
    <s v="Taylor-Hart"/>
    <x v="4"/>
    <n v="4"/>
    <x v="1006"/>
    <n v="0.16"/>
    <x v="1012"/>
  </r>
  <r>
    <x v="10"/>
    <x v="1013"/>
    <s v="PROD40"/>
    <d v="2025-10-06T00:00:00"/>
    <s v="CUST1091"/>
    <s v="Taylor-Hart"/>
    <x v="4"/>
    <n v="2"/>
    <x v="1007"/>
    <n v="0.11"/>
    <x v="1013"/>
  </r>
  <r>
    <x v="10"/>
    <x v="1014"/>
    <s v="PROD40"/>
    <d v="2025-01-15T00:00:00"/>
    <s v="CUST1183"/>
    <s v="Taylor-Hart"/>
    <x v="4"/>
    <n v="1"/>
    <x v="1008"/>
    <n v="0.18"/>
    <x v="1014"/>
  </r>
  <r>
    <x v="10"/>
    <x v="1015"/>
    <s v="PROD41"/>
    <d v="2024-10-12T00:00:00"/>
    <s v="CUST1208"/>
    <s v="Carroll, Long and Mendoza"/>
    <x v="2"/>
    <n v="2"/>
    <x v="1009"/>
    <n v="0.23"/>
    <x v="1015"/>
  </r>
  <r>
    <x v="10"/>
    <x v="1016"/>
    <s v="PROD42"/>
    <d v="2025-06-29T00:00:00"/>
    <s v="CUST1381"/>
    <s v="Holmes LLC"/>
    <x v="4"/>
    <n v="2"/>
    <x v="1010"/>
    <n v="0.1"/>
    <x v="1016"/>
  </r>
  <r>
    <x v="10"/>
    <x v="1017"/>
    <s v="PROD43"/>
    <d v="2025-10-13T00:00:00"/>
    <s v="CUST1238"/>
    <s v="Robinson Inc"/>
    <x v="4"/>
    <n v="4"/>
    <x v="1011"/>
    <n v="0.04"/>
    <x v="1017"/>
  </r>
  <r>
    <x v="10"/>
    <x v="1018"/>
    <s v="PROD43"/>
    <d v="2025-03-18T00:00:00"/>
    <s v="CUST1253"/>
    <s v="Robinson Inc"/>
    <x v="4"/>
    <n v="3"/>
    <x v="1012"/>
    <n v="0.21"/>
    <x v="1018"/>
  </r>
  <r>
    <x v="10"/>
    <x v="1019"/>
    <s v="PROD43"/>
    <d v="2024-06-04T00:00:00"/>
    <s v="CUST1396"/>
    <s v="Robinson Inc"/>
    <x v="4"/>
    <n v="1"/>
    <x v="1013"/>
    <n v="0.22"/>
    <x v="1019"/>
  </r>
  <r>
    <x v="10"/>
    <x v="1020"/>
    <s v="PROD44"/>
    <d v="2025-06-15T00:00:00"/>
    <s v="CUST1346"/>
    <s v="Cox Inc"/>
    <x v="2"/>
    <n v="1"/>
    <x v="1014"/>
    <n v="0.28000000000000003"/>
    <x v="1020"/>
  </r>
  <r>
    <x v="10"/>
    <x v="1021"/>
    <s v="PROD45"/>
    <d v="2025-07-20T00:00:00"/>
    <s v="CUST1012"/>
    <s v="Bridges, Banks and Cummings"/>
    <x v="2"/>
    <n v="1"/>
    <x v="1015"/>
    <n v="0.18"/>
    <x v="1021"/>
  </r>
  <r>
    <x v="10"/>
    <x v="1022"/>
    <s v="PROD46"/>
    <d v="2024-06-16T00:00:00"/>
    <s v="CUST1138"/>
    <s v="Kelly, Smith and Perez"/>
    <x v="3"/>
    <n v="1"/>
    <x v="1016"/>
    <n v="0.03"/>
    <x v="1022"/>
  </r>
  <r>
    <x v="10"/>
    <x v="1023"/>
    <s v="PROD48"/>
    <d v="2025-01-29T00:00:00"/>
    <s v="CUST1039"/>
    <s v="Byrd, Stewart and Valdez"/>
    <x v="4"/>
    <n v="4"/>
    <x v="1017"/>
    <n v="0.28000000000000003"/>
    <x v="1023"/>
  </r>
  <r>
    <x v="10"/>
    <x v="1024"/>
    <s v="PROD51"/>
    <d v="2024-05-31T00:00:00"/>
    <s v="CUST1164"/>
    <s v="Bautista, Green and Hale"/>
    <x v="4"/>
    <n v="2"/>
    <x v="1018"/>
    <n v="0.28000000000000003"/>
    <x v="1024"/>
  </r>
  <r>
    <x v="10"/>
    <x v="1025"/>
    <s v="PROD52"/>
    <d v="2025-07-24T00:00:00"/>
    <s v="CUST1030"/>
    <s v="Harris Inc"/>
    <x v="2"/>
    <n v="3"/>
    <x v="1019"/>
    <n v="0.17"/>
    <x v="1025"/>
  </r>
  <r>
    <x v="10"/>
    <x v="1026"/>
    <s v="PROD52"/>
    <d v="2024-05-10T00:00:00"/>
    <s v="CUST1436"/>
    <s v="Harris Inc"/>
    <x v="2"/>
    <n v="1"/>
    <x v="1020"/>
    <n v="0.04"/>
    <x v="1026"/>
  </r>
  <r>
    <x v="10"/>
    <x v="1027"/>
    <s v="PROD54"/>
    <d v="2024-01-20T00:00:00"/>
    <s v="CUST1402"/>
    <s v="Thompson-French"/>
    <x v="2"/>
    <n v="2"/>
    <x v="1021"/>
    <n v="0.24"/>
    <x v="1027"/>
  </r>
  <r>
    <x v="10"/>
    <x v="1028"/>
    <s v="PROD54"/>
    <d v="2024-07-22T00:00:00"/>
    <s v="CUST1445"/>
    <s v="Thompson-French"/>
    <x v="2"/>
    <n v="2"/>
    <x v="1022"/>
    <n v="0.11"/>
    <x v="1028"/>
  </r>
  <r>
    <x v="10"/>
    <x v="1029"/>
    <s v="PROD55"/>
    <d v="2025-03-17T00:00:00"/>
    <s v="CUST1114"/>
    <s v="Hatfield, Baird and Torres"/>
    <x v="1"/>
    <n v="3"/>
    <x v="1023"/>
    <n v="0.27"/>
    <x v="1029"/>
  </r>
  <r>
    <x v="10"/>
    <x v="1030"/>
    <s v="PROD56"/>
    <d v="2024-05-08T00:00:00"/>
    <s v="CUST1206"/>
    <s v="Hernandez, Kennedy and Porter"/>
    <x v="1"/>
    <n v="1"/>
    <x v="1024"/>
    <n v="0.28999999999999998"/>
    <x v="1030"/>
  </r>
  <r>
    <x v="10"/>
    <x v="1031"/>
    <s v="PROD56"/>
    <d v="2024-10-08T00:00:00"/>
    <s v="CUST1210"/>
    <s v="Hernandez, Kennedy and Porter"/>
    <x v="1"/>
    <n v="3"/>
    <x v="1025"/>
    <n v="0.28000000000000003"/>
    <x v="1031"/>
  </r>
  <r>
    <x v="10"/>
    <x v="1032"/>
    <s v="PROD56"/>
    <d v="2024-07-19T00:00:00"/>
    <s v="CUST1223"/>
    <s v="Hernandez, Kennedy and Porter"/>
    <x v="1"/>
    <n v="1"/>
    <x v="1026"/>
    <n v="0.26"/>
    <x v="1032"/>
  </r>
  <r>
    <x v="10"/>
    <x v="1033"/>
    <s v="PROD58"/>
    <d v="2024-07-13T00:00:00"/>
    <s v="CUST1366"/>
    <s v="Shepherd-Gould"/>
    <x v="3"/>
    <n v="3"/>
    <x v="1027"/>
    <n v="0.12"/>
    <x v="1033"/>
  </r>
  <r>
    <x v="10"/>
    <x v="1034"/>
    <s v="PROD59"/>
    <d v="2025-07-04T00:00:00"/>
    <s v="CUST1166"/>
    <s v="Cline-Mccarthy"/>
    <x v="0"/>
    <n v="3"/>
    <x v="1028"/>
    <n v="0.15"/>
    <x v="1034"/>
  </r>
  <r>
    <x v="10"/>
    <x v="1035"/>
    <s v="PROD59"/>
    <d v="2024-11-23T00:00:00"/>
    <s v="CUST1373"/>
    <s v="Cline-Mccarthy"/>
    <x v="0"/>
    <n v="4"/>
    <x v="1029"/>
    <n v="0.22"/>
    <x v="1035"/>
  </r>
  <r>
    <x v="10"/>
    <x v="1036"/>
    <s v="PROD6"/>
    <d v="2024-06-06T00:00:00"/>
    <s v="CUST1233"/>
    <s v="Davidson PLC"/>
    <x v="0"/>
    <n v="4"/>
    <x v="1030"/>
    <n v="0.11"/>
    <x v="1036"/>
  </r>
  <r>
    <x v="10"/>
    <x v="1037"/>
    <s v="PROD60"/>
    <d v="2024-11-20T00:00:00"/>
    <s v="CUST1003"/>
    <s v="Gibson, Green and Lopez"/>
    <x v="0"/>
    <n v="1"/>
    <x v="1031"/>
    <n v="0.28000000000000003"/>
    <x v="1037"/>
  </r>
  <r>
    <x v="10"/>
    <x v="1038"/>
    <s v="PROD60"/>
    <d v="2023-10-30T00:00:00"/>
    <s v="CUST1454"/>
    <s v="Gibson, Green and Lopez"/>
    <x v="0"/>
    <n v="3"/>
    <x v="1032"/>
    <n v="0.08"/>
    <x v="1038"/>
  </r>
  <r>
    <x v="10"/>
    <x v="1039"/>
    <s v="PROD64"/>
    <d v="2025-07-13T00:00:00"/>
    <s v="CUST1016"/>
    <s v="Zhang Inc"/>
    <x v="0"/>
    <n v="1"/>
    <x v="1033"/>
    <n v="0.24"/>
    <x v="1039"/>
  </r>
  <r>
    <x v="10"/>
    <x v="1040"/>
    <s v="PROD66"/>
    <d v="2024-12-02T00:00:00"/>
    <s v="CUST1054"/>
    <s v="Torres, Spencer and Potter"/>
    <x v="0"/>
    <n v="2"/>
    <x v="1034"/>
    <n v="0.06"/>
    <x v="1040"/>
  </r>
  <r>
    <x v="10"/>
    <x v="1041"/>
    <s v="PROD66"/>
    <d v="2024-05-19T00:00:00"/>
    <s v="CUST1075"/>
    <s v="Torres, Spencer and Potter"/>
    <x v="0"/>
    <n v="4"/>
    <x v="1035"/>
    <n v="0.11"/>
    <x v="1041"/>
  </r>
  <r>
    <x v="10"/>
    <x v="1042"/>
    <s v="PROD67"/>
    <d v="2025-08-31T00:00:00"/>
    <s v="CUST1179"/>
    <s v="Flores-Davis"/>
    <x v="4"/>
    <n v="2"/>
    <x v="1036"/>
    <n v="0.02"/>
    <x v="1042"/>
  </r>
  <r>
    <x v="10"/>
    <x v="1043"/>
    <s v="PROD67"/>
    <d v="2024-08-11T00:00:00"/>
    <s v="CUST1417"/>
    <s v="Flores-Davis"/>
    <x v="4"/>
    <n v="1"/>
    <x v="1037"/>
    <n v="0.14000000000000001"/>
    <x v="1043"/>
  </r>
  <r>
    <x v="10"/>
    <x v="1044"/>
    <s v="PROD7"/>
    <d v="2024-08-31T00:00:00"/>
    <s v="CUST1125"/>
    <s v="Harrell LLC"/>
    <x v="1"/>
    <n v="4"/>
    <x v="1038"/>
    <n v="0.28999999999999998"/>
    <x v="1044"/>
  </r>
  <r>
    <x v="10"/>
    <x v="1045"/>
    <s v="PROD70"/>
    <d v="2025-09-18T00:00:00"/>
    <s v="CUST1020"/>
    <s v="Duran Group"/>
    <x v="1"/>
    <n v="2"/>
    <x v="1039"/>
    <n v="0.13"/>
    <x v="1045"/>
  </r>
  <r>
    <x v="10"/>
    <x v="1046"/>
    <s v="PROD70"/>
    <d v="2025-04-17T00:00:00"/>
    <s v="CUST1377"/>
    <s v="Duran Group"/>
    <x v="1"/>
    <n v="1"/>
    <x v="1040"/>
    <n v="0.1"/>
    <x v="1046"/>
  </r>
  <r>
    <x v="10"/>
    <x v="1047"/>
    <s v="PROD70"/>
    <d v="2024-05-25T00:00:00"/>
    <s v="CUST1497"/>
    <s v="Duran Group"/>
    <x v="1"/>
    <n v="4"/>
    <x v="1041"/>
    <n v="0.27"/>
    <x v="1047"/>
  </r>
  <r>
    <x v="10"/>
    <x v="1048"/>
    <s v="PROD71"/>
    <d v="2024-03-06T00:00:00"/>
    <s v="CUST1214"/>
    <s v="Hopkins Ltd"/>
    <x v="0"/>
    <n v="1"/>
    <x v="1042"/>
    <n v="0.03"/>
    <x v="1048"/>
  </r>
  <r>
    <x v="10"/>
    <x v="1049"/>
    <s v="PROD71"/>
    <d v="2025-01-07T00:00:00"/>
    <s v="CUST1236"/>
    <s v="Hopkins Ltd"/>
    <x v="0"/>
    <n v="4"/>
    <x v="1043"/>
    <n v="0.02"/>
    <x v="1049"/>
  </r>
  <r>
    <x v="10"/>
    <x v="1050"/>
    <s v="PROD71"/>
    <d v="2025-07-03T00:00:00"/>
    <s v="CUST1473"/>
    <s v="Hopkins Ltd"/>
    <x v="0"/>
    <n v="3"/>
    <x v="1044"/>
    <n v="0.27"/>
    <x v="1050"/>
  </r>
  <r>
    <x v="10"/>
    <x v="1051"/>
    <s v="PROD74"/>
    <d v="2025-05-10T00:00:00"/>
    <s v="CUST1310"/>
    <s v="Bruce-Bowen"/>
    <x v="4"/>
    <n v="1"/>
    <x v="1045"/>
    <n v="7.0000000000000007E-2"/>
    <x v="1051"/>
  </r>
  <r>
    <x v="10"/>
    <x v="1052"/>
    <s v="PROD74"/>
    <d v="2025-07-01T00:00:00"/>
    <s v="CUST1343"/>
    <s v="Bruce-Bowen"/>
    <x v="4"/>
    <n v="2"/>
    <x v="1046"/>
    <n v="0.24"/>
    <x v="1052"/>
  </r>
  <r>
    <x v="10"/>
    <x v="1053"/>
    <s v="PROD74"/>
    <d v="2024-07-30T00:00:00"/>
    <s v="CUST1370"/>
    <s v="Bruce-Bowen"/>
    <x v="4"/>
    <n v="4"/>
    <x v="1047"/>
    <n v="0.19"/>
    <x v="1053"/>
  </r>
  <r>
    <x v="10"/>
    <x v="1054"/>
    <s v="PROD75"/>
    <d v="2023-12-29T00:00:00"/>
    <s v="CUST1451"/>
    <s v="Poole PLC"/>
    <x v="3"/>
    <n v="3"/>
    <x v="1048"/>
    <n v="0.24"/>
    <x v="1054"/>
  </r>
  <r>
    <x v="10"/>
    <x v="1055"/>
    <s v="PROD76"/>
    <d v="2025-09-10T00:00:00"/>
    <s v="CUST1187"/>
    <s v="Larson Ltd"/>
    <x v="4"/>
    <n v="1"/>
    <x v="1049"/>
    <n v="0.11"/>
    <x v="1055"/>
  </r>
  <r>
    <x v="10"/>
    <x v="1056"/>
    <s v="PROD77"/>
    <d v="2024-04-12T00:00:00"/>
    <s v="CUST1399"/>
    <s v="White, Reeves and Woods"/>
    <x v="4"/>
    <n v="2"/>
    <x v="1050"/>
    <n v="0.28999999999999998"/>
    <x v="1056"/>
  </r>
  <r>
    <x v="10"/>
    <x v="1057"/>
    <s v="PROD77"/>
    <d v="2025-01-04T00:00:00"/>
    <s v="CUST1484"/>
    <s v="White, Reeves and Woods"/>
    <x v="4"/>
    <n v="4"/>
    <x v="1051"/>
    <n v="0.06"/>
    <x v="1057"/>
  </r>
  <r>
    <x v="10"/>
    <x v="1058"/>
    <s v="PROD79"/>
    <d v="2024-11-04T00:00:00"/>
    <s v="CUST1453"/>
    <s v="Ramirez-Hanson"/>
    <x v="1"/>
    <n v="2"/>
    <x v="1052"/>
    <n v="0.04"/>
    <x v="1058"/>
  </r>
  <r>
    <x v="10"/>
    <x v="1059"/>
    <s v="PROD80"/>
    <d v="2024-01-18T00:00:00"/>
    <s v="CUST1033"/>
    <s v="Allison Ltd"/>
    <x v="1"/>
    <n v="2"/>
    <x v="1053"/>
    <n v="0.04"/>
    <x v="1059"/>
  </r>
  <r>
    <x v="10"/>
    <x v="1060"/>
    <s v="PROD80"/>
    <d v="2024-08-09T00:00:00"/>
    <s v="CUST1469"/>
    <s v="Allison Ltd"/>
    <x v="1"/>
    <n v="1"/>
    <x v="1054"/>
    <n v="0.17"/>
    <x v="1060"/>
  </r>
  <r>
    <x v="10"/>
    <x v="1061"/>
    <s v="PROD81"/>
    <d v="2024-03-29T00:00:00"/>
    <s v="CUST1453"/>
    <s v="Robinson-Brown"/>
    <x v="2"/>
    <n v="2"/>
    <x v="1055"/>
    <n v="0.28000000000000003"/>
    <x v="1061"/>
  </r>
  <r>
    <x v="10"/>
    <x v="1062"/>
    <s v="PROD82"/>
    <d v="2024-09-23T00:00:00"/>
    <s v="CUST1458"/>
    <s v="Reese-Watson"/>
    <x v="2"/>
    <n v="3"/>
    <x v="1056"/>
    <n v="0.05"/>
    <x v="1062"/>
  </r>
  <r>
    <x v="10"/>
    <x v="1063"/>
    <s v="PROD83"/>
    <d v="2023-12-03T00:00:00"/>
    <s v="CUST1156"/>
    <s v="Butler Group"/>
    <x v="0"/>
    <n v="2"/>
    <x v="1057"/>
    <n v="0.01"/>
    <x v="1063"/>
  </r>
  <r>
    <x v="10"/>
    <x v="1064"/>
    <s v="PROD85"/>
    <d v="2024-11-09T00:00:00"/>
    <s v="CUST1405"/>
    <s v="Richardson-Carrillo"/>
    <x v="3"/>
    <n v="2"/>
    <x v="1058"/>
    <n v="0.08"/>
    <x v="1064"/>
  </r>
  <r>
    <x v="10"/>
    <x v="1065"/>
    <s v="PROD86"/>
    <d v="2024-02-15T00:00:00"/>
    <s v="CUST1005"/>
    <s v="Taylor, Dodson and Johnston"/>
    <x v="1"/>
    <n v="1"/>
    <x v="1059"/>
    <n v="0.16"/>
    <x v="1065"/>
  </r>
  <r>
    <x v="10"/>
    <x v="1066"/>
    <s v="PROD89"/>
    <d v="2024-03-20T00:00:00"/>
    <s v="CUST1418"/>
    <s v="Taylor-Elliott"/>
    <x v="0"/>
    <n v="1"/>
    <x v="1060"/>
    <n v="0.03"/>
    <x v="1066"/>
  </r>
  <r>
    <x v="10"/>
    <x v="1067"/>
    <s v="PROD90"/>
    <d v="2025-09-14T00:00:00"/>
    <s v="CUST1180"/>
    <s v="Sharp, Taylor and Rodriguez"/>
    <x v="4"/>
    <n v="3"/>
    <x v="1061"/>
    <n v="0.27"/>
    <x v="1067"/>
  </r>
  <r>
    <x v="10"/>
    <x v="1068"/>
    <s v="PROD90"/>
    <d v="2024-09-20T00:00:00"/>
    <s v="CUST1406"/>
    <s v="Sharp, Taylor and Rodriguez"/>
    <x v="4"/>
    <n v="3"/>
    <x v="1062"/>
    <n v="0.06"/>
    <x v="1068"/>
  </r>
  <r>
    <x v="10"/>
    <x v="1069"/>
    <s v="PROD91"/>
    <d v="2025-02-13T00:00:00"/>
    <s v="CUST1009"/>
    <s v="Smith-Charles"/>
    <x v="3"/>
    <n v="3"/>
    <x v="1063"/>
    <n v="0.23"/>
    <x v="1069"/>
  </r>
  <r>
    <x v="10"/>
    <x v="1070"/>
    <s v="PROD92"/>
    <d v="2023-11-03T00:00:00"/>
    <s v="CUST1004"/>
    <s v="Green, Powell and Palmer"/>
    <x v="1"/>
    <n v="2"/>
    <x v="1064"/>
    <n v="0.19"/>
    <x v="1070"/>
  </r>
  <r>
    <x v="10"/>
    <x v="1071"/>
    <s v="PROD92"/>
    <d v="2025-10-03T00:00:00"/>
    <s v="CUST1218"/>
    <s v="Green, Powell and Palmer"/>
    <x v="1"/>
    <n v="2"/>
    <x v="1065"/>
    <n v="0.13"/>
    <x v="1071"/>
  </r>
  <r>
    <x v="10"/>
    <x v="1072"/>
    <s v="PROD92"/>
    <d v="2025-08-07T00:00:00"/>
    <s v="CUST1240"/>
    <s v="Green, Powell and Palmer"/>
    <x v="1"/>
    <n v="2"/>
    <x v="1066"/>
    <n v="0.16"/>
    <x v="1072"/>
  </r>
  <r>
    <x v="10"/>
    <x v="1073"/>
    <s v="PROD92"/>
    <d v="2024-11-12T00:00:00"/>
    <s v="CUST1421"/>
    <s v="Green, Powell and Palmer"/>
    <x v="1"/>
    <n v="1"/>
    <x v="1067"/>
    <n v="0.11"/>
    <x v="1073"/>
  </r>
  <r>
    <x v="10"/>
    <x v="1074"/>
    <s v="PROD96"/>
    <d v="2024-04-29T00:00:00"/>
    <s v="CUST1219"/>
    <s v="Phillips and Sons"/>
    <x v="3"/>
    <n v="2"/>
    <x v="1068"/>
    <n v="0.13"/>
    <x v="1074"/>
  </r>
  <r>
    <x v="10"/>
    <x v="1075"/>
    <s v="PROD98"/>
    <d v="2024-02-15T00:00:00"/>
    <s v="CUST1050"/>
    <s v="Flores-King"/>
    <x v="4"/>
    <n v="3"/>
    <x v="1069"/>
    <n v="0.05"/>
    <x v="1075"/>
  </r>
  <r>
    <x v="10"/>
    <x v="1076"/>
    <s v="PROD99"/>
    <d v="2025-05-17T00:00:00"/>
    <s v="CUST1474"/>
    <s v="Campbell Ltd"/>
    <x v="1"/>
    <n v="1"/>
    <x v="1070"/>
    <n v="0.03"/>
    <x v="1076"/>
  </r>
  <r>
    <x v="11"/>
    <x v="1077"/>
    <s v="PROD0"/>
    <d v="2024-11-28T00:00:00"/>
    <s v="CUST1432"/>
    <s v="Hunt Inc"/>
    <x v="4"/>
    <n v="1"/>
    <x v="1071"/>
    <n v="0.1"/>
    <x v="1077"/>
  </r>
  <r>
    <x v="11"/>
    <x v="1078"/>
    <s v="PROD11"/>
    <d v="2024-10-14T00:00:00"/>
    <s v="CUST1314"/>
    <s v="Gibson, Hobbs and Weaver"/>
    <x v="4"/>
    <n v="3"/>
    <x v="1072"/>
    <n v="0.16"/>
    <x v="1078"/>
  </r>
  <r>
    <x v="11"/>
    <x v="1079"/>
    <s v="PROD13"/>
    <d v="2023-12-21T00:00:00"/>
    <s v="CUST1100"/>
    <s v="Dawson-Perkins"/>
    <x v="4"/>
    <n v="2"/>
    <x v="1073"/>
    <n v="0.23"/>
    <x v="1079"/>
  </r>
  <r>
    <x v="11"/>
    <x v="1080"/>
    <s v="PROD15"/>
    <d v="2024-01-17T00:00:00"/>
    <s v="CUST1039"/>
    <s v="Thomas LLC"/>
    <x v="4"/>
    <n v="3"/>
    <x v="1074"/>
    <n v="0.06"/>
    <x v="1080"/>
  </r>
  <r>
    <x v="11"/>
    <x v="1081"/>
    <s v="PROD15"/>
    <d v="2025-01-07T00:00:00"/>
    <s v="CUST1067"/>
    <s v="Thomas LLC"/>
    <x v="4"/>
    <n v="1"/>
    <x v="1075"/>
    <n v="0.11"/>
    <x v="1081"/>
  </r>
  <r>
    <x v="11"/>
    <x v="1082"/>
    <s v="PROD15"/>
    <d v="2025-08-09T00:00:00"/>
    <s v="CUST1120"/>
    <s v="Thomas LLC"/>
    <x v="4"/>
    <n v="1"/>
    <x v="1076"/>
    <n v="0.16"/>
    <x v="1082"/>
  </r>
  <r>
    <x v="11"/>
    <x v="1083"/>
    <s v="PROD15"/>
    <d v="2023-10-20T00:00:00"/>
    <s v="CUST1266"/>
    <s v="Thomas LLC"/>
    <x v="4"/>
    <n v="1"/>
    <x v="1077"/>
    <n v="0.14000000000000001"/>
    <x v="1083"/>
  </r>
  <r>
    <x v="11"/>
    <x v="1084"/>
    <s v="PROD15"/>
    <d v="2025-07-24T00:00:00"/>
    <s v="CUST1266"/>
    <s v="Thomas LLC"/>
    <x v="4"/>
    <n v="1"/>
    <x v="1078"/>
    <n v="0.2"/>
    <x v="1084"/>
  </r>
  <r>
    <x v="11"/>
    <x v="1085"/>
    <s v="PROD16"/>
    <d v="2024-02-07T00:00:00"/>
    <s v="CUST1016"/>
    <s v="Erickson-Green"/>
    <x v="0"/>
    <n v="2"/>
    <x v="1079"/>
    <n v="0.05"/>
    <x v="1085"/>
  </r>
  <r>
    <x v="11"/>
    <x v="1086"/>
    <s v="PROD16"/>
    <d v="2024-12-02T00:00:00"/>
    <s v="CUST1312"/>
    <s v="Erickson-Green"/>
    <x v="0"/>
    <n v="4"/>
    <x v="1080"/>
    <n v="0.23"/>
    <x v="1086"/>
  </r>
  <r>
    <x v="11"/>
    <x v="1087"/>
    <s v="PROD16"/>
    <d v="2025-04-07T00:00:00"/>
    <s v="CUST1476"/>
    <s v="Erickson-Green"/>
    <x v="0"/>
    <n v="1"/>
    <x v="1081"/>
    <n v="0.28999999999999998"/>
    <x v="1087"/>
  </r>
  <r>
    <x v="11"/>
    <x v="1088"/>
    <s v="PROD17"/>
    <d v="2023-10-19T00:00:00"/>
    <s v="CUST1047"/>
    <s v="Ford, Murphy and Wilson"/>
    <x v="2"/>
    <n v="3"/>
    <x v="1082"/>
    <n v="0.09"/>
    <x v="1088"/>
  </r>
  <r>
    <x v="11"/>
    <x v="1089"/>
    <s v="PROD17"/>
    <d v="2024-03-10T00:00:00"/>
    <s v="CUST1221"/>
    <s v="Ford, Murphy and Wilson"/>
    <x v="2"/>
    <n v="1"/>
    <x v="1083"/>
    <n v="0.27"/>
    <x v="1089"/>
  </r>
  <r>
    <x v="11"/>
    <x v="1090"/>
    <s v="PROD17"/>
    <d v="2025-02-13T00:00:00"/>
    <s v="CUST1458"/>
    <s v="Ford, Murphy and Wilson"/>
    <x v="2"/>
    <n v="1"/>
    <x v="1084"/>
    <n v="0.09"/>
    <x v="1090"/>
  </r>
  <r>
    <x v="11"/>
    <x v="1091"/>
    <s v="PROD19"/>
    <d v="2025-06-24T00:00:00"/>
    <s v="CUST1281"/>
    <s v="May-Reese"/>
    <x v="2"/>
    <n v="4"/>
    <x v="1085"/>
    <n v="0.18"/>
    <x v="1091"/>
  </r>
  <r>
    <x v="11"/>
    <x v="1092"/>
    <s v="PROD2"/>
    <d v="2024-07-22T00:00:00"/>
    <s v="CUST1298"/>
    <s v="Sims Inc"/>
    <x v="3"/>
    <n v="1"/>
    <x v="1086"/>
    <n v="0.11"/>
    <x v="1092"/>
  </r>
  <r>
    <x v="11"/>
    <x v="1093"/>
    <s v="PROD21"/>
    <d v="2025-02-18T00:00:00"/>
    <s v="CUST1077"/>
    <s v="Gardner-Montes"/>
    <x v="1"/>
    <n v="2"/>
    <x v="1087"/>
    <n v="0.2"/>
    <x v="1093"/>
  </r>
  <r>
    <x v="11"/>
    <x v="1094"/>
    <s v="PROD22"/>
    <d v="2024-02-26T00:00:00"/>
    <s v="CUST1216"/>
    <s v="Flores, Pineda and Rodriguez"/>
    <x v="2"/>
    <n v="2"/>
    <x v="1088"/>
    <n v="0.12"/>
    <x v="1094"/>
  </r>
  <r>
    <x v="11"/>
    <x v="1095"/>
    <s v="PROD23"/>
    <d v="2025-10-09T00:00:00"/>
    <s v="CUST1059"/>
    <s v="Moon, Mora and Santos"/>
    <x v="3"/>
    <n v="3"/>
    <x v="1089"/>
    <n v="0.2"/>
    <x v="1095"/>
  </r>
  <r>
    <x v="11"/>
    <x v="1096"/>
    <s v="PROD24"/>
    <d v="2024-11-27T00:00:00"/>
    <s v="CUST1027"/>
    <s v="Cook Ltd"/>
    <x v="2"/>
    <n v="3"/>
    <x v="1090"/>
    <n v="0.03"/>
    <x v="1096"/>
  </r>
  <r>
    <x v="11"/>
    <x v="1097"/>
    <s v="PROD24"/>
    <d v="2024-12-26T00:00:00"/>
    <s v="CUST1187"/>
    <s v="Cook Ltd"/>
    <x v="2"/>
    <n v="3"/>
    <x v="1091"/>
    <n v="0.24"/>
    <x v="1097"/>
  </r>
  <r>
    <x v="11"/>
    <x v="1098"/>
    <s v="PROD26"/>
    <d v="2024-07-13T00:00:00"/>
    <s v="CUST1072"/>
    <s v="Reed-Schmidt"/>
    <x v="4"/>
    <n v="2"/>
    <x v="1092"/>
    <n v="7.0000000000000007E-2"/>
    <x v="1098"/>
  </r>
  <r>
    <x v="11"/>
    <x v="1099"/>
    <s v="PROD26"/>
    <d v="2024-12-24T00:00:00"/>
    <s v="CUST1240"/>
    <s v="Reed-Schmidt"/>
    <x v="4"/>
    <n v="2"/>
    <x v="1093"/>
    <n v="0.27"/>
    <x v="1099"/>
  </r>
  <r>
    <x v="11"/>
    <x v="1100"/>
    <s v="PROD27"/>
    <d v="2023-12-24T00:00:00"/>
    <s v="CUST1032"/>
    <s v="Khan, Jones and Paul"/>
    <x v="1"/>
    <n v="4"/>
    <x v="1094"/>
    <n v="0.26"/>
    <x v="1100"/>
  </r>
  <r>
    <x v="11"/>
    <x v="1101"/>
    <s v="PROD27"/>
    <d v="2024-04-24T00:00:00"/>
    <s v="CUST1190"/>
    <s v="Khan, Jones and Paul"/>
    <x v="1"/>
    <n v="3"/>
    <x v="1095"/>
    <n v="0.11"/>
    <x v="1101"/>
  </r>
  <r>
    <x v="11"/>
    <x v="1102"/>
    <s v="PROD29"/>
    <d v="2025-08-07T00:00:00"/>
    <s v="CUST1321"/>
    <s v="Hoffman Group"/>
    <x v="1"/>
    <n v="1"/>
    <x v="1096"/>
    <n v="0.19"/>
    <x v="1102"/>
  </r>
  <r>
    <x v="11"/>
    <x v="1103"/>
    <s v="PROD29"/>
    <d v="2025-02-18T00:00:00"/>
    <s v="CUST1391"/>
    <s v="Hoffman Group"/>
    <x v="1"/>
    <n v="4"/>
    <x v="1097"/>
    <n v="0.11"/>
    <x v="1103"/>
  </r>
  <r>
    <x v="11"/>
    <x v="1104"/>
    <s v="PROD31"/>
    <d v="2025-08-22T00:00:00"/>
    <s v="CUST1085"/>
    <s v="Nolan-Snow"/>
    <x v="2"/>
    <n v="3"/>
    <x v="1098"/>
    <n v="0.01"/>
    <x v="1104"/>
  </r>
  <r>
    <x v="11"/>
    <x v="1105"/>
    <s v="PROD31"/>
    <d v="2024-04-12T00:00:00"/>
    <s v="CUST1371"/>
    <s v="Nolan-Snow"/>
    <x v="2"/>
    <n v="4"/>
    <x v="1099"/>
    <n v="0.13"/>
    <x v="1105"/>
  </r>
  <r>
    <x v="11"/>
    <x v="1106"/>
    <s v="PROD33"/>
    <d v="2024-06-17T00:00:00"/>
    <s v="CUST1138"/>
    <s v="Weiss-Watson"/>
    <x v="1"/>
    <n v="2"/>
    <x v="1100"/>
    <n v="0.08"/>
    <x v="1106"/>
  </r>
  <r>
    <x v="11"/>
    <x v="1107"/>
    <s v="PROD33"/>
    <d v="2024-08-28T00:00:00"/>
    <s v="CUST1188"/>
    <s v="Weiss-Watson"/>
    <x v="1"/>
    <n v="4"/>
    <x v="1101"/>
    <n v="0.27"/>
    <x v="1107"/>
  </r>
  <r>
    <x v="11"/>
    <x v="1108"/>
    <s v="PROD33"/>
    <d v="2025-04-02T00:00:00"/>
    <s v="CUST1410"/>
    <s v="Weiss-Watson"/>
    <x v="1"/>
    <n v="4"/>
    <x v="1102"/>
    <n v="0.11"/>
    <x v="1108"/>
  </r>
  <r>
    <x v="11"/>
    <x v="1109"/>
    <s v="PROD36"/>
    <d v="2024-11-30T00:00:00"/>
    <s v="CUST1443"/>
    <s v="Smith-Mills"/>
    <x v="3"/>
    <n v="3"/>
    <x v="1103"/>
    <n v="0"/>
    <x v="1109"/>
  </r>
  <r>
    <x v="11"/>
    <x v="1110"/>
    <s v="PROD37"/>
    <d v="2024-09-27T00:00:00"/>
    <s v="CUST1051"/>
    <s v="Hogan-Lee"/>
    <x v="3"/>
    <n v="4"/>
    <x v="1104"/>
    <n v="0.08"/>
    <x v="1110"/>
  </r>
  <r>
    <x v="11"/>
    <x v="1111"/>
    <s v="PROD37"/>
    <d v="2025-05-16T00:00:00"/>
    <s v="CUST1177"/>
    <s v="Hogan-Lee"/>
    <x v="3"/>
    <n v="4"/>
    <x v="1105"/>
    <n v="0.13"/>
    <x v="1111"/>
  </r>
  <r>
    <x v="11"/>
    <x v="1112"/>
    <s v="PROD38"/>
    <d v="2024-02-11T00:00:00"/>
    <s v="CUST1343"/>
    <s v="Sims-Smith"/>
    <x v="2"/>
    <n v="3"/>
    <x v="1106"/>
    <n v="0.04"/>
    <x v="1112"/>
  </r>
  <r>
    <x v="11"/>
    <x v="1113"/>
    <s v="PROD4"/>
    <d v="2023-12-15T00:00:00"/>
    <s v="CUST1096"/>
    <s v="Gonzales-Davis"/>
    <x v="3"/>
    <n v="4"/>
    <x v="1107"/>
    <n v="0.15"/>
    <x v="1113"/>
  </r>
  <r>
    <x v="11"/>
    <x v="1114"/>
    <s v="PROD41"/>
    <d v="2025-08-24T00:00:00"/>
    <s v="CUST1034"/>
    <s v="Carroll, Long and Mendoza"/>
    <x v="2"/>
    <n v="2"/>
    <x v="1108"/>
    <n v="0.04"/>
    <x v="1114"/>
  </r>
  <r>
    <x v="11"/>
    <x v="1115"/>
    <s v="PROD41"/>
    <d v="2024-08-03T00:00:00"/>
    <s v="CUST1067"/>
    <s v="Carroll, Long and Mendoza"/>
    <x v="2"/>
    <n v="2"/>
    <x v="1109"/>
    <n v="0.17"/>
    <x v="1115"/>
  </r>
  <r>
    <x v="11"/>
    <x v="1116"/>
    <s v="PROD42"/>
    <d v="2025-05-08T00:00:00"/>
    <s v="CUST1212"/>
    <s v="Holmes LLC"/>
    <x v="4"/>
    <n v="4"/>
    <x v="1110"/>
    <n v="0.09"/>
    <x v="1116"/>
  </r>
  <r>
    <x v="11"/>
    <x v="1117"/>
    <s v="PROD43"/>
    <d v="2024-05-22T00:00:00"/>
    <s v="CUST1217"/>
    <s v="Robinson Inc"/>
    <x v="4"/>
    <n v="1"/>
    <x v="1111"/>
    <n v="0.03"/>
    <x v="1117"/>
  </r>
  <r>
    <x v="11"/>
    <x v="1118"/>
    <s v="PROD44"/>
    <d v="2024-09-04T00:00:00"/>
    <s v="CUST1011"/>
    <s v="Cox Inc"/>
    <x v="2"/>
    <n v="2"/>
    <x v="1112"/>
    <n v="0.18"/>
    <x v="1118"/>
  </r>
  <r>
    <x v="11"/>
    <x v="1119"/>
    <s v="PROD47"/>
    <d v="2023-11-27T00:00:00"/>
    <s v="CUST1053"/>
    <s v="Cook Inc"/>
    <x v="0"/>
    <n v="4"/>
    <x v="1113"/>
    <n v="0.1"/>
    <x v="1119"/>
  </r>
  <r>
    <x v="11"/>
    <x v="1120"/>
    <s v="PROD48"/>
    <d v="2024-01-17T00:00:00"/>
    <s v="CUST1466"/>
    <s v="Byrd, Stewart and Valdez"/>
    <x v="4"/>
    <n v="3"/>
    <x v="1114"/>
    <n v="0.1"/>
    <x v="1120"/>
  </r>
  <r>
    <x v="11"/>
    <x v="1121"/>
    <s v="PROD5"/>
    <d v="2023-10-18T00:00:00"/>
    <s v="CUST1028"/>
    <s v="Baldwin, Garza and Gonzalez"/>
    <x v="3"/>
    <n v="1"/>
    <x v="1115"/>
    <n v="0.13"/>
    <x v="1121"/>
  </r>
  <r>
    <x v="11"/>
    <x v="1122"/>
    <s v="PROD50"/>
    <d v="2024-03-02T00:00:00"/>
    <s v="CUST1237"/>
    <s v="Smith-King"/>
    <x v="2"/>
    <n v="4"/>
    <x v="1116"/>
    <n v="0.18"/>
    <x v="1122"/>
  </r>
  <r>
    <x v="11"/>
    <x v="1123"/>
    <s v="PROD52"/>
    <d v="2023-10-17T00:00:00"/>
    <s v="CUST1010"/>
    <s v="Harris Inc"/>
    <x v="2"/>
    <n v="2"/>
    <x v="1117"/>
    <n v="0.23"/>
    <x v="1123"/>
  </r>
  <r>
    <x v="11"/>
    <x v="1124"/>
    <s v="PROD53"/>
    <d v="2025-08-06T00:00:00"/>
    <s v="CUST1152"/>
    <s v="Hamilton, Woods and Walker"/>
    <x v="3"/>
    <n v="2"/>
    <x v="1118"/>
    <n v="0.23"/>
    <x v="1124"/>
  </r>
  <r>
    <x v="11"/>
    <x v="1125"/>
    <s v="PROD55"/>
    <d v="2025-08-10T00:00:00"/>
    <s v="CUST1358"/>
    <s v="Hatfield, Baird and Torres"/>
    <x v="1"/>
    <n v="1"/>
    <x v="1119"/>
    <n v="0.02"/>
    <x v="1125"/>
  </r>
  <r>
    <x v="11"/>
    <x v="1126"/>
    <s v="PROD56"/>
    <d v="2025-06-04T00:00:00"/>
    <s v="CUST1000"/>
    <s v="Hernandez, Kennedy and Porter"/>
    <x v="1"/>
    <n v="2"/>
    <x v="1120"/>
    <n v="7.0000000000000007E-2"/>
    <x v="1126"/>
  </r>
  <r>
    <x v="11"/>
    <x v="1127"/>
    <s v="PROD56"/>
    <d v="2025-10-12T00:00:00"/>
    <s v="CUST1442"/>
    <s v="Hernandez, Kennedy and Porter"/>
    <x v="1"/>
    <n v="4"/>
    <x v="1121"/>
    <n v="0.13"/>
    <x v="1127"/>
  </r>
  <r>
    <x v="11"/>
    <x v="1128"/>
    <s v="PROD57"/>
    <d v="2024-06-11T00:00:00"/>
    <s v="CUST1137"/>
    <s v="Atkinson, Camacho and Oliver"/>
    <x v="2"/>
    <n v="3"/>
    <x v="1122"/>
    <n v="0.05"/>
    <x v="1128"/>
  </r>
  <r>
    <x v="11"/>
    <x v="1129"/>
    <s v="PROD57"/>
    <d v="2025-08-17T00:00:00"/>
    <s v="CUST1449"/>
    <s v="Atkinson, Camacho and Oliver"/>
    <x v="2"/>
    <n v="1"/>
    <x v="1123"/>
    <n v="0.26"/>
    <x v="1129"/>
  </r>
  <r>
    <x v="11"/>
    <x v="1130"/>
    <s v="PROD59"/>
    <d v="2025-04-23T00:00:00"/>
    <s v="CUST1442"/>
    <s v="Cline-Mccarthy"/>
    <x v="0"/>
    <n v="4"/>
    <x v="1124"/>
    <n v="0.03"/>
    <x v="1130"/>
  </r>
  <r>
    <x v="11"/>
    <x v="1131"/>
    <s v="PROD63"/>
    <d v="2025-02-11T00:00:00"/>
    <s v="CUST1154"/>
    <s v="Anderson-Riley"/>
    <x v="0"/>
    <n v="4"/>
    <x v="1125"/>
    <n v="0.28000000000000003"/>
    <x v="1131"/>
  </r>
  <r>
    <x v="11"/>
    <x v="1132"/>
    <s v="PROD64"/>
    <d v="2023-10-17T00:00:00"/>
    <s v="CUST1072"/>
    <s v="Zhang Inc"/>
    <x v="0"/>
    <n v="3"/>
    <x v="1126"/>
    <n v="0.17"/>
    <x v="1132"/>
  </r>
  <r>
    <x v="11"/>
    <x v="1133"/>
    <s v="PROD65"/>
    <d v="2025-09-13T00:00:00"/>
    <s v="CUST1276"/>
    <s v="Montgomery, Benton and Miller"/>
    <x v="2"/>
    <n v="2"/>
    <x v="1127"/>
    <n v="0.25"/>
    <x v="1133"/>
  </r>
  <r>
    <x v="11"/>
    <x v="1134"/>
    <s v="PROD65"/>
    <d v="2024-05-08T00:00:00"/>
    <s v="CUST1401"/>
    <s v="Montgomery, Benton and Miller"/>
    <x v="2"/>
    <n v="2"/>
    <x v="1128"/>
    <n v="7.0000000000000007E-2"/>
    <x v="1134"/>
  </r>
  <r>
    <x v="11"/>
    <x v="1135"/>
    <s v="PROD66"/>
    <d v="2024-03-04T00:00:00"/>
    <s v="CUST1012"/>
    <s v="Torres, Spencer and Potter"/>
    <x v="0"/>
    <n v="3"/>
    <x v="1129"/>
    <n v="7.0000000000000007E-2"/>
    <x v="1135"/>
  </r>
  <r>
    <x v="11"/>
    <x v="1136"/>
    <s v="PROD67"/>
    <d v="2024-09-14T00:00:00"/>
    <s v="CUST1178"/>
    <s v="Flores-Davis"/>
    <x v="4"/>
    <n v="2"/>
    <x v="1130"/>
    <n v="0.2"/>
    <x v="1136"/>
  </r>
  <r>
    <x v="11"/>
    <x v="1137"/>
    <s v="PROD67"/>
    <d v="2024-03-18T00:00:00"/>
    <s v="CUST1215"/>
    <s v="Flores-Davis"/>
    <x v="4"/>
    <n v="3"/>
    <x v="1131"/>
    <n v="0.15"/>
    <x v="1137"/>
  </r>
  <r>
    <x v="11"/>
    <x v="1138"/>
    <s v="PROD68"/>
    <d v="2024-03-25T00:00:00"/>
    <s v="CUST1283"/>
    <s v="Wolfe, Ross and Hester"/>
    <x v="1"/>
    <n v="1"/>
    <x v="1132"/>
    <n v="0.09"/>
    <x v="1138"/>
  </r>
  <r>
    <x v="11"/>
    <x v="1139"/>
    <s v="PROD69"/>
    <d v="2025-05-13T00:00:00"/>
    <s v="CUST1018"/>
    <s v="Fitzpatrick Ltd"/>
    <x v="3"/>
    <n v="3"/>
    <x v="1133"/>
    <n v="0.03"/>
    <x v="1139"/>
  </r>
  <r>
    <x v="11"/>
    <x v="1140"/>
    <s v="PROD69"/>
    <d v="2025-05-21T00:00:00"/>
    <s v="CUST1243"/>
    <s v="Fitzpatrick Ltd"/>
    <x v="3"/>
    <n v="2"/>
    <x v="1134"/>
    <n v="0.11"/>
    <x v="1140"/>
  </r>
  <r>
    <x v="11"/>
    <x v="1141"/>
    <s v="PROD69"/>
    <d v="2025-08-07T00:00:00"/>
    <s v="CUST1287"/>
    <s v="Fitzpatrick Ltd"/>
    <x v="3"/>
    <n v="4"/>
    <x v="1135"/>
    <n v="0.16"/>
    <x v="1141"/>
  </r>
  <r>
    <x v="11"/>
    <x v="1142"/>
    <s v="PROD72"/>
    <d v="2024-04-13T00:00:00"/>
    <s v="CUST1425"/>
    <s v="Davis PLC"/>
    <x v="2"/>
    <n v="1"/>
    <x v="1136"/>
    <n v="0.05"/>
    <x v="1142"/>
  </r>
  <r>
    <x v="11"/>
    <x v="1143"/>
    <s v="PROD73"/>
    <d v="2025-04-16T00:00:00"/>
    <s v="CUST1272"/>
    <s v="French Ltd"/>
    <x v="2"/>
    <n v="4"/>
    <x v="1137"/>
    <n v="0.26"/>
    <x v="1143"/>
  </r>
  <r>
    <x v="11"/>
    <x v="1144"/>
    <s v="PROD73"/>
    <d v="2023-11-13T00:00:00"/>
    <s v="CUST1383"/>
    <s v="French Ltd"/>
    <x v="2"/>
    <n v="3"/>
    <x v="1138"/>
    <n v="0.03"/>
    <x v="1144"/>
  </r>
  <r>
    <x v="11"/>
    <x v="1145"/>
    <s v="PROD73"/>
    <d v="2023-11-20T00:00:00"/>
    <s v="CUST1450"/>
    <s v="French Ltd"/>
    <x v="2"/>
    <n v="1"/>
    <x v="1139"/>
    <n v="0.21"/>
    <x v="1145"/>
  </r>
  <r>
    <x v="11"/>
    <x v="1146"/>
    <s v="PROD76"/>
    <d v="2023-12-07T00:00:00"/>
    <s v="CUST1023"/>
    <s v="Larson Ltd"/>
    <x v="4"/>
    <n v="3"/>
    <x v="1140"/>
    <n v="0.17"/>
    <x v="1146"/>
  </r>
  <r>
    <x v="11"/>
    <x v="1147"/>
    <s v="PROD76"/>
    <d v="2025-03-10T00:00:00"/>
    <s v="CUST1382"/>
    <s v="Larson Ltd"/>
    <x v="4"/>
    <n v="4"/>
    <x v="1141"/>
    <n v="0.09"/>
    <x v="1147"/>
  </r>
  <r>
    <x v="11"/>
    <x v="1148"/>
    <s v="PROD77"/>
    <d v="2025-08-14T00:00:00"/>
    <s v="CUST1281"/>
    <s v="White, Reeves and Woods"/>
    <x v="4"/>
    <n v="3"/>
    <x v="1142"/>
    <n v="0.28999999999999998"/>
    <x v="1148"/>
  </r>
  <r>
    <x v="11"/>
    <x v="1149"/>
    <s v="PROD78"/>
    <d v="2024-09-10T00:00:00"/>
    <s v="CUST1370"/>
    <s v="Hernandez Inc"/>
    <x v="1"/>
    <n v="2"/>
    <x v="1143"/>
    <n v="0.1"/>
    <x v="1149"/>
  </r>
  <r>
    <x v="11"/>
    <x v="1150"/>
    <s v="PROD79"/>
    <d v="2024-10-16T00:00:00"/>
    <s v="CUST1255"/>
    <s v="Ramirez-Hanson"/>
    <x v="1"/>
    <n v="2"/>
    <x v="1144"/>
    <n v="0.18"/>
    <x v="1150"/>
  </r>
  <r>
    <x v="11"/>
    <x v="1151"/>
    <s v="PROD8"/>
    <d v="2024-09-17T00:00:00"/>
    <s v="CUST1077"/>
    <s v="Perez-Johnston"/>
    <x v="4"/>
    <n v="4"/>
    <x v="1145"/>
    <n v="0.15"/>
    <x v="1151"/>
  </r>
  <r>
    <x v="11"/>
    <x v="1152"/>
    <s v="PROD81"/>
    <d v="2025-09-16T00:00:00"/>
    <s v="CUST1457"/>
    <s v="Robinson-Brown"/>
    <x v="2"/>
    <n v="3"/>
    <x v="1146"/>
    <n v="0.21"/>
    <x v="1152"/>
  </r>
  <r>
    <x v="11"/>
    <x v="1153"/>
    <s v="PROD82"/>
    <d v="2024-11-21T00:00:00"/>
    <s v="CUST1294"/>
    <s v="Reese-Watson"/>
    <x v="2"/>
    <n v="1"/>
    <x v="1147"/>
    <n v="0.14000000000000001"/>
    <x v="1153"/>
  </r>
  <r>
    <x v="11"/>
    <x v="1154"/>
    <s v="PROD85"/>
    <d v="2023-12-28T00:00:00"/>
    <s v="CUST1281"/>
    <s v="Richardson-Carrillo"/>
    <x v="3"/>
    <n v="3"/>
    <x v="1148"/>
    <n v="0.13"/>
    <x v="1154"/>
  </r>
  <r>
    <x v="11"/>
    <x v="1155"/>
    <s v="PROD89"/>
    <d v="2024-07-24T00:00:00"/>
    <s v="CUST1103"/>
    <s v="Taylor-Elliott"/>
    <x v="0"/>
    <n v="4"/>
    <x v="1149"/>
    <n v="0.11"/>
    <x v="1155"/>
  </r>
  <r>
    <x v="11"/>
    <x v="1156"/>
    <s v="PROD91"/>
    <d v="2024-03-27T00:00:00"/>
    <s v="CUST1325"/>
    <s v="Smith-Charles"/>
    <x v="3"/>
    <n v="2"/>
    <x v="1150"/>
    <n v="0.26"/>
    <x v="1156"/>
  </r>
  <r>
    <x v="11"/>
    <x v="1157"/>
    <s v="PROD91"/>
    <d v="2025-06-16T00:00:00"/>
    <s v="CUST1417"/>
    <s v="Smith-Charles"/>
    <x v="3"/>
    <n v="2"/>
    <x v="1151"/>
    <n v="0.17"/>
    <x v="1157"/>
  </r>
  <r>
    <x v="11"/>
    <x v="1158"/>
    <s v="PROD91"/>
    <d v="2025-06-11T00:00:00"/>
    <s v="CUST1462"/>
    <s v="Smith-Charles"/>
    <x v="3"/>
    <n v="3"/>
    <x v="1152"/>
    <n v="0.1"/>
    <x v="1158"/>
  </r>
  <r>
    <x v="11"/>
    <x v="1159"/>
    <s v="PROD92"/>
    <d v="2024-07-18T00:00:00"/>
    <s v="CUST1116"/>
    <s v="Green, Powell and Palmer"/>
    <x v="1"/>
    <n v="2"/>
    <x v="1153"/>
    <n v="0.23"/>
    <x v="1159"/>
  </r>
  <r>
    <x v="11"/>
    <x v="1160"/>
    <s v="PROD92"/>
    <d v="2023-11-24T00:00:00"/>
    <s v="CUST1350"/>
    <s v="Green, Powell and Palmer"/>
    <x v="1"/>
    <n v="2"/>
    <x v="1154"/>
    <n v="0.02"/>
    <x v="1160"/>
  </r>
  <r>
    <x v="11"/>
    <x v="1161"/>
    <s v="PROD94"/>
    <d v="2024-03-27T00:00:00"/>
    <s v="CUST1203"/>
    <s v="Hoffman-Williams"/>
    <x v="0"/>
    <n v="2"/>
    <x v="1155"/>
    <n v="0.06"/>
    <x v="1161"/>
  </r>
  <r>
    <x v="11"/>
    <x v="1162"/>
    <s v="PROD95"/>
    <d v="2024-04-08T00:00:00"/>
    <s v="CUST1383"/>
    <s v="Wilson Group"/>
    <x v="2"/>
    <n v="1"/>
    <x v="1156"/>
    <n v="0"/>
    <x v="1162"/>
  </r>
  <r>
    <x v="11"/>
    <x v="1163"/>
    <s v="PROD96"/>
    <d v="2024-01-06T00:00:00"/>
    <s v="CUST1061"/>
    <s v="Phillips and Sons"/>
    <x v="3"/>
    <n v="4"/>
    <x v="1157"/>
    <n v="0.08"/>
    <x v="1163"/>
  </r>
  <r>
    <x v="11"/>
    <x v="1164"/>
    <s v="PROD97"/>
    <d v="2025-01-31T00:00:00"/>
    <s v="CUST1161"/>
    <s v="Khan LLC"/>
    <x v="2"/>
    <n v="2"/>
    <x v="1158"/>
    <n v="0.1"/>
    <x v="1164"/>
  </r>
  <r>
    <x v="11"/>
    <x v="1165"/>
    <s v="PROD97"/>
    <d v="2024-01-05T00:00:00"/>
    <s v="CUST1257"/>
    <s v="Khan LLC"/>
    <x v="2"/>
    <n v="4"/>
    <x v="1159"/>
    <n v="0.28999999999999998"/>
    <x v="1165"/>
  </r>
  <r>
    <x v="11"/>
    <x v="1166"/>
    <s v="PROD97"/>
    <d v="2024-08-26T00:00:00"/>
    <s v="CUST1298"/>
    <s v="Khan LLC"/>
    <x v="2"/>
    <n v="2"/>
    <x v="901"/>
    <n v="0.01"/>
    <x v="1166"/>
  </r>
  <r>
    <x v="11"/>
    <x v="1167"/>
    <s v="PROD98"/>
    <d v="2024-12-29T00:00:00"/>
    <s v="CUST1020"/>
    <s v="Flores-King"/>
    <x v="4"/>
    <n v="3"/>
    <x v="1160"/>
    <n v="0.01"/>
    <x v="1167"/>
  </r>
  <r>
    <x v="11"/>
    <x v="1168"/>
    <s v="PROD98"/>
    <d v="2024-07-02T00:00:00"/>
    <s v="CUST1204"/>
    <s v="Flores-King"/>
    <x v="4"/>
    <n v="4"/>
    <x v="1161"/>
    <n v="0.27"/>
    <x v="1168"/>
  </r>
  <r>
    <x v="11"/>
    <x v="1169"/>
    <s v="PROD98"/>
    <d v="2025-09-25T00:00:00"/>
    <s v="CUST1449"/>
    <s v="Flores-King"/>
    <x v="4"/>
    <n v="1"/>
    <x v="1162"/>
    <n v="0.1"/>
    <x v="1169"/>
  </r>
  <r>
    <x v="11"/>
    <x v="1170"/>
    <s v="PROD99"/>
    <d v="2023-12-04T00:00:00"/>
    <s v="CUST1186"/>
    <s v="Campbell Ltd"/>
    <x v="1"/>
    <n v="3"/>
    <x v="1163"/>
    <n v="0.19"/>
    <x v="1170"/>
  </r>
  <r>
    <x v="12"/>
    <x v="1171"/>
    <s v="PROD1"/>
    <d v="2025-02-27T00:00:00"/>
    <s v="CUST1026"/>
    <s v="Terry-Moore"/>
    <x v="3"/>
    <n v="4"/>
    <x v="1164"/>
    <n v="0.03"/>
    <x v="1171"/>
  </r>
  <r>
    <x v="12"/>
    <x v="1172"/>
    <s v="PROD1"/>
    <d v="2024-12-09T00:00:00"/>
    <s v="CUST1371"/>
    <s v="Terry-Moore"/>
    <x v="3"/>
    <n v="3"/>
    <x v="1165"/>
    <n v="0.04"/>
    <x v="1172"/>
  </r>
  <r>
    <x v="12"/>
    <x v="1173"/>
    <s v="PROD12"/>
    <d v="2023-11-25T00:00:00"/>
    <s v="CUST1483"/>
    <s v="Rice LLC"/>
    <x v="0"/>
    <n v="1"/>
    <x v="1166"/>
    <n v="0.2"/>
    <x v="1173"/>
  </r>
  <r>
    <x v="12"/>
    <x v="1174"/>
    <s v="PROD13"/>
    <d v="2025-01-22T00:00:00"/>
    <s v="CUST1135"/>
    <s v="Dawson-Perkins"/>
    <x v="4"/>
    <n v="1"/>
    <x v="1167"/>
    <n v="0.2"/>
    <x v="1174"/>
  </r>
  <r>
    <x v="12"/>
    <x v="1175"/>
    <s v="PROD13"/>
    <d v="2025-09-23T00:00:00"/>
    <s v="CUST1148"/>
    <s v="Dawson-Perkins"/>
    <x v="4"/>
    <n v="2"/>
    <x v="1168"/>
    <n v="0.11"/>
    <x v="1175"/>
  </r>
  <r>
    <x v="12"/>
    <x v="1176"/>
    <s v="PROD13"/>
    <d v="2024-02-24T00:00:00"/>
    <s v="CUST1212"/>
    <s v="Dawson-Perkins"/>
    <x v="4"/>
    <n v="4"/>
    <x v="749"/>
    <n v="0.09"/>
    <x v="1176"/>
  </r>
  <r>
    <x v="12"/>
    <x v="1177"/>
    <s v="PROD14"/>
    <d v="2025-07-24T00:00:00"/>
    <s v="CUST1052"/>
    <s v="Luna, Anderson and Bowman"/>
    <x v="1"/>
    <n v="2"/>
    <x v="1169"/>
    <n v="0.23"/>
    <x v="1177"/>
  </r>
  <r>
    <x v="12"/>
    <x v="1178"/>
    <s v="PROD16"/>
    <d v="2024-04-19T00:00:00"/>
    <s v="CUST1361"/>
    <s v="Erickson-Green"/>
    <x v="0"/>
    <n v="4"/>
    <x v="1170"/>
    <n v="0.02"/>
    <x v="1178"/>
  </r>
  <r>
    <x v="12"/>
    <x v="1179"/>
    <s v="PROD17"/>
    <d v="2023-12-29T00:00:00"/>
    <s v="CUST1193"/>
    <s v="Ford, Murphy and Wilson"/>
    <x v="2"/>
    <n v="3"/>
    <x v="1171"/>
    <n v="0.3"/>
    <x v="1179"/>
  </r>
  <r>
    <x v="12"/>
    <x v="1180"/>
    <s v="PROD2"/>
    <d v="2023-11-13T00:00:00"/>
    <s v="CUST1428"/>
    <s v="Sims Inc"/>
    <x v="3"/>
    <n v="1"/>
    <x v="1172"/>
    <n v="0.09"/>
    <x v="1180"/>
  </r>
  <r>
    <x v="12"/>
    <x v="1181"/>
    <s v="PROD21"/>
    <d v="2023-12-08T00:00:00"/>
    <s v="CUST1115"/>
    <s v="Gardner-Montes"/>
    <x v="1"/>
    <n v="1"/>
    <x v="1173"/>
    <n v="0.15"/>
    <x v="1181"/>
  </r>
  <r>
    <x v="12"/>
    <x v="1182"/>
    <s v="PROD22"/>
    <d v="2025-07-19T00:00:00"/>
    <s v="CUST1124"/>
    <s v="Flores, Pineda and Rodriguez"/>
    <x v="2"/>
    <n v="2"/>
    <x v="1174"/>
    <n v="0.17"/>
    <x v="1182"/>
  </r>
  <r>
    <x v="12"/>
    <x v="1183"/>
    <s v="PROD23"/>
    <d v="2024-08-25T00:00:00"/>
    <s v="CUST1390"/>
    <s v="Moon, Mora and Santos"/>
    <x v="3"/>
    <n v="3"/>
    <x v="1175"/>
    <n v="0.25"/>
    <x v="1183"/>
  </r>
  <r>
    <x v="12"/>
    <x v="1184"/>
    <s v="PROD25"/>
    <d v="2024-04-02T00:00:00"/>
    <s v="CUST1082"/>
    <s v="Brown and Sons"/>
    <x v="3"/>
    <n v="3"/>
    <x v="1176"/>
    <n v="7.0000000000000007E-2"/>
    <x v="1184"/>
  </r>
  <r>
    <x v="12"/>
    <x v="1185"/>
    <s v="PROD26"/>
    <d v="2025-08-21T00:00:00"/>
    <s v="CUST1170"/>
    <s v="Reed-Schmidt"/>
    <x v="4"/>
    <n v="2"/>
    <x v="1177"/>
    <n v="0.11"/>
    <x v="1185"/>
  </r>
  <r>
    <x v="12"/>
    <x v="1186"/>
    <s v="PROD26"/>
    <d v="2024-01-23T00:00:00"/>
    <s v="CUST1485"/>
    <s v="Reed-Schmidt"/>
    <x v="4"/>
    <n v="2"/>
    <x v="1178"/>
    <n v="0.1"/>
    <x v="1186"/>
  </r>
  <r>
    <x v="12"/>
    <x v="1187"/>
    <s v="PROD28"/>
    <d v="2024-11-27T00:00:00"/>
    <s v="CUST1222"/>
    <s v="Burns-Hansen"/>
    <x v="2"/>
    <n v="1"/>
    <x v="1179"/>
    <n v="0.05"/>
    <x v="1187"/>
  </r>
  <r>
    <x v="12"/>
    <x v="1188"/>
    <s v="PROD29"/>
    <d v="2025-05-16T00:00:00"/>
    <s v="CUST1365"/>
    <s v="Hoffman Group"/>
    <x v="1"/>
    <n v="1"/>
    <x v="1180"/>
    <n v="0.18"/>
    <x v="1188"/>
  </r>
  <r>
    <x v="12"/>
    <x v="1189"/>
    <s v="PROD3"/>
    <d v="2024-03-20T00:00:00"/>
    <s v="CUST1198"/>
    <s v="Pineda Ltd"/>
    <x v="3"/>
    <n v="2"/>
    <x v="1181"/>
    <n v="0.23"/>
    <x v="1189"/>
  </r>
  <r>
    <x v="12"/>
    <x v="1190"/>
    <s v="PROD30"/>
    <d v="2025-09-24T00:00:00"/>
    <s v="CUST1307"/>
    <s v="Stevens, Fernandez and Martin"/>
    <x v="1"/>
    <n v="1"/>
    <x v="1182"/>
    <n v="0.24"/>
    <x v="1190"/>
  </r>
  <r>
    <x v="12"/>
    <x v="1191"/>
    <s v="PROD30"/>
    <d v="2025-07-11T00:00:00"/>
    <s v="CUST1434"/>
    <s v="Stevens, Fernandez and Martin"/>
    <x v="1"/>
    <n v="1"/>
    <x v="1183"/>
    <n v="0.28999999999999998"/>
    <x v="1191"/>
  </r>
  <r>
    <x v="12"/>
    <x v="1192"/>
    <s v="PROD31"/>
    <d v="2024-04-05T00:00:00"/>
    <s v="CUST1338"/>
    <s v="Nolan-Snow"/>
    <x v="2"/>
    <n v="3"/>
    <x v="1184"/>
    <n v="0"/>
    <x v="1192"/>
  </r>
  <r>
    <x v="12"/>
    <x v="1193"/>
    <s v="PROD35"/>
    <d v="2025-04-26T00:00:00"/>
    <s v="CUST1248"/>
    <s v="Jones LLC"/>
    <x v="1"/>
    <n v="2"/>
    <x v="1185"/>
    <n v="0.83"/>
    <x v="1193"/>
  </r>
  <r>
    <x v="12"/>
    <x v="1194"/>
    <s v="PROD38"/>
    <d v="2025-05-18T00:00:00"/>
    <s v="CUST1093"/>
    <s v="Sims-Smith"/>
    <x v="2"/>
    <n v="3"/>
    <x v="1186"/>
    <n v="0.09"/>
    <x v="1194"/>
  </r>
  <r>
    <x v="12"/>
    <x v="1195"/>
    <s v="PROD39"/>
    <d v="2025-09-29T00:00:00"/>
    <s v="CUST1486"/>
    <s v="Cummings and Sons"/>
    <x v="4"/>
    <n v="3"/>
    <x v="1187"/>
    <n v="0.23"/>
    <x v="1195"/>
  </r>
  <r>
    <x v="12"/>
    <x v="1196"/>
    <s v="PROD39"/>
    <d v="2024-04-24T00:00:00"/>
    <s v="CUST1499"/>
    <s v="Cummings and Sons"/>
    <x v="4"/>
    <n v="2"/>
    <x v="1188"/>
    <n v="0.09"/>
    <x v="1196"/>
  </r>
  <r>
    <x v="12"/>
    <x v="1197"/>
    <s v="PROD4"/>
    <d v="2025-09-19T00:00:00"/>
    <s v="CUST1047"/>
    <s v="Gonzales-Davis"/>
    <x v="3"/>
    <n v="2"/>
    <x v="1189"/>
    <n v="0.17"/>
    <x v="1197"/>
  </r>
  <r>
    <x v="12"/>
    <x v="1198"/>
    <s v="PROD40"/>
    <d v="2023-11-28T00:00:00"/>
    <s v="CUST1436"/>
    <s v="Taylor-Hart"/>
    <x v="4"/>
    <n v="4"/>
    <x v="1190"/>
    <n v="0.22"/>
    <x v="1198"/>
  </r>
  <r>
    <x v="12"/>
    <x v="1199"/>
    <s v="PROD40"/>
    <d v="2025-01-17T00:00:00"/>
    <s v="CUST1476"/>
    <s v="Taylor-Hart"/>
    <x v="4"/>
    <n v="3"/>
    <x v="1191"/>
    <n v="0.11"/>
    <x v="1199"/>
  </r>
  <r>
    <x v="12"/>
    <x v="1200"/>
    <s v="PROD42"/>
    <d v="2025-04-19T00:00:00"/>
    <s v="CUST1261"/>
    <s v="Holmes LLC"/>
    <x v="4"/>
    <n v="2"/>
    <x v="1192"/>
    <n v="0.18"/>
    <x v="1200"/>
  </r>
  <r>
    <x v="12"/>
    <x v="1201"/>
    <s v="PROD43"/>
    <d v="2023-10-23T00:00:00"/>
    <s v="CUST1187"/>
    <s v="Robinson Inc"/>
    <x v="4"/>
    <n v="3"/>
    <x v="1193"/>
    <n v="0.26"/>
    <x v="1201"/>
  </r>
  <r>
    <x v="12"/>
    <x v="1202"/>
    <s v="PROD44"/>
    <d v="2025-08-30T00:00:00"/>
    <s v="CUST1488"/>
    <s v="Cox Inc"/>
    <x v="2"/>
    <n v="1"/>
    <x v="1194"/>
    <n v="0.06"/>
    <x v="1202"/>
  </r>
  <r>
    <x v="12"/>
    <x v="1203"/>
    <s v="PROD46"/>
    <d v="2024-06-22T00:00:00"/>
    <s v="CUST1112"/>
    <s v="Kelly, Smith and Perez"/>
    <x v="3"/>
    <n v="1"/>
    <x v="1195"/>
    <n v="0.04"/>
    <x v="1203"/>
  </r>
  <r>
    <x v="12"/>
    <x v="1204"/>
    <s v="PROD46"/>
    <d v="2025-05-07T00:00:00"/>
    <s v="CUST1184"/>
    <s v="Kelly, Smith and Perez"/>
    <x v="3"/>
    <n v="2"/>
    <x v="1196"/>
    <n v="0.14000000000000001"/>
    <x v="1204"/>
  </r>
  <r>
    <x v="12"/>
    <x v="1205"/>
    <s v="PROD46"/>
    <d v="2025-02-24T00:00:00"/>
    <s v="CUST1334"/>
    <s v="Kelly, Smith and Perez"/>
    <x v="3"/>
    <n v="1"/>
    <x v="1197"/>
    <n v="0.2"/>
    <x v="1205"/>
  </r>
  <r>
    <x v="12"/>
    <x v="1206"/>
    <s v="PROD47"/>
    <d v="2025-10-13T00:00:00"/>
    <s v="CUST1167"/>
    <s v="Cook Inc"/>
    <x v="0"/>
    <n v="3"/>
    <x v="1198"/>
    <n v="0.22"/>
    <x v="1206"/>
  </r>
  <r>
    <x v="12"/>
    <x v="1207"/>
    <s v="PROD47"/>
    <d v="2024-10-29T00:00:00"/>
    <s v="CUST1332"/>
    <s v="Cook Inc"/>
    <x v="0"/>
    <n v="3"/>
    <x v="1199"/>
    <n v="0.14000000000000001"/>
    <x v="1207"/>
  </r>
  <r>
    <x v="12"/>
    <x v="1208"/>
    <s v="PROD48"/>
    <d v="2024-08-16T00:00:00"/>
    <s v="CUST1001"/>
    <s v="Byrd, Stewart and Valdez"/>
    <x v="4"/>
    <n v="1"/>
    <x v="1200"/>
    <n v="0.11"/>
    <x v="1208"/>
  </r>
  <r>
    <x v="12"/>
    <x v="1209"/>
    <s v="PROD48"/>
    <d v="2025-09-23T00:00:00"/>
    <s v="CUST1353"/>
    <s v="Byrd, Stewart and Valdez"/>
    <x v="4"/>
    <n v="4"/>
    <x v="1201"/>
    <n v="0.01"/>
    <x v="1209"/>
  </r>
  <r>
    <x v="12"/>
    <x v="1210"/>
    <s v="PROD48"/>
    <d v="2024-11-17T00:00:00"/>
    <s v="CUST1405"/>
    <s v="Byrd, Stewart and Valdez"/>
    <x v="4"/>
    <n v="1"/>
    <x v="1202"/>
    <n v="0.13"/>
    <x v="1210"/>
  </r>
  <r>
    <x v="12"/>
    <x v="1211"/>
    <s v="PROD49"/>
    <d v="2024-08-04T00:00:00"/>
    <s v="CUST1422"/>
    <s v="Sullivan and Sons"/>
    <x v="0"/>
    <n v="4"/>
    <x v="1203"/>
    <n v="0.11"/>
    <x v="1211"/>
  </r>
  <r>
    <x v="12"/>
    <x v="1212"/>
    <s v="PROD5"/>
    <d v="2024-08-16T00:00:00"/>
    <s v="CUST1070"/>
    <s v="Baldwin, Garza and Gonzalez"/>
    <x v="3"/>
    <n v="4"/>
    <x v="1204"/>
    <n v="0.17"/>
    <x v="1212"/>
  </r>
  <r>
    <x v="12"/>
    <x v="1213"/>
    <s v="PROD50"/>
    <d v="2024-07-24T00:00:00"/>
    <s v="CUST1094"/>
    <s v="Smith-King"/>
    <x v="2"/>
    <n v="1"/>
    <x v="1205"/>
    <n v="0.27"/>
    <x v="1213"/>
  </r>
  <r>
    <x v="12"/>
    <x v="1214"/>
    <s v="PROD50"/>
    <d v="2024-10-11T00:00:00"/>
    <s v="CUST1151"/>
    <s v="Smith-King"/>
    <x v="2"/>
    <n v="4"/>
    <x v="1206"/>
    <n v="0.18"/>
    <x v="1214"/>
  </r>
  <r>
    <x v="12"/>
    <x v="1215"/>
    <s v="PROD50"/>
    <d v="2024-04-07T00:00:00"/>
    <s v="CUST1304"/>
    <s v="Smith-King"/>
    <x v="2"/>
    <n v="1"/>
    <x v="1207"/>
    <n v="0.19"/>
    <x v="1215"/>
  </r>
  <r>
    <x v="12"/>
    <x v="1216"/>
    <s v="PROD53"/>
    <d v="2024-11-23T00:00:00"/>
    <s v="CUST1305"/>
    <s v="Hamilton, Woods and Walker"/>
    <x v="3"/>
    <n v="4"/>
    <x v="1208"/>
    <n v="0.22"/>
    <x v="1216"/>
  </r>
  <r>
    <x v="12"/>
    <x v="1217"/>
    <s v="PROD57"/>
    <d v="2024-10-25T00:00:00"/>
    <s v="CUST1161"/>
    <s v="Atkinson, Camacho and Oliver"/>
    <x v="2"/>
    <n v="3"/>
    <x v="1209"/>
    <n v="0.05"/>
    <x v="1217"/>
  </r>
  <r>
    <x v="12"/>
    <x v="1218"/>
    <s v="PROD59"/>
    <d v="2025-02-11T00:00:00"/>
    <s v="CUST1114"/>
    <s v="Cline-Mccarthy"/>
    <x v="0"/>
    <n v="2"/>
    <x v="1210"/>
    <n v="0"/>
    <x v="1218"/>
  </r>
  <r>
    <x v="12"/>
    <x v="1219"/>
    <s v="PROD59"/>
    <d v="2024-06-13T00:00:00"/>
    <s v="CUST1190"/>
    <s v="Cline-Mccarthy"/>
    <x v="0"/>
    <n v="2"/>
    <x v="1211"/>
    <n v="0.27"/>
    <x v="1219"/>
  </r>
  <r>
    <x v="12"/>
    <x v="1220"/>
    <s v="PROD6"/>
    <d v="2024-04-19T00:00:00"/>
    <s v="CUST1285"/>
    <s v="Davidson PLC"/>
    <x v="0"/>
    <n v="4"/>
    <x v="1212"/>
    <n v="0.06"/>
    <x v="1220"/>
  </r>
  <r>
    <x v="12"/>
    <x v="1221"/>
    <s v="PROD62"/>
    <d v="2024-10-12T00:00:00"/>
    <s v="CUST1232"/>
    <s v="Murray, Gould and Ware"/>
    <x v="4"/>
    <n v="4"/>
    <x v="1213"/>
    <n v="0.14000000000000001"/>
    <x v="1221"/>
  </r>
  <r>
    <x v="12"/>
    <x v="1222"/>
    <s v="PROD62"/>
    <d v="2023-12-01T00:00:00"/>
    <s v="CUST1449"/>
    <s v="Murray, Gould and Ware"/>
    <x v="4"/>
    <n v="1"/>
    <x v="1214"/>
    <n v="0.27"/>
    <x v="1222"/>
  </r>
  <r>
    <x v="12"/>
    <x v="1223"/>
    <s v="PROD63"/>
    <d v="2024-11-06T00:00:00"/>
    <s v="CUST1452"/>
    <s v="Anderson-Riley"/>
    <x v="0"/>
    <n v="4"/>
    <x v="1215"/>
    <n v="0.11"/>
    <x v="1223"/>
  </r>
  <r>
    <x v="12"/>
    <x v="1224"/>
    <s v="PROD64"/>
    <d v="2024-07-31T00:00:00"/>
    <s v="CUST1047"/>
    <s v="Zhang Inc"/>
    <x v="0"/>
    <n v="2"/>
    <x v="1216"/>
    <n v="0.02"/>
    <x v="1224"/>
  </r>
  <r>
    <x v="12"/>
    <x v="1225"/>
    <s v="PROD64"/>
    <d v="2023-10-24T00:00:00"/>
    <s v="CUST1117"/>
    <s v="Zhang Inc"/>
    <x v="0"/>
    <n v="4"/>
    <x v="1217"/>
    <n v="0.27"/>
    <x v="1225"/>
  </r>
  <r>
    <x v="12"/>
    <x v="1226"/>
    <s v="PROD64"/>
    <d v="2024-11-06T00:00:00"/>
    <s v="CUST1148"/>
    <s v="Zhang Inc"/>
    <x v="0"/>
    <n v="4"/>
    <x v="1218"/>
    <n v="0.16"/>
    <x v="1226"/>
  </r>
  <r>
    <x v="12"/>
    <x v="1227"/>
    <s v="PROD64"/>
    <d v="2024-06-29T00:00:00"/>
    <s v="CUST1273"/>
    <s v="Zhang Inc"/>
    <x v="0"/>
    <n v="1"/>
    <x v="1219"/>
    <n v="0.06"/>
    <x v="1227"/>
  </r>
  <r>
    <x v="12"/>
    <x v="1228"/>
    <s v="PROD64"/>
    <d v="2024-03-31T00:00:00"/>
    <s v="CUST1278"/>
    <s v="Zhang Inc"/>
    <x v="0"/>
    <n v="2"/>
    <x v="1220"/>
    <n v="0.06"/>
    <x v="1228"/>
  </r>
  <r>
    <x v="12"/>
    <x v="1229"/>
    <s v="PROD66"/>
    <d v="2024-01-22T00:00:00"/>
    <s v="CUST1428"/>
    <s v="Torres, Spencer and Potter"/>
    <x v="0"/>
    <n v="1"/>
    <x v="1221"/>
    <n v="0.11"/>
    <x v="1229"/>
  </r>
  <r>
    <x v="12"/>
    <x v="1230"/>
    <s v="PROD68"/>
    <d v="2024-07-27T00:00:00"/>
    <s v="CUST1205"/>
    <s v="Wolfe, Ross and Hester"/>
    <x v="1"/>
    <n v="3"/>
    <x v="1222"/>
    <n v="0"/>
    <x v="1230"/>
  </r>
  <r>
    <x v="12"/>
    <x v="1231"/>
    <s v="PROD68"/>
    <d v="2024-04-04T00:00:00"/>
    <s v="CUST1482"/>
    <s v="Wolfe, Ross and Hester"/>
    <x v="1"/>
    <n v="3"/>
    <x v="1223"/>
    <n v="0.22"/>
    <x v="1231"/>
  </r>
  <r>
    <x v="12"/>
    <x v="1232"/>
    <s v="PROD69"/>
    <d v="2024-03-29T00:00:00"/>
    <s v="CUST1297"/>
    <s v="Fitzpatrick Ltd"/>
    <x v="3"/>
    <n v="1"/>
    <x v="1224"/>
    <n v="0.03"/>
    <x v="1232"/>
  </r>
  <r>
    <x v="12"/>
    <x v="1233"/>
    <s v="PROD71"/>
    <d v="2025-07-11T00:00:00"/>
    <s v="CUST1039"/>
    <s v="Hopkins Ltd"/>
    <x v="0"/>
    <n v="3"/>
    <x v="1225"/>
    <n v="0.09"/>
    <x v="1233"/>
  </r>
  <r>
    <x v="12"/>
    <x v="1234"/>
    <s v="PROD72"/>
    <d v="2024-06-19T00:00:00"/>
    <s v="CUST1223"/>
    <s v="Davis PLC"/>
    <x v="2"/>
    <n v="3"/>
    <x v="1226"/>
    <n v="0.03"/>
    <x v="1234"/>
  </r>
  <r>
    <x v="12"/>
    <x v="1235"/>
    <s v="PROD72"/>
    <d v="2025-05-16T00:00:00"/>
    <s v="CUST1255"/>
    <s v="Davis PLC"/>
    <x v="2"/>
    <n v="2"/>
    <x v="1227"/>
    <n v="0.11"/>
    <x v="1235"/>
  </r>
  <r>
    <x v="12"/>
    <x v="1236"/>
    <s v="PROD73"/>
    <d v="2025-07-18T00:00:00"/>
    <s v="CUST1360"/>
    <s v="French Ltd"/>
    <x v="2"/>
    <n v="2"/>
    <x v="1228"/>
    <n v="0.3"/>
    <x v="1236"/>
  </r>
  <r>
    <x v="12"/>
    <x v="1237"/>
    <s v="PROD75"/>
    <d v="2023-10-18T00:00:00"/>
    <s v="CUST1198"/>
    <s v="Poole PLC"/>
    <x v="3"/>
    <n v="2"/>
    <x v="1229"/>
    <n v="0.26"/>
    <x v="1237"/>
  </r>
  <r>
    <x v="12"/>
    <x v="1238"/>
    <s v="PROD76"/>
    <d v="2025-01-26T00:00:00"/>
    <s v="CUST1049"/>
    <s v="Larson Ltd"/>
    <x v="4"/>
    <n v="4"/>
    <x v="1230"/>
    <n v="0.14000000000000001"/>
    <x v="1238"/>
  </r>
  <r>
    <x v="12"/>
    <x v="1239"/>
    <s v="PROD76"/>
    <d v="2025-03-26T00:00:00"/>
    <s v="CUST1466"/>
    <s v="Larson Ltd"/>
    <x v="4"/>
    <n v="4"/>
    <x v="1231"/>
    <n v="0.08"/>
    <x v="1239"/>
  </r>
  <r>
    <x v="12"/>
    <x v="1240"/>
    <s v="PROD77"/>
    <d v="2024-08-14T00:00:00"/>
    <s v="CUST1022"/>
    <s v="White, Reeves and Woods"/>
    <x v="4"/>
    <n v="2"/>
    <x v="1232"/>
    <n v="0"/>
    <x v="1240"/>
  </r>
  <r>
    <x v="12"/>
    <x v="1241"/>
    <s v="PROD77"/>
    <d v="2023-10-14T00:00:00"/>
    <s v="CUST1269"/>
    <s v="White, Reeves and Woods"/>
    <x v="4"/>
    <n v="4"/>
    <x v="1233"/>
    <n v="0.18"/>
    <x v="1241"/>
  </r>
  <r>
    <x v="12"/>
    <x v="1242"/>
    <s v="PROD78"/>
    <d v="2024-01-23T00:00:00"/>
    <s v="CUST1307"/>
    <s v="Hernandez Inc"/>
    <x v="1"/>
    <n v="1"/>
    <x v="1234"/>
    <n v="0.03"/>
    <x v="1242"/>
  </r>
  <r>
    <x v="12"/>
    <x v="1243"/>
    <s v="PROD79"/>
    <d v="2024-11-18T00:00:00"/>
    <s v="CUST1135"/>
    <s v="Ramirez-Hanson"/>
    <x v="1"/>
    <n v="3"/>
    <x v="1235"/>
    <n v="0.05"/>
    <x v="1243"/>
  </r>
  <r>
    <x v="12"/>
    <x v="1244"/>
    <s v="PROD79"/>
    <d v="2023-12-03T00:00:00"/>
    <s v="CUST1222"/>
    <s v="Ramirez-Hanson"/>
    <x v="1"/>
    <n v="1"/>
    <x v="1236"/>
    <n v="0.3"/>
    <x v="1244"/>
  </r>
  <r>
    <x v="12"/>
    <x v="1245"/>
    <s v="PROD80"/>
    <d v="2025-01-22T00:00:00"/>
    <s v="CUST1126"/>
    <s v="Allison Ltd"/>
    <x v="1"/>
    <n v="4"/>
    <x v="1237"/>
    <n v="0.09"/>
    <x v="1245"/>
  </r>
  <r>
    <x v="12"/>
    <x v="1246"/>
    <s v="PROD80"/>
    <d v="2023-11-25T00:00:00"/>
    <s v="CUST1128"/>
    <s v="Allison Ltd"/>
    <x v="1"/>
    <n v="2"/>
    <x v="1238"/>
    <n v="0.14000000000000001"/>
    <x v="1246"/>
  </r>
  <r>
    <x v="12"/>
    <x v="1247"/>
    <s v="PROD80"/>
    <d v="2025-09-21T00:00:00"/>
    <s v="CUST1384"/>
    <s v="Allison Ltd"/>
    <x v="1"/>
    <n v="4"/>
    <x v="1239"/>
    <n v="0.06"/>
    <x v="1247"/>
  </r>
  <r>
    <x v="12"/>
    <x v="1248"/>
    <s v="PROD87"/>
    <d v="2025-05-14T00:00:00"/>
    <s v="CUST1466"/>
    <s v="Aguilar, Horton and Lewis"/>
    <x v="1"/>
    <n v="2"/>
    <x v="1240"/>
    <n v="0.18"/>
    <x v="1248"/>
  </r>
  <r>
    <x v="12"/>
    <x v="1249"/>
    <s v="PROD88"/>
    <d v="2024-03-09T00:00:00"/>
    <s v="CUST1007"/>
    <s v="Olsen-Daniels"/>
    <x v="2"/>
    <n v="2"/>
    <x v="1241"/>
    <n v="0.27"/>
    <x v="1249"/>
  </r>
  <r>
    <x v="12"/>
    <x v="1250"/>
    <s v="PROD88"/>
    <d v="2024-09-25T00:00:00"/>
    <s v="CUST1056"/>
    <s v="Olsen-Daniels"/>
    <x v="2"/>
    <n v="2"/>
    <x v="1242"/>
    <n v="0.28999999999999998"/>
    <x v="1250"/>
  </r>
  <r>
    <x v="12"/>
    <x v="1251"/>
    <s v="PROD88"/>
    <d v="2025-01-20T00:00:00"/>
    <s v="CUST1278"/>
    <s v="Olsen-Daniels"/>
    <x v="2"/>
    <n v="3"/>
    <x v="1243"/>
    <n v="0.12"/>
    <x v="1251"/>
  </r>
  <r>
    <x v="12"/>
    <x v="1252"/>
    <s v="PROD89"/>
    <d v="2025-04-25T00:00:00"/>
    <s v="CUST1042"/>
    <s v="Taylor-Elliott"/>
    <x v="0"/>
    <n v="3"/>
    <x v="1244"/>
    <n v="0.16"/>
    <x v="1252"/>
  </r>
  <r>
    <x v="12"/>
    <x v="1253"/>
    <s v="PROD89"/>
    <d v="2023-10-16T00:00:00"/>
    <s v="CUST1225"/>
    <s v="Taylor-Elliott"/>
    <x v="0"/>
    <n v="4"/>
    <x v="1245"/>
    <n v="0.24"/>
    <x v="1253"/>
  </r>
  <r>
    <x v="12"/>
    <x v="1254"/>
    <s v="PROD9"/>
    <d v="2025-05-29T00:00:00"/>
    <s v="CUST1339"/>
    <s v="Hill PLC"/>
    <x v="2"/>
    <n v="2"/>
    <x v="1246"/>
    <n v="0.18"/>
    <x v="1254"/>
  </r>
  <r>
    <x v="12"/>
    <x v="1255"/>
    <s v="PROD9"/>
    <d v="2024-02-16T00:00:00"/>
    <s v="CUST1491"/>
    <s v="Hill PLC"/>
    <x v="2"/>
    <n v="1"/>
    <x v="1247"/>
    <n v="0.12"/>
    <x v="1255"/>
  </r>
  <r>
    <x v="12"/>
    <x v="1256"/>
    <s v="PROD96"/>
    <d v="2025-08-11T00:00:00"/>
    <s v="CUST1009"/>
    <s v="Phillips and Sons"/>
    <x v="3"/>
    <n v="2"/>
    <x v="1248"/>
    <n v="0.14000000000000001"/>
    <x v="1256"/>
  </r>
  <r>
    <x v="12"/>
    <x v="1257"/>
    <s v="PROD96"/>
    <d v="2025-09-19T00:00:00"/>
    <s v="CUST1097"/>
    <s v="Phillips and Sons"/>
    <x v="3"/>
    <n v="3"/>
    <x v="1249"/>
    <n v="7.0000000000000007E-2"/>
    <x v="1257"/>
  </r>
  <r>
    <x v="12"/>
    <x v="1258"/>
    <s v="PROD96"/>
    <d v="2025-09-30T00:00:00"/>
    <s v="CUST1400"/>
    <s v="Phillips and Sons"/>
    <x v="3"/>
    <n v="4"/>
    <x v="1250"/>
    <n v="0.3"/>
    <x v="1258"/>
  </r>
  <r>
    <x v="12"/>
    <x v="1259"/>
    <s v="PROD98"/>
    <d v="2025-03-15T00:00:00"/>
    <s v="CUST1453"/>
    <s v="Flores-King"/>
    <x v="4"/>
    <n v="1"/>
    <x v="1251"/>
    <n v="0.19"/>
    <x v="1259"/>
  </r>
  <r>
    <x v="12"/>
    <x v="1260"/>
    <s v="PROD99"/>
    <d v="2024-09-25T00:00:00"/>
    <s v="CUST1008"/>
    <s v="Campbell Ltd"/>
    <x v="1"/>
    <n v="1"/>
    <x v="1252"/>
    <n v="0.01"/>
    <x v="1260"/>
  </r>
  <r>
    <x v="12"/>
    <x v="1261"/>
    <s v="PROD99"/>
    <d v="2023-11-14T00:00:00"/>
    <s v="CUST1050"/>
    <s v="Campbell Ltd"/>
    <x v="1"/>
    <n v="1"/>
    <x v="1253"/>
    <n v="0.04"/>
    <x v="1261"/>
  </r>
  <r>
    <x v="12"/>
    <x v="1262"/>
    <s v="PROD99"/>
    <d v="2025-04-18T00:00:00"/>
    <s v="CUST1199"/>
    <s v="Campbell Ltd"/>
    <x v="1"/>
    <n v="1"/>
    <x v="1254"/>
    <n v="0.23"/>
    <x v="1262"/>
  </r>
  <r>
    <x v="13"/>
    <x v="1263"/>
    <s v="PROD0"/>
    <d v="2024-10-31T00:00:00"/>
    <s v="CUST1071"/>
    <s v="Hunt Inc"/>
    <x v="4"/>
    <n v="2"/>
    <x v="1255"/>
    <n v="0.21"/>
    <x v="1263"/>
  </r>
  <r>
    <x v="13"/>
    <x v="1264"/>
    <s v="PROD0"/>
    <d v="2024-03-28T00:00:00"/>
    <s v="CUST1149"/>
    <s v="Hunt Inc"/>
    <x v="4"/>
    <n v="1"/>
    <x v="1256"/>
    <n v="0.27"/>
    <x v="1264"/>
  </r>
  <r>
    <x v="13"/>
    <x v="1265"/>
    <s v="PROD1"/>
    <d v="2024-03-23T00:00:00"/>
    <s v="CUST1213"/>
    <s v="Terry-Moore"/>
    <x v="3"/>
    <n v="1"/>
    <x v="1257"/>
    <n v="0.18"/>
    <x v="1265"/>
  </r>
  <r>
    <x v="13"/>
    <x v="1266"/>
    <s v="PROD1"/>
    <d v="2025-05-20T00:00:00"/>
    <s v="CUST1352"/>
    <s v="Terry-Moore"/>
    <x v="3"/>
    <n v="2"/>
    <x v="1258"/>
    <n v="0.26"/>
    <x v="1266"/>
  </r>
  <r>
    <x v="13"/>
    <x v="1267"/>
    <s v="PROD10"/>
    <d v="2025-08-04T00:00:00"/>
    <s v="CUST1067"/>
    <s v="Hamilton Group"/>
    <x v="1"/>
    <n v="3"/>
    <x v="1259"/>
    <n v="0.11"/>
    <x v="1267"/>
  </r>
  <r>
    <x v="13"/>
    <x v="1268"/>
    <s v="PROD11"/>
    <d v="2024-01-17T00:00:00"/>
    <s v="CUST1053"/>
    <s v="Gibson, Hobbs and Weaver"/>
    <x v="4"/>
    <n v="1"/>
    <x v="1260"/>
    <n v="0.1"/>
    <x v="1268"/>
  </r>
  <r>
    <x v="13"/>
    <x v="1269"/>
    <s v="PROD11"/>
    <d v="2024-03-22T00:00:00"/>
    <s v="CUST1142"/>
    <s v="Gibson, Hobbs and Weaver"/>
    <x v="4"/>
    <n v="3"/>
    <x v="1261"/>
    <n v="0.23"/>
    <x v="1269"/>
  </r>
  <r>
    <x v="13"/>
    <x v="1270"/>
    <s v="PROD13"/>
    <d v="2024-09-20T00:00:00"/>
    <s v="CUST1007"/>
    <s v="Dawson-Perkins"/>
    <x v="4"/>
    <n v="3"/>
    <x v="1262"/>
    <n v="0.15"/>
    <x v="1270"/>
  </r>
  <r>
    <x v="13"/>
    <x v="1271"/>
    <s v="PROD13"/>
    <d v="2024-12-07T00:00:00"/>
    <s v="CUST1014"/>
    <s v="Dawson-Perkins"/>
    <x v="4"/>
    <n v="3"/>
    <x v="1263"/>
    <n v="0.27"/>
    <x v="1271"/>
  </r>
  <r>
    <x v="13"/>
    <x v="1272"/>
    <s v="PROD13"/>
    <d v="2025-05-30T00:00:00"/>
    <s v="CUST1069"/>
    <s v="Dawson-Perkins"/>
    <x v="4"/>
    <n v="2"/>
    <x v="1264"/>
    <n v="0.14000000000000001"/>
    <x v="1272"/>
  </r>
  <r>
    <x v="13"/>
    <x v="1273"/>
    <s v="PROD14"/>
    <d v="2025-04-30T00:00:00"/>
    <s v="CUST1087"/>
    <s v="Luna, Anderson and Bowman"/>
    <x v="1"/>
    <n v="2"/>
    <x v="1265"/>
    <n v="0.2"/>
    <x v="1273"/>
  </r>
  <r>
    <x v="13"/>
    <x v="1274"/>
    <s v="PROD15"/>
    <d v="2025-07-04T00:00:00"/>
    <s v="CUST1141"/>
    <s v="Thomas LLC"/>
    <x v="4"/>
    <n v="4"/>
    <x v="1266"/>
    <n v="0.02"/>
    <x v="1274"/>
  </r>
  <r>
    <x v="13"/>
    <x v="1275"/>
    <s v="PROD15"/>
    <d v="2023-10-29T00:00:00"/>
    <s v="CUST1383"/>
    <s v="Thomas LLC"/>
    <x v="4"/>
    <n v="4"/>
    <x v="1267"/>
    <n v="0.27"/>
    <x v="1275"/>
  </r>
  <r>
    <x v="13"/>
    <x v="1276"/>
    <s v="PROD16"/>
    <d v="2025-08-09T00:00:00"/>
    <s v="CUST1218"/>
    <s v="Erickson-Green"/>
    <x v="0"/>
    <n v="4"/>
    <x v="1268"/>
    <n v="0.19"/>
    <x v="1276"/>
  </r>
  <r>
    <x v="13"/>
    <x v="1277"/>
    <s v="PROD17"/>
    <d v="2024-07-22T00:00:00"/>
    <s v="CUST1343"/>
    <s v="Ford, Murphy and Wilson"/>
    <x v="2"/>
    <n v="1"/>
    <x v="1269"/>
    <n v="0.17"/>
    <x v="1277"/>
  </r>
  <r>
    <x v="13"/>
    <x v="1278"/>
    <s v="PROD18"/>
    <d v="2024-01-21T00:00:00"/>
    <s v="CUST1044"/>
    <s v="Guerra-Hendrix"/>
    <x v="3"/>
    <n v="2"/>
    <x v="1270"/>
    <n v="0.18"/>
    <x v="1278"/>
  </r>
  <r>
    <x v="13"/>
    <x v="1279"/>
    <s v="PROD18"/>
    <d v="2024-09-24T00:00:00"/>
    <s v="CUST1047"/>
    <s v="Guerra-Hendrix"/>
    <x v="3"/>
    <n v="2"/>
    <x v="1271"/>
    <n v="0.15"/>
    <x v="1279"/>
  </r>
  <r>
    <x v="13"/>
    <x v="1280"/>
    <s v="PROD19"/>
    <d v="2025-01-04T00:00:00"/>
    <s v="CUST1195"/>
    <s v="May-Reese"/>
    <x v="2"/>
    <n v="1"/>
    <x v="1272"/>
    <n v="0.15"/>
    <x v="1280"/>
  </r>
  <r>
    <x v="13"/>
    <x v="1281"/>
    <s v="PROD2"/>
    <d v="2024-05-14T00:00:00"/>
    <s v="CUST1124"/>
    <s v="Sims Inc"/>
    <x v="3"/>
    <n v="4"/>
    <x v="1273"/>
    <n v="0.2"/>
    <x v="1281"/>
  </r>
  <r>
    <x v="13"/>
    <x v="1282"/>
    <s v="PROD20"/>
    <d v="2024-09-10T00:00:00"/>
    <s v="CUST1303"/>
    <s v="Soto-Ellis"/>
    <x v="2"/>
    <n v="3"/>
    <x v="1274"/>
    <n v="0.28000000000000003"/>
    <x v="1282"/>
  </r>
  <r>
    <x v="13"/>
    <x v="1283"/>
    <s v="PROD20"/>
    <d v="2024-04-20T00:00:00"/>
    <s v="CUST1497"/>
    <s v="Soto-Ellis"/>
    <x v="2"/>
    <n v="4"/>
    <x v="1275"/>
    <n v="0.27"/>
    <x v="1283"/>
  </r>
  <r>
    <x v="13"/>
    <x v="1284"/>
    <s v="PROD23"/>
    <d v="2025-02-05T00:00:00"/>
    <s v="CUST1033"/>
    <s v="Moon, Mora and Santos"/>
    <x v="3"/>
    <n v="3"/>
    <x v="1276"/>
    <n v="0.17"/>
    <x v="1284"/>
  </r>
  <r>
    <x v="13"/>
    <x v="1285"/>
    <s v="PROD24"/>
    <d v="2025-03-29T00:00:00"/>
    <s v="CUST1405"/>
    <s v="Cook Ltd"/>
    <x v="2"/>
    <n v="1"/>
    <x v="1277"/>
    <n v="0.3"/>
    <x v="1285"/>
  </r>
  <r>
    <x v="13"/>
    <x v="1286"/>
    <s v="PROD25"/>
    <d v="2024-09-13T00:00:00"/>
    <s v="CUST1459"/>
    <s v="Brown and Sons"/>
    <x v="3"/>
    <n v="3"/>
    <x v="1278"/>
    <n v="0.02"/>
    <x v="1286"/>
  </r>
  <r>
    <x v="13"/>
    <x v="1287"/>
    <s v="PROD27"/>
    <d v="2025-05-28T00:00:00"/>
    <s v="CUST1190"/>
    <s v="Khan, Jones and Paul"/>
    <x v="1"/>
    <n v="3"/>
    <x v="1279"/>
    <n v="0.18"/>
    <x v="1287"/>
  </r>
  <r>
    <x v="13"/>
    <x v="1288"/>
    <s v="PROD27"/>
    <d v="2025-01-28T00:00:00"/>
    <s v="CUST1392"/>
    <s v="Khan, Jones and Paul"/>
    <x v="1"/>
    <n v="3"/>
    <x v="1280"/>
    <n v="0.17"/>
    <x v="1288"/>
  </r>
  <r>
    <x v="13"/>
    <x v="1289"/>
    <s v="PROD28"/>
    <d v="2024-09-13T00:00:00"/>
    <s v="CUST1046"/>
    <s v="Burns-Hansen"/>
    <x v="2"/>
    <n v="4"/>
    <x v="1281"/>
    <n v="0.28000000000000003"/>
    <x v="1289"/>
  </r>
  <r>
    <x v="13"/>
    <x v="1290"/>
    <s v="PROD3"/>
    <d v="2023-10-24T00:00:00"/>
    <s v="CUST1011"/>
    <s v="Pineda Ltd"/>
    <x v="3"/>
    <n v="3"/>
    <x v="1282"/>
    <n v="0.01"/>
    <x v="1290"/>
  </r>
  <r>
    <x v="13"/>
    <x v="1291"/>
    <s v="PROD3"/>
    <d v="2024-10-22T00:00:00"/>
    <s v="CUST1287"/>
    <s v="Pineda Ltd"/>
    <x v="3"/>
    <n v="3"/>
    <x v="1283"/>
    <n v="0.26"/>
    <x v="1291"/>
  </r>
  <r>
    <x v="13"/>
    <x v="1292"/>
    <s v="PROD30"/>
    <d v="2025-08-06T00:00:00"/>
    <s v="CUST1041"/>
    <s v="Stevens, Fernandez and Martin"/>
    <x v="1"/>
    <n v="2"/>
    <x v="1284"/>
    <n v="0.26"/>
    <x v="1292"/>
  </r>
  <r>
    <x v="13"/>
    <x v="1293"/>
    <s v="PROD31"/>
    <d v="2025-03-18T00:00:00"/>
    <s v="CUST1104"/>
    <s v="Nolan-Snow"/>
    <x v="2"/>
    <n v="1"/>
    <x v="1285"/>
    <n v="0.18"/>
    <x v="1293"/>
  </r>
  <r>
    <x v="13"/>
    <x v="1294"/>
    <s v="PROD32"/>
    <d v="2024-11-18T00:00:00"/>
    <s v="CUST1093"/>
    <s v="Griffin Ltd"/>
    <x v="0"/>
    <n v="2"/>
    <x v="1286"/>
    <n v="0.24"/>
    <x v="1294"/>
  </r>
  <r>
    <x v="13"/>
    <x v="1295"/>
    <s v="PROD33"/>
    <d v="2023-11-10T00:00:00"/>
    <s v="CUST1113"/>
    <s v="Weiss-Watson"/>
    <x v="1"/>
    <n v="4"/>
    <x v="1287"/>
    <n v="0.02"/>
    <x v="1295"/>
  </r>
  <r>
    <x v="13"/>
    <x v="1296"/>
    <s v="PROD34"/>
    <d v="2025-05-01T00:00:00"/>
    <s v="CUST1248"/>
    <s v="Lucero LLC"/>
    <x v="4"/>
    <n v="3"/>
    <x v="1288"/>
    <n v="0.04"/>
    <x v="1296"/>
  </r>
  <r>
    <x v="13"/>
    <x v="1297"/>
    <s v="PROD37"/>
    <d v="2025-04-17T00:00:00"/>
    <s v="CUST1013"/>
    <s v="Hogan-Lee"/>
    <x v="3"/>
    <n v="3"/>
    <x v="1289"/>
    <n v="0.06"/>
    <x v="1297"/>
  </r>
  <r>
    <x v="13"/>
    <x v="1298"/>
    <s v="PROD38"/>
    <d v="2024-10-27T00:00:00"/>
    <s v="CUST1342"/>
    <s v="Sims-Smith"/>
    <x v="2"/>
    <n v="4"/>
    <x v="1290"/>
    <n v="0.05"/>
    <x v="1298"/>
  </r>
  <r>
    <x v="13"/>
    <x v="1299"/>
    <s v="PROD39"/>
    <d v="2023-11-09T00:00:00"/>
    <s v="CUST1380"/>
    <s v="Cummings and Sons"/>
    <x v="4"/>
    <n v="3"/>
    <x v="1291"/>
    <n v="0.17"/>
    <x v="1299"/>
  </r>
  <r>
    <x v="13"/>
    <x v="1300"/>
    <s v="PROD4"/>
    <d v="2023-10-31T00:00:00"/>
    <s v="CUST1220"/>
    <s v="Gonzales-Davis"/>
    <x v="3"/>
    <n v="1"/>
    <x v="1292"/>
    <n v="0.27"/>
    <x v="1300"/>
  </r>
  <r>
    <x v="13"/>
    <x v="1301"/>
    <s v="PROD4"/>
    <d v="2024-04-03T00:00:00"/>
    <s v="CUST1331"/>
    <s v="Gonzales-Davis"/>
    <x v="3"/>
    <n v="3"/>
    <x v="1293"/>
    <n v="0.04"/>
    <x v="1301"/>
  </r>
  <r>
    <x v="13"/>
    <x v="1302"/>
    <s v="PROD4"/>
    <d v="2024-04-29T00:00:00"/>
    <s v="CUST1382"/>
    <s v="Gonzales-Davis"/>
    <x v="3"/>
    <n v="3"/>
    <x v="1294"/>
    <n v="0.04"/>
    <x v="1302"/>
  </r>
  <r>
    <x v="13"/>
    <x v="1303"/>
    <s v="PROD41"/>
    <d v="2025-03-09T00:00:00"/>
    <s v="CUST1016"/>
    <s v="Carroll, Long and Mendoza"/>
    <x v="2"/>
    <n v="3"/>
    <x v="1295"/>
    <n v="0.28000000000000003"/>
    <x v="1303"/>
  </r>
  <r>
    <x v="13"/>
    <x v="1304"/>
    <s v="PROD41"/>
    <d v="2024-03-04T00:00:00"/>
    <s v="CUST1364"/>
    <s v="Carroll, Long and Mendoza"/>
    <x v="2"/>
    <n v="3"/>
    <x v="1296"/>
    <n v="0.28999999999999998"/>
    <x v="1304"/>
  </r>
  <r>
    <x v="13"/>
    <x v="1305"/>
    <s v="PROD42"/>
    <d v="2023-11-04T00:00:00"/>
    <s v="CUST1197"/>
    <s v="Holmes LLC"/>
    <x v="4"/>
    <n v="3"/>
    <x v="1297"/>
    <n v="0.03"/>
    <x v="1305"/>
  </r>
  <r>
    <x v="13"/>
    <x v="1306"/>
    <s v="PROD43"/>
    <d v="2024-03-22T00:00:00"/>
    <s v="CUST1067"/>
    <s v="Robinson Inc"/>
    <x v="4"/>
    <n v="2"/>
    <x v="1298"/>
    <n v="0.25"/>
    <x v="1306"/>
  </r>
  <r>
    <x v="13"/>
    <x v="1307"/>
    <s v="PROD44"/>
    <d v="2024-03-26T00:00:00"/>
    <s v="CUST1101"/>
    <s v="Cox Inc"/>
    <x v="2"/>
    <n v="4"/>
    <x v="1299"/>
    <n v="0.13"/>
    <x v="1307"/>
  </r>
  <r>
    <x v="13"/>
    <x v="1308"/>
    <s v="PROD44"/>
    <d v="2025-02-14T00:00:00"/>
    <s v="CUST1418"/>
    <s v="Cox Inc"/>
    <x v="2"/>
    <n v="1"/>
    <x v="1300"/>
    <n v="0.09"/>
    <x v="1308"/>
  </r>
  <r>
    <x v="13"/>
    <x v="1309"/>
    <s v="PROD46"/>
    <d v="2024-10-29T00:00:00"/>
    <s v="CUST1033"/>
    <s v="Kelly, Smith and Perez"/>
    <x v="3"/>
    <n v="1"/>
    <x v="1301"/>
    <n v="0.01"/>
    <x v="1309"/>
  </r>
  <r>
    <x v="13"/>
    <x v="1310"/>
    <s v="PROD46"/>
    <d v="2025-01-16T00:00:00"/>
    <s v="CUST1056"/>
    <s v="Kelly, Smith and Perez"/>
    <x v="3"/>
    <n v="4"/>
    <x v="1302"/>
    <n v="0.14000000000000001"/>
    <x v="1310"/>
  </r>
  <r>
    <x v="13"/>
    <x v="1311"/>
    <s v="PROD46"/>
    <d v="2024-04-29T00:00:00"/>
    <s v="CUST1091"/>
    <s v="Kelly, Smith and Perez"/>
    <x v="3"/>
    <n v="1"/>
    <x v="1303"/>
    <n v="0.1"/>
    <x v="1311"/>
  </r>
  <r>
    <x v="13"/>
    <x v="1312"/>
    <s v="PROD47"/>
    <d v="2023-12-26T00:00:00"/>
    <s v="CUST1160"/>
    <s v="Cook Inc"/>
    <x v="0"/>
    <n v="1"/>
    <x v="1304"/>
    <n v="0.22"/>
    <x v="1312"/>
  </r>
  <r>
    <x v="13"/>
    <x v="1313"/>
    <s v="PROD5"/>
    <d v="2024-09-17T00:00:00"/>
    <s v="CUST1381"/>
    <s v="Baldwin, Garza and Gonzalez"/>
    <x v="3"/>
    <n v="4"/>
    <x v="1305"/>
    <n v="0.14000000000000001"/>
    <x v="1313"/>
  </r>
  <r>
    <x v="13"/>
    <x v="1314"/>
    <s v="PROD50"/>
    <d v="2025-03-22T00:00:00"/>
    <s v="CUST1361"/>
    <s v="Smith-King"/>
    <x v="2"/>
    <n v="3"/>
    <x v="1306"/>
    <n v="0.26"/>
    <x v="1314"/>
  </r>
  <r>
    <x v="13"/>
    <x v="1315"/>
    <s v="PROD50"/>
    <d v="2024-07-16T00:00:00"/>
    <s v="CUST1372"/>
    <s v="Smith-King"/>
    <x v="2"/>
    <n v="2"/>
    <x v="1307"/>
    <n v="0.13"/>
    <x v="1315"/>
  </r>
  <r>
    <x v="13"/>
    <x v="1316"/>
    <s v="PROD52"/>
    <d v="2024-06-13T00:00:00"/>
    <s v="CUST1241"/>
    <s v="Harris Inc"/>
    <x v="2"/>
    <n v="4"/>
    <x v="1308"/>
    <n v="0.11"/>
    <x v="1316"/>
  </r>
  <r>
    <x v="13"/>
    <x v="1317"/>
    <s v="PROD54"/>
    <d v="2024-04-23T00:00:00"/>
    <s v="CUST1194"/>
    <s v="Thompson-French"/>
    <x v="2"/>
    <n v="3"/>
    <x v="1309"/>
    <n v="0.12"/>
    <x v="1317"/>
  </r>
  <r>
    <x v="13"/>
    <x v="1318"/>
    <s v="PROD54"/>
    <d v="2024-07-06T00:00:00"/>
    <s v="CUST1325"/>
    <s v="Thompson-French"/>
    <x v="2"/>
    <n v="3"/>
    <x v="1310"/>
    <n v="0.24"/>
    <x v="1318"/>
  </r>
  <r>
    <x v="13"/>
    <x v="1319"/>
    <s v="PROD54"/>
    <d v="2025-05-11T00:00:00"/>
    <s v="CUST1444"/>
    <s v="Thompson-French"/>
    <x v="2"/>
    <n v="3"/>
    <x v="1311"/>
    <n v="0.05"/>
    <x v="1319"/>
  </r>
  <r>
    <x v="13"/>
    <x v="1320"/>
    <s v="PROD54"/>
    <d v="2025-10-06T00:00:00"/>
    <s v="CUST1471"/>
    <s v="Thompson-French"/>
    <x v="2"/>
    <n v="3"/>
    <x v="1312"/>
    <n v="0.11"/>
    <x v="1320"/>
  </r>
  <r>
    <x v="13"/>
    <x v="1321"/>
    <s v="PROD56"/>
    <d v="2023-12-21T00:00:00"/>
    <s v="CUST1219"/>
    <s v="Hernandez, Kennedy and Porter"/>
    <x v="1"/>
    <n v="3"/>
    <x v="1313"/>
    <n v="0.19"/>
    <x v="1321"/>
  </r>
  <r>
    <x v="13"/>
    <x v="1322"/>
    <s v="PROD56"/>
    <d v="2024-09-18T00:00:00"/>
    <s v="CUST1269"/>
    <s v="Hernandez, Kennedy and Porter"/>
    <x v="1"/>
    <n v="1"/>
    <x v="1314"/>
    <n v="0.06"/>
    <x v="1322"/>
  </r>
  <r>
    <x v="13"/>
    <x v="1323"/>
    <s v="PROD57"/>
    <d v="2025-03-26T00:00:00"/>
    <s v="CUST1089"/>
    <s v="Atkinson, Camacho and Oliver"/>
    <x v="2"/>
    <n v="4"/>
    <x v="1315"/>
    <n v="0.19"/>
    <x v="1323"/>
  </r>
  <r>
    <x v="13"/>
    <x v="1324"/>
    <s v="PROD57"/>
    <d v="2025-02-08T00:00:00"/>
    <s v="CUST1105"/>
    <s v="Atkinson, Camacho and Oliver"/>
    <x v="2"/>
    <n v="1"/>
    <x v="1316"/>
    <n v="0.28000000000000003"/>
    <x v="1324"/>
  </r>
  <r>
    <x v="13"/>
    <x v="1325"/>
    <s v="PROD57"/>
    <d v="2025-04-22T00:00:00"/>
    <s v="CUST1351"/>
    <s v="Atkinson, Camacho and Oliver"/>
    <x v="2"/>
    <n v="2"/>
    <x v="1317"/>
    <n v="0.28000000000000003"/>
    <x v="1325"/>
  </r>
  <r>
    <x v="13"/>
    <x v="1326"/>
    <s v="PROD58"/>
    <d v="2024-02-25T00:00:00"/>
    <s v="CUST1209"/>
    <s v="Shepherd-Gould"/>
    <x v="3"/>
    <n v="2"/>
    <x v="1318"/>
    <n v="0.15"/>
    <x v="1326"/>
  </r>
  <r>
    <x v="13"/>
    <x v="1327"/>
    <s v="PROD58"/>
    <d v="2024-12-07T00:00:00"/>
    <s v="CUST1350"/>
    <s v="Shepherd-Gould"/>
    <x v="3"/>
    <n v="4"/>
    <x v="1319"/>
    <n v="0.16"/>
    <x v="1327"/>
  </r>
  <r>
    <x v="13"/>
    <x v="1328"/>
    <s v="PROD59"/>
    <d v="2025-06-11T00:00:00"/>
    <s v="CUST1223"/>
    <s v="Cline-Mccarthy"/>
    <x v="0"/>
    <n v="1"/>
    <x v="1320"/>
    <n v="0.14000000000000001"/>
    <x v="1328"/>
  </r>
  <r>
    <x v="13"/>
    <x v="1329"/>
    <s v="PROD6"/>
    <d v="2023-12-12T00:00:00"/>
    <s v="CUST1175"/>
    <s v="Davidson PLC"/>
    <x v="0"/>
    <n v="2"/>
    <x v="1321"/>
    <n v="0.04"/>
    <x v="1329"/>
  </r>
  <r>
    <x v="13"/>
    <x v="1330"/>
    <s v="PROD61"/>
    <d v="2025-01-09T00:00:00"/>
    <s v="CUST1266"/>
    <s v="Lopez LLC"/>
    <x v="2"/>
    <n v="4"/>
    <x v="1322"/>
    <n v="0.22"/>
    <x v="1330"/>
  </r>
  <r>
    <x v="13"/>
    <x v="1331"/>
    <s v="PROD63"/>
    <d v="2024-01-10T00:00:00"/>
    <s v="CUST1163"/>
    <s v="Anderson-Riley"/>
    <x v="0"/>
    <n v="3"/>
    <x v="1323"/>
    <n v="0.01"/>
    <x v="1331"/>
  </r>
  <r>
    <x v="13"/>
    <x v="1332"/>
    <s v="PROD63"/>
    <d v="2025-06-03T00:00:00"/>
    <s v="CUST1225"/>
    <s v="Anderson-Riley"/>
    <x v="0"/>
    <n v="2"/>
    <x v="1324"/>
    <n v="0.16"/>
    <x v="1332"/>
  </r>
  <r>
    <x v="13"/>
    <x v="1333"/>
    <s v="PROD63"/>
    <d v="2024-03-03T00:00:00"/>
    <s v="CUST1428"/>
    <s v="Anderson-Riley"/>
    <x v="0"/>
    <n v="3"/>
    <x v="1325"/>
    <n v="0.09"/>
    <x v="1333"/>
  </r>
  <r>
    <x v="13"/>
    <x v="1334"/>
    <s v="PROD64"/>
    <d v="2024-02-10T00:00:00"/>
    <s v="CUST1440"/>
    <s v="Zhang Inc"/>
    <x v="0"/>
    <n v="2"/>
    <x v="1326"/>
    <n v="0.26"/>
    <x v="1334"/>
  </r>
  <r>
    <x v="13"/>
    <x v="1335"/>
    <s v="PROD65"/>
    <d v="2023-10-18T00:00:00"/>
    <s v="CUST1448"/>
    <s v="Montgomery, Benton and Miller"/>
    <x v="2"/>
    <n v="4"/>
    <x v="1327"/>
    <n v="7.0000000000000007E-2"/>
    <x v="1335"/>
  </r>
  <r>
    <x v="13"/>
    <x v="1336"/>
    <s v="PROD65"/>
    <d v="2024-02-26T00:00:00"/>
    <s v="CUST1461"/>
    <s v="Montgomery, Benton and Miller"/>
    <x v="2"/>
    <n v="3"/>
    <x v="1328"/>
    <n v="0.22"/>
    <x v="1336"/>
  </r>
  <r>
    <x v="13"/>
    <x v="1337"/>
    <s v="PROD65"/>
    <d v="2025-09-24T00:00:00"/>
    <s v="CUST1480"/>
    <s v="Montgomery, Benton and Miller"/>
    <x v="2"/>
    <n v="3"/>
    <x v="1329"/>
    <n v="0"/>
    <x v="1337"/>
  </r>
  <r>
    <x v="13"/>
    <x v="1338"/>
    <s v="PROD66"/>
    <d v="2024-02-16T00:00:00"/>
    <s v="CUST1363"/>
    <s v="Torres, Spencer and Potter"/>
    <x v="0"/>
    <n v="1"/>
    <x v="1330"/>
    <n v="0.24"/>
    <x v="1338"/>
  </r>
  <r>
    <x v="13"/>
    <x v="1339"/>
    <s v="PROD66"/>
    <d v="2024-03-31T00:00:00"/>
    <s v="CUST1402"/>
    <s v="Torres, Spencer and Potter"/>
    <x v="0"/>
    <n v="1"/>
    <x v="1331"/>
    <n v="0.22"/>
    <x v="1339"/>
  </r>
  <r>
    <x v="13"/>
    <x v="1340"/>
    <s v="PROD68"/>
    <d v="2024-11-10T00:00:00"/>
    <s v="CUST1023"/>
    <s v="Wolfe, Ross and Hester"/>
    <x v="1"/>
    <n v="2"/>
    <x v="1332"/>
    <n v="0.25"/>
    <x v="1340"/>
  </r>
  <r>
    <x v="13"/>
    <x v="1341"/>
    <s v="PROD71"/>
    <d v="2024-04-30T00:00:00"/>
    <s v="CUST1282"/>
    <s v="Hopkins Ltd"/>
    <x v="0"/>
    <n v="4"/>
    <x v="1333"/>
    <n v="0.27"/>
    <x v="1341"/>
  </r>
  <r>
    <x v="13"/>
    <x v="1342"/>
    <s v="PROD73"/>
    <d v="2024-09-21T00:00:00"/>
    <s v="CUST1293"/>
    <s v="French Ltd"/>
    <x v="2"/>
    <n v="1"/>
    <x v="1334"/>
    <n v="0"/>
    <x v="1342"/>
  </r>
  <r>
    <x v="13"/>
    <x v="1343"/>
    <s v="PROD74"/>
    <d v="2024-06-22T00:00:00"/>
    <s v="CUST1039"/>
    <s v="Bruce-Bowen"/>
    <x v="4"/>
    <n v="3"/>
    <x v="1335"/>
    <n v="0.02"/>
    <x v="1343"/>
  </r>
  <r>
    <x v="13"/>
    <x v="1344"/>
    <s v="PROD74"/>
    <d v="2024-10-07T00:00:00"/>
    <s v="CUST1468"/>
    <s v="Bruce-Bowen"/>
    <x v="4"/>
    <n v="1"/>
    <x v="1336"/>
    <n v="0.26"/>
    <x v="1344"/>
  </r>
  <r>
    <x v="13"/>
    <x v="1345"/>
    <s v="PROD75"/>
    <d v="2023-12-24T00:00:00"/>
    <s v="CUST1107"/>
    <s v="Poole PLC"/>
    <x v="3"/>
    <n v="2"/>
    <x v="1337"/>
    <n v="0.04"/>
    <x v="1345"/>
  </r>
  <r>
    <x v="13"/>
    <x v="1346"/>
    <s v="PROD76"/>
    <d v="2025-02-16T00:00:00"/>
    <s v="CUST1255"/>
    <s v="Larson Ltd"/>
    <x v="4"/>
    <n v="4"/>
    <x v="1338"/>
    <n v="0.26"/>
    <x v="1346"/>
  </r>
  <r>
    <x v="13"/>
    <x v="1347"/>
    <s v="PROD77"/>
    <d v="2024-05-21T00:00:00"/>
    <s v="CUST1116"/>
    <s v="White, Reeves and Woods"/>
    <x v="4"/>
    <n v="2"/>
    <x v="1339"/>
    <n v="0.23"/>
    <x v="1347"/>
  </r>
  <r>
    <x v="13"/>
    <x v="1348"/>
    <s v="PROD78"/>
    <d v="2023-12-01T00:00:00"/>
    <s v="CUST1066"/>
    <s v="Hernandez Inc"/>
    <x v="1"/>
    <n v="4"/>
    <x v="1340"/>
    <n v="0.18"/>
    <x v="1348"/>
  </r>
  <r>
    <x v="13"/>
    <x v="1349"/>
    <s v="PROD78"/>
    <d v="2025-03-11T00:00:00"/>
    <s v="CUST1092"/>
    <s v="Hernandez Inc"/>
    <x v="1"/>
    <n v="3"/>
    <x v="1341"/>
    <n v="0.11"/>
    <x v="1349"/>
  </r>
  <r>
    <x v="13"/>
    <x v="1350"/>
    <s v="PROD78"/>
    <d v="2024-10-10T00:00:00"/>
    <s v="CUST1161"/>
    <s v="Hernandez Inc"/>
    <x v="1"/>
    <n v="2"/>
    <x v="1342"/>
    <n v="0.18"/>
    <x v="1350"/>
  </r>
  <r>
    <x v="13"/>
    <x v="1351"/>
    <s v="PROD79"/>
    <d v="2024-04-02T00:00:00"/>
    <s v="CUST1172"/>
    <s v="Ramirez-Hanson"/>
    <x v="1"/>
    <n v="3"/>
    <x v="1343"/>
    <n v="0.26"/>
    <x v="1351"/>
  </r>
  <r>
    <x v="13"/>
    <x v="1352"/>
    <s v="PROD79"/>
    <d v="2024-12-14T00:00:00"/>
    <s v="CUST1185"/>
    <s v="Ramirez-Hanson"/>
    <x v="1"/>
    <n v="1"/>
    <x v="1344"/>
    <n v="0.01"/>
    <x v="1352"/>
  </r>
  <r>
    <x v="13"/>
    <x v="1353"/>
    <s v="PROD8"/>
    <d v="2023-11-07T00:00:00"/>
    <s v="CUST1119"/>
    <s v="Perez-Johnston"/>
    <x v="4"/>
    <n v="4"/>
    <x v="1345"/>
    <n v="0.25"/>
    <x v="1353"/>
  </r>
  <r>
    <x v="13"/>
    <x v="1354"/>
    <s v="PROD8"/>
    <d v="2025-05-27T00:00:00"/>
    <s v="CUST1420"/>
    <s v="Perez-Johnston"/>
    <x v="4"/>
    <n v="4"/>
    <x v="1346"/>
    <n v="0.16"/>
    <x v="1354"/>
  </r>
  <r>
    <x v="13"/>
    <x v="1355"/>
    <s v="PROD80"/>
    <d v="2025-09-16T00:00:00"/>
    <s v="CUST1393"/>
    <s v="Allison Ltd"/>
    <x v="1"/>
    <n v="4"/>
    <x v="1347"/>
    <n v="0.11"/>
    <x v="1355"/>
  </r>
  <r>
    <x v="13"/>
    <x v="1356"/>
    <s v="PROD82"/>
    <d v="2025-09-14T00:00:00"/>
    <s v="CUST1317"/>
    <s v="Reese-Watson"/>
    <x v="2"/>
    <n v="1"/>
    <x v="1348"/>
    <n v="0.28999999999999998"/>
    <x v="1356"/>
  </r>
  <r>
    <x v="13"/>
    <x v="1357"/>
    <s v="PROD82"/>
    <d v="2025-10-11T00:00:00"/>
    <s v="CUST1325"/>
    <s v="Reese-Watson"/>
    <x v="2"/>
    <n v="3"/>
    <x v="1349"/>
    <n v="0.02"/>
    <x v="1357"/>
  </r>
  <r>
    <x v="13"/>
    <x v="1358"/>
    <s v="PROD83"/>
    <d v="2024-04-07T00:00:00"/>
    <s v="CUST1134"/>
    <s v="Butler Group"/>
    <x v="0"/>
    <n v="1"/>
    <x v="1350"/>
    <n v="0.24"/>
    <x v="1358"/>
  </r>
  <r>
    <x v="13"/>
    <x v="1359"/>
    <s v="PROD85"/>
    <d v="2024-02-22T00:00:00"/>
    <s v="CUST1376"/>
    <s v="Richardson-Carrillo"/>
    <x v="3"/>
    <n v="4"/>
    <x v="1351"/>
    <n v="0.01"/>
    <x v="1359"/>
  </r>
  <r>
    <x v="13"/>
    <x v="1360"/>
    <s v="PROD86"/>
    <d v="2024-04-04T00:00:00"/>
    <s v="CUST1239"/>
    <s v="Taylor, Dodson and Johnston"/>
    <x v="1"/>
    <n v="3"/>
    <x v="1352"/>
    <n v="0.01"/>
    <x v="1360"/>
  </r>
  <r>
    <x v="13"/>
    <x v="1361"/>
    <s v="PROD88"/>
    <d v="2024-10-14T00:00:00"/>
    <s v="CUST1172"/>
    <s v="Olsen-Daniels"/>
    <x v="2"/>
    <n v="2"/>
    <x v="1353"/>
    <n v="7.0000000000000007E-2"/>
    <x v="1361"/>
  </r>
  <r>
    <x v="13"/>
    <x v="1362"/>
    <s v="PROD89"/>
    <d v="2025-01-29T00:00:00"/>
    <s v="CUST1489"/>
    <s v="Taylor-Elliott"/>
    <x v="0"/>
    <n v="1"/>
    <x v="1354"/>
    <n v="0.14000000000000001"/>
    <x v="1362"/>
  </r>
  <r>
    <x v="13"/>
    <x v="1363"/>
    <s v="PROD90"/>
    <d v="2025-05-21T00:00:00"/>
    <s v="CUST1119"/>
    <s v="Sharp, Taylor and Rodriguez"/>
    <x v="4"/>
    <n v="2"/>
    <x v="1355"/>
    <n v="0.01"/>
    <x v="1363"/>
  </r>
  <r>
    <x v="13"/>
    <x v="1364"/>
    <s v="PROD91"/>
    <d v="2025-03-25T00:00:00"/>
    <s v="CUST1333"/>
    <s v="Smith-Charles"/>
    <x v="3"/>
    <n v="2"/>
    <x v="1356"/>
    <n v="0.22"/>
    <x v="1364"/>
  </r>
  <r>
    <x v="13"/>
    <x v="1365"/>
    <s v="PROD92"/>
    <d v="2024-08-05T00:00:00"/>
    <s v="CUST1344"/>
    <s v="Green, Powell and Palmer"/>
    <x v="1"/>
    <n v="1"/>
    <x v="1357"/>
    <n v="0.06"/>
    <x v="1365"/>
  </r>
  <r>
    <x v="13"/>
    <x v="1366"/>
    <s v="PROD94"/>
    <d v="2023-12-04T00:00:00"/>
    <s v="CUST1431"/>
    <s v="Hoffman-Williams"/>
    <x v="0"/>
    <n v="2"/>
    <x v="1358"/>
    <n v="0.08"/>
    <x v="1366"/>
  </r>
  <r>
    <x v="13"/>
    <x v="1367"/>
    <s v="PROD96"/>
    <d v="2024-11-17T00:00:00"/>
    <s v="CUST1092"/>
    <s v="Phillips and Sons"/>
    <x v="3"/>
    <n v="4"/>
    <x v="1359"/>
    <n v="0.25"/>
    <x v="1367"/>
  </r>
  <r>
    <x v="13"/>
    <x v="1368"/>
    <s v="PROD96"/>
    <d v="2025-09-26T00:00:00"/>
    <s v="CUST1207"/>
    <s v="Phillips and Sons"/>
    <x v="3"/>
    <n v="2"/>
    <x v="1360"/>
    <n v="0.24"/>
    <x v="1368"/>
  </r>
  <r>
    <x v="13"/>
    <x v="1369"/>
    <s v="PROD96"/>
    <d v="2024-08-06T00:00:00"/>
    <s v="CUST1437"/>
    <s v="Phillips and Sons"/>
    <x v="3"/>
    <n v="4"/>
    <x v="1361"/>
    <n v="0.03"/>
    <x v="1369"/>
  </r>
  <r>
    <x v="13"/>
    <x v="1370"/>
    <s v="PROD97"/>
    <d v="2024-02-09T00:00:00"/>
    <s v="CUST1003"/>
    <s v="Khan LLC"/>
    <x v="2"/>
    <n v="4"/>
    <x v="1362"/>
    <n v="0.09"/>
    <x v="1370"/>
  </r>
  <r>
    <x v="13"/>
    <x v="1371"/>
    <s v="PROD97"/>
    <d v="2025-05-26T00:00:00"/>
    <s v="CUST1016"/>
    <s v="Khan LLC"/>
    <x v="2"/>
    <n v="4"/>
    <x v="1363"/>
    <n v="0.28999999999999998"/>
    <x v="1371"/>
  </r>
  <r>
    <x v="13"/>
    <x v="1372"/>
    <s v="PROD97"/>
    <d v="2024-07-07T00:00:00"/>
    <s v="CUST1409"/>
    <s v="Khan LLC"/>
    <x v="2"/>
    <n v="1"/>
    <x v="1364"/>
    <n v="0.09"/>
    <x v="1372"/>
  </r>
  <r>
    <x v="13"/>
    <x v="1373"/>
    <s v="PROD98"/>
    <d v="2025-05-21T00:00:00"/>
    <s v="CUST1264"/>
    <s v="Flores-King"/>
    <x v="4"/>
    <n v="2"/>
    <x v="1365"/>
    <n v="0.1"/>
    <x v="1373"/>
  </r>
  <r>
    <x v="13"/>
    <x v="1374"/>
    <s v="PROD98"/>
    <d v="2025-05-16T00:00:00"/>
    <s v="CUST1493"/>
    <s v="Flores-King"/>
    <x v="4"/>
    <n v="3"/>
    <x v="1366"/>
    <n v="7.0000000000000007E-2"/>
    <x v="1374"/>
  </r>
  <r>
    <x v="13"/>
    <x v="1375"/>
    <s v="PROD99"/>
    <d v="2024-11-06T00:00:00"/>
    <s v="CUST1292"/>
    <s v="Campbell Ltd"/>
    <x v="1"/>
    <n v="3"/>
    <x v="1367"/>
    <n v="0.23"/>
    <x v="1375"/>
  </r>
  <r>
    <x v="13"/>
    <x v="1376"/>
    <s v="PROD99"/>
    <d v="2024-01-11T00:00:00"/>
    <s v="CUST1348"/>
    <s v="Campbell Ltd"/>
    <x v="1"/>
    <n v="3.4011295180722891"/>
    <x v="1368"/>
    <n v="0.15"/>
    <x v="1376"/>
  </r>
  <r>
    <x v="14"/>
    <x v="1377"/>
    <s v="PROD0"/>
    <d v="2024-10-14T00:00:00"/>
    <s v="CUST1319"/>
    <s v="Hunt Inc"/>
    <x v="4"/>
    <n v="3"/>
    <x v="1369"/>
    <n v="0.08"/>
    <x v="1377"/>
  </r>
  <r>
    <x v="14"/>
    <x v="1378"/>
    <s v="PROD10"/>
    <d v="2025-04-05T00:00:00"/>
    <s v="CUST1247"/>
    <s v="Hamilton Group"/>
    <x v="1"/>
    <n v="1"/>
    <x v="1370"/>
    <n v="0.18"/>
    <x v="1378"/>
  </r>
  <r>
    <x v="14"/>
    <x v="1379"/>
    <s v="PROD11"/>
    <d v="2025-07-03T00:00:00"/>
    <s v="CUST1051"/>
    <s v="Gibson, Hobbs and Weaver"/>
    <x v="4"/>
    <n v="4"/>
    <x v="1371"/>
    <n v="0.03"/>
    <x v="1379"/>
  </r>
  <r>
    <x v="14"/>
    <x v="1380"/>
    <s v="PROD12"/>
    <d v="2025-08-17T00:00:00"/>
    <s v="CUST1051"/>
    <s v="Rice LLC"/>
    <x v="0"/>
    <n v="4"/>
    <x v="1372"/>
    <n v="0.11"/>
    <x v="1380"/>
  </r>
  <r>
    <x v="14"/>
    <x v="1381"/>
    <s v="PROD14"/>
    <d v="2024-12-18T00:00:00"/>
    <s v="CUST1277"/>
    <s v="Luna, Anderson and Bowman"/>
    <x v="1"/>
    <n v="2"/>
    <x v="1373"/>
    <n v="0.01"/>
    <x v="1381"/>
  </r>
  <r>
    <x v="14"/>
    <x v="1382"/>
    <s v="PROD15"/>
    <d v="2024-06-18T00:00:00"/>
    <s v="CUST1043"/>
    <s v="Thomas LLC"/>
    <x v="4"/>
    <n v="3"/>
    <x v="1374"/>
    <n v="0.23"/>
    <x v="1382"/>
  </r>
  <r>
    <x v="14"/>
    <x v="1383"/>
    <s v="PROD15"/>
    <d v="2025-03-19T00:00:00"/>
    <s v="CUST1460"/>
    <s v="Thomas LLC"/>
    <x v="4"/>
    <n v="3"/>
    <x v="1375"/>
    <n v="0.28000000000000003"/>
    <x v="1383"/>
  </r>
  <r>
    <x v="14"/>
    <x v="1384"/>
    <s v="PROD17"/>
    <d v="2024-12-16T00:00:00"/>
    <s v="CUST1066"/>
    <s v="Ford, Murphy and Wilson"/>
    <x v="2"/>
    <n v="1"/>
    <x v="1376"/>
    <n v="0.11"/>
    <x v="1384"/>
  </r>
  <r>
    <x v="14"/>
    <x v="1385"/>
    <s v="PROD19"/>
    <d v="2024-12-31T00:00:00"/>
    <s v="CUST1065"/>
    <s v="May-Reese"/>
    <x v="2"/>
    <n v="2"/>
    <x v="1377"/>
    <n v="0.15"/>
    <x v="1385"/>
  </r>
  <r>
    <x v="14"/>
    <x v="1386"/>
    <s v="PROD2"/>
    <d v="2024-02-18T00:00:00"/>
    <s v="CUST1067"/>
    <s v="Sims Inc"/>
    <x v="3"/>
    <n v="2"/>
    <x v="1378"/>
    <n v="0.17"/>
    <x v="1386"/>
  </r>
  <r>
    <x v="14"/>
    <x v="1387"/>
    <s v="PROD2"/>
    <d v="2025-01-06T00:00:00"/>
    <s v="CUST1088"/>
    <s v="Sims Inc"/>
    <x v="3"/>
    <n v="2"/>
    <x v="1379"/>
    <n v="0.19"/>
    <x v="1387"/>
  </r>
  <r>
    <x v="14"/>
    <x v="1388"/>
    <s v="PROD2"/>
    <d v="2023-11-18T00:00:00"/>
    <s v="CUST1339"/>
    <s v="Sims Inc"/>
    <x v="3"/>
    <n v="2"/>
    <x v="1380"/>
    <n v="0.26"/>
    <x v="1388"/>
  </r>
  <r>
    <x v="14"/>
    <x v="1389"/>
    <s v="PROD2"/>
    <d v="2024-12-01T00:00:00"/>
    <s v="CUST1445"/>
    <s v="Sims Inc"/>
    <x v="3"/>
    <n v="4"/>
    <x v="1381"/>
    <n v="0.2"/>
    <x v="1389"/>
  </r>
  <r>
    <x v="14"/>
    <x v="1390"/>
    <s v="PROD20"/>
    <d v="2024-06-29T00:00:00"/>
    <s v="CUST1241"/>
    <s v="Soto-Ellis"/>
    <x v="2"/>
    <n v="3"/>
    <x v="1382"/>
    <n v="0.28999999999999998"/>
    <x v="1390"/>
  </r>
  <r>
    <x v="14"/>
    <x v="1391"/>
    <s v="PROD21"/>
    <d v="2023-12-11T00:00:00"/>
    <s v="CUST1455"/>
    <s v="Gardner-Montes"/>
    <x v="1"/>
    <n v="2"/>
    <x v="1383"/>
    <n v="0.25"/>
    <x v="1391"/>
  </r>
  <r>
    <x v="14"/>
    <x v="1392"/>
    <s v="PROD23"/>
    <d v="2025-04-02T00:00:00"/>
    <s v="CUST1381"/>
    <s v="Moon, Mora and Santos"/>
    <x v="3"/>
    <n v="3"/>
    <x v="1384"/>
    <n v="0.06"/>
    <x v="1392"/>
  </r>
  <r>
    <x v="14"/>
    <x v="1393"/>
    <s v="PROD24"/>
    <d v="2025-10-04T00:00:00"/>
    <s v="CUST1106"/>
    <s v="Cook Ltd"/>
    <x v="2"/>
    <n v="2"/>
    <x v="1385"/>
    <n v="0.12"/>
    <x v="1393"/>
  </r>
  <r>
    <x v="14"/>
    <x v="1394"/>
    <s v="PROD27"/>
    <d v="2024-12-11T00:00:00"/>
    <s v="CUST1079"/>
    <s v="Khan, Jones and Paul"/>
    <x v="1"/>
    <n v="2"/>
    <x v="1386"/>
    <n v="0.23"/>
    <x v="1394"/>
  </r>
  <r>
    <x v="14"/>
    <x v="1395"/>
    <s v="PROD27"/>
    <d v="2024-06-03T00:00:00"/>
    <s v="CUST1256"/>
    <s v="Khan, Jones and Paul"/>
    <x v="1"/>
    <n v="1"/>
    <x v="1387"/>
    <n v="0.17"/>
    <x v="1395"/>
  </r>
  <r>
    <x v="14"/>
    <x v="1396"/>
    <s v="PROD27"/>
    <d v="2024-02-22T00:00:00"/>
    <s v="CUST1476"/>
    <s v="Khan, Jones and Paul"/>
    <x v="1"/>
    <n v="2"/>
    <x v="1388"/>
    <n v="0.3"/>
    <x v="1396"/>
  </r>
  <r>
    <x v="14"/>
    <x v="1397"/>
    <s v="PROD28"/>
    <d v="2024-11-11T00:00:00"/>
    <s v="CUST1006"/>
    <s v="Burns-Hansen"/>
    <x v="2"/>
    <n v="2"/>
    <x v="1389"/>
    <n v="0.22"/>
    <x v="1397"/>
  </r>
  <r>
    <x v="14"/>
    <x v="1398"/>
    <s v="PROD28"/>
    <d v="2024-12-03T00:00:00"/>
    <s v="CUST1478"/>
    <s v="Burns-Hansen"/>
    <x v="2"/>
    <n v="3"/>
    <x v="1390"/>
    <n v="0.16"/>
    <x v="1398"/>
  </r>
  <r>
    <x v="14"/>
    <x v="1399"/>
    <s v="PROD29"/>
    <d v="2025-04-01T00:00:00"/>
    <s v="CUST1094"/>
    <s v="Hoffman Group"/>
    <x v="1"/>
    <n v="2"/>
    <x v="1391"/>
    <n v="0.26"/>
    <x v="1399"/>
  </r>
  <r>
    <x v="14"/>
    <x v="1400"/>
    <s v="PROD29"/>
    <d v="2024-09-16T00:00:00"/>
    <s v="CUST1164"/>
    <s v="Hoffman Group"/>
    <x v="1"/>
    <n v="2"/>
    <x v="1392"/>
    <n v="0.18"/>
    <x v="1400"/>
  </r>
  <r>
    <x v="14"/>
    <x v="1401"/>
    <s v="PROD29"/>
    <d v="2025-10-05T00:00:00"/>
    <s v="CUST1210"/>
    <s v="Hoffman Group"/>
    <x v="1"/>
    <n v="2"/>
    <x v="1393"/>
    <n v="0.23"/>
    <x v="1401"/>
  </r>
  <r>
    <x v="14"/>
    <x v="1402"/>
    <s v="PROD29"/>
    <d v="2025-09-14T00:00:00"/>
    <s v="CUST1491"/>
    <s v="Hoffman Group"/>
    <x v="1"/>
    <n v="4"/>
    <x v="1394"/>
    <n v="0.26"/>
    <x v="1402"/>
  </r>
  <r>
    <x v="14"/>
    <x v="1403"/>
    <s v="PROD30"/>
    <d v="2025-07-24T00:00:00"/>
    <s v="CUST1054"/>
    <s v="Stevens, Fernandez and Martin"/>
    <x v="1"/>
    <n v="4"/>
    <x v="1395"/>
    <n v="0.11"/>
    <x v="1403"/>
  </r>
  <r>
    <x v="14"/>
    <x v="1404"/>
    <s v="PROD30"/>
    <d v="2025-06-10T00:00:00"/>
    <s v="CUST1499"/>
    <s v="Stevens, Fernandez and Martin"/>
    <x v="1"/>
    <n v="3"/>
    <x v="1396"/>
    <n v="0.01"/>
    <x v="1404"/>
  </r>
  <r>
    <x v="14"/>
    <x v="1405"/>
    <s v="PROD31"/>
    <d v="2024-10-07T00:00:00"/>
    <s v="CUST1446"/>
    <s v="Nolan-Snow"/>
    <x v="2"/>
    <n v="4"/>
    <x v="1397"/>
    <n v="0"/>
    <x v="1405"/>
  </r>
  <r>
    <x v="14"/>
    <x v="1406"/>
    <s v="PROD32"/>
    <d v="2025-07-02T00:00:00"/>
    <s v="CUST1332"/>
    <s v="Griffin Ltd"/>
    <x v="0"/>
    <n v="3"/>
    <x v="1398"/>
    <n v="0.14000000000000001"/>
    <x v="1406"/>
  </r>
  <r>
    <x v="14"/>
    <x v="1407"/>
    <s v="PROD32"/>
    <d v="2024-08-26T00:00:00"/>
    <s v="CUST1427"/>
    <s v="Griffin Ltd"/>
    <x v="0"/>
    <n v="3"/>
    <x v="1399"/>
    <n v="0.2"/>
    <x v="1407"/>
  </r>
  <r>
    <x v="14"/>
    <x v="1408"/>
    <s v="PROD33"/>
    <d v="2025-03-26T00:00:00"/>
    <s v="CUST1144"/>
    <s v="Weiss-Watson"/>
    <x v="1"/>
    <n v="1"/>
    <x v="1400"/>
    <n v="0.15"/>
    <x v="1408"/>
  </r>
  <r>
    <x v="14"/>
    <x v="1409"/>
    <s v="PROD34"/>
    <d v="2025-09-07T00:00:00"/>
    <s v="CUST1182"/>
    <s v="Lucero LLC"/>
    <x v="4"/>
    <n v="4"/>
    <x v="1401"/>
    <n v="0.19"/>
    <x v="1409"/>
  </r>
  <r>
    <x v="14"/>
    <x v="1410"/>
    <s v="PROD34"/>
    <d v="2024-01-31T00:00:00"/>
    <s v="CUST1208"/>
    <s v="Lucero LLC"/>
    <x v="4"/>
    <n v="2"/>
    <x v="1402"/>
    <n v="0.08"/>
    <x v="1410"/>
  </r>
  <r>
    <x v="14"/>
    <x v="1411"/>
    <s v="PROD34"/>
    <d v="2025-09-02T00:00:00"/>
    <s v="CUST1403"/>
    <s v="Lucero LLC"/>
    <x v="4"/>
    <n v="2"/>
    <x v="1403"/>
    <n v="0.12"/>
    <x v="1411"/>
  </r>
  <r>
    <x v="14"/>
    <x v="1412"/>
    <s v="PROD35"/>
    <d v="2025-04-13T00:00:00"/>
    <s v="CUST1144"/>
    <s v="Jones LLC"/>
    <x v="1"/>
    <n v="2"/>
    <x v="1404"/>
    <n v="0.17"/>
    <x v="1412"/>
  </r>
  <r>
    <x v="14"/>
    <x v="1413"/>
    <s v="PROD36"/>
    <d v="2023-11-05T00:00:00"/>
    <s v="CUST1034"/>
    <s v="Smith-Mills"/>
    <x v="3"/>
    <n v="3"/>
    <x v="1405"/>
    <n v="0.26"/>
    <x v="1413"/>
  </r>
  <r>
    <x v="14"/>
    <x v="1414"/>
    <s v="PROD36"/>
    <d v="2025-06-07T00:00:00"/>
    <s v="CUST1133"/>
    <s v="Smith-Mills"/>
    <x v="3"/>
    <n v="3"/>
    <x v="1406"/>
    <n v="0.02"/>
    <x v="1414"/>
  </r>
  <r>
    <x v="14"/>
    <x v="1415"/>
    <s v="PROD39"/>
    <d v="2024-08-13T00:00:00"/>
    <s v="CUST1094"/>
    <s v="Cummings and Sons"/>
    <x v="4"/>
    <n v="2"/>
    <x v="1407"/>
    <n v="0.25"/>
    <x v="1415"/>
  </r>
  <r>
    <x v="14"/>
    <x v="1416"/>
    <s v="PROD39"/>
    <d v="2024-10-01T00:00:00"/>
    <s v="CUST1400"/>
    <s v="Cummings and Sons"/>
    <x v="4"/>
    <n v="4"/>
    <x v="1408"/>
    <n v="0.25"/>
    <x v="1416"/>
  </r>
  <r>
    <x v="14"/>
    <x v="1417"/>
    <s v="PROD39"/>
    <d v="2025-01-10T00:00:00"/>
    <s v="CUST1405"/>
    <s v="Cummings and Sons"/>
    <x v="4"/>
    <n v="4"/>
    <x v="1409"/>
    <n v="0.27"/>
    <x v="1417"/>
  </r>
  <r>
    <x v="14"/>
    <x v="1418"/>
    <s v="PROD40"/>
    <d v="2024-11-30T00:00:00"/>
    <s v="CUST1159"/>
    <s v="Taylor-Hart"/>
    <x v="4"/>
    <n v="4"/>
    <x v="1410"/>
    <n v="0.26"/>
    <x v="1418"/>
  </r>
  <r>
    <x v="14"/>
    <x v="1419"/>
    <s v="PROD42"/>
    <d v="2025-08-05T00:00:00"/>
    <s v="CUST1415"/>
    <s v="Holmes LLC"/>
    <x v="4"/>
    <n v="1"/>
    <x v="1411"/>
    <n v="0.27"/>
    <x v="1419"/>
  </r>
  <r>
    <x v="14"/>
    <x v="1420"/>
    <s v="PROD43"/>
    <d v="2023-10-30T00:00:00"/>
    <s v="CUST1051"/>
    <s v="Robinson Inc"/>
    <x v="4"/>
    <n v="1"/>
    <x v="1412"/>
    <n v="0.24"/>
    <x v="1420"/>
  </r>
  <r>
    <x v="14"/>
    <x v="1421"/>
    <s v="PROD43"/>
    <d v="2025-06-23T00:00:00"/>
    <s v="CUST1093"/>
    <s v="Robinson Inc"/>
    <x v="4"/>
    <n v="3"/>
    <x v="1413"/>
    <n v="0.27"/>
    <x v="1421"/>
  </r>
  <r>
    <x v="14"/>
    <x v="1422"/>
    <s v="PROD43"/>
    <d v="2025-01-19T00:00:00"/>
    <s v="CUST1352"/>
    <s v="Robinson Inc"/>
    <x v="4"/>
    <n v="3"/>
    <x v="1414"/>
    <n v="0.24"/>
    <x v="1422"/>
  </r>
  <r>
    <x v="14"/>
    <x v="1423"/>
    <s v="PROD44"/>
    <d v="2025-03-03T00:00:00"/>
    <s v="CUST1274"/>
    <s v="Cox Inc"/>
    <x v="2"/>
    <n v="1"/>
    <x v="1415"/>
    <n v="0.04"/>
    <x v="1423"/>
  </r>
  <r>
    <x v="14"/>
    <x v="1424"/>
    <s v="PROD45"/>
    <d v="2025-03-17T00:00:00"/>
    <s v="CUST1353"/>
    <s v="Bridges, Banks and Cummings"/>
    <x v="2"/>
    <n v="2"/>
    <x v="1416"/>
    <n v="0.2"/>
    <x v="1424"/>
  </r>
  <r>
    <x v="14"/>
    <x v="1425"/>
    <s v="PROD46"/>
    <d v="2024-09-19T00:00:00"/>
    <s v="CUST1067"/>
    <s v="Kelly, Smith and Perez"/>
    <x v="3"/>
    <n v="3"/>
    <x v="1417"/>
    <n v="0.3"/>
    <x v="1425"/>
  </r>
  <r>
    <x v="14"/>
    <x v="1426"/>
    <s v="PROD46"/>
    <d v="2025-05-19T00:00:00"/>
    <s v="CUST1371"/>
    <s v="Kelly, Smith and Perez"/>
    <x v="3"/>
    <n v="1"/>
    <x v="1418"/>
    <n v="0.23"/>
    <x v="1426"/>
  </r>
  <r>
    <x v="14"/>
    <x v="1427"/>
    <s v="PROD5"/>
    <d v="2024-04-08T00:00:00"/>
    <s v="CUST1300"/>
    <s v="Baldwin, Garza and Gonzalez"/>
    <x v="3"/>
    <n v="2"/>
    <x v="1419"/>
    <n v="0.24"/>
    <x v="1427"/>
  </r>
  <r>
    <x v="14"/>
    <x v="1428"/>
    <s v="PROD5"/>
    <d v="2025-03-24T00:00:00"/>
    <s v="CUST1305"/>
    <s v="Baldwin, Garza and Gonzalez"/>
    <x v="3"/>
    <n v="1"/>
    <x v="1420"/>
    <n v="0.28000000000000003"/>
    <x v="1428"/>
  </r>
  <r>
    <x v="14"/>
    <x v="1429"/>
    <s v="PROD50"/>
    <d v="2024-08-04T00:00:00"/>
    <s v="CUST1051"/>
    <s v="Smith-King"/>
    <x v="2"/>
    <n v="4"/>
    <x v="1421"/>
    <n v="0.3"/>
    <x v="1429"/>
  </r>
  <r>
    <x v="14"/>
    <x v="1430"/>
    <s v="PROD50"/>
    <d v="2025-02-27T00:00:00"/>
    <s v="CUST1051"/>
    <s v="Smith-King"/>
    <x v="2"/>
    <n v="3"/>
    <x v="1422"/>
    <n v="0.18"/>
    <x v="1430"/>
  </r>
  <r>
    <x v="14"/>
    <x v="1431"/>
    <s v="PROD50"/>
    <d v="2025-01-11T00:00:00"/>
    <s v="CUST1212"/>
    <s v="Smith-King"/>
    <x v="2"/>
    <n v="4"/>
    <x v="1423"/>
    <n v="0.18"/>
    <x v="1431"/>
  </r>
  <r>
    <x v="14"/>
    <x v="1432"/>
    <s v="PROD53"/>
    <d v="2024-06-18T00:00:00"/>
    <s v="CUST1140"/>
    <s v="Hamilton, Woods and Walker"/>
    <x v="3"/>
    <n v="3"/>
    <x v="1424"/>
    <n v="0.03"/>
    <x v="1432"/>
  </r>
  <r>
    <x v="14"/>
    <x v="1433"/>
    <s v="PROD54"/>
    <d v="2024-05-28T00:00:00"/>
    <s v="CUST1021"/>
    <s v="Thompson-French"/>
    <x v="2"/>
    <n v="1"/>
    <x v="1425"/>
    <n v="0.03"/>
    <x v="1433"/>
  </r>
  <r>
    <x v="14"/>
    <x v="1434"/>
    <s v="PROD56"/>
    <d v="2025-07-12T00:00:00"/>
    <s v="CUST1016"/>
    <s v="Hernandez, Kennedy and Porter"/>
    <x v="1"/>
    <n v="2"/>
    <x v="1426"/>
    <n v="0.15"/>
    <x v="1434"/>
  </r>
  <r>
    <x v="14"/>
    <x v="1435"/>
    <s v="PROD57"/>
    <d v="2025-09-10T00:00:00"/>
    <s v="CUST1329"/>
    <s v="Atkinson, Camacho and Oliver"/>
    <x v="2"/>
    <n v="2"/>
    <x v="1427"/>
    <n v="7.0000000000000007E-2"/>
    <x v="1435"/>
  </r>
  <r>
    <x v="14"/>
    <x v="1436"/>
    <s v="PROD60"/>
    <d v="2024-01-22T00:00:00"/>
    <s v="CUST1247"/>
    <s v="Gibson, Green and Lopez"/>
    <x v="0"/>
    <n v="3"/>
    <x v="1428"/>
    <n v="0.05"/>
    <x v="1436"/>
  </r>
  <r>
    <x v="14"/>
    <x v="1437"/>
    <s v="PROD60"/>
    <d v="2024-01-23T00:00:00"/>
    <s v="CUST1344"/>
    <s v="Gibson, Green and Lopez"/>
    <x v="0"/>
    <n v="1"/>
    <x v="1429"/>
    <n v="0.18"/>
    <x v="1437"/>
  </r>
  <r>
    <x v="14"/>
    <x v="1438"/>
    <s v="PROD61"/>
    <d v="2024-07-04T00:00:00"/>
    <s v="CUST1396"/>
    <s v="Lopez LLC"/>
    <x v="2"/>
    <n v="1"/>
    <x v="1430"/>
    <n v="0.05"/>
    <x v="1438"/>
  </r>
  <r>
    <x v="14"/>
    <x v="1439"/>
    <s v="PROD62"/>
    <d v="2025-03-09T00:00:00"/>
    <s v="CUST1248"/>
    <s v="Murray, Gould and Ware"/>
    <x v="4"/>
    <n v="4"/>
    <x v="1431"/>
    <n v="0.28999999999999998"/>
    <x v="1439"/>
  </r>
  <r>
    <x v="14"/>
    <x v="1440"/>
    <s v="PROD62"/>
    <d v="2024-09-10T00:00:00"/>
    <s v="CUST1396"/>
    <s v="Murray, Gould and Ware"/>
    <x v="4"/>
    <n v="3"/>
    <x v="1432"/>
    <n v="0.17"/>
    <x v="1440"/>
  </r>
  <r>
    <x v="14"/>
    <x v="1441"/>
    <s v="PROD64"/>
    <d v="2024-05-25T00:00:00"/>
    <s v="CUST1433"/>
    <s v="Zhang Inc"/>
    <x v="0"/>
    <n v="4"/>
    <x v="1433"/>
    <n v="0.25"/>
    <x v="1441"/>
  </r>
  <r>
    <x v="14"/>
    <x v="1442"/>
    <s v="PROD65"/>
    <d v="2024-08-28T00:00:00"/>
    <s v="CUST1287"/>
    <s v="Montgomery, Benton and Miller"/>
    <x v="2"/>
    <n v="4"/>
    <x v="1434"/>
    <n v="0.22"/>
    <x v="1442"/>
  </r>
  <r>
    <x v="14"/>
    <x v="1443"/>
    <s v="PROD67"/>
    <d v="2024-03-18T00:00:00"/>
    <s v="CUST1221"/>
    <s v="Flores-Davis"/>
    <x v="4"/>
    <n v="2"/>
    <x v="1435"/>
    <n v="0.13"/>
    <x v="1443"/>
  </r>
  <r>
    <x v="14"/>
    <x v="1444"/>
    <s v="PROD68"/>
    <d v="2024-07-05T00:00:00"/>
    <s v="CUST1401"/>
    <s v="Wolfe, Ross and Hester"/>
    <x v="1"/>
    <n v="2"/>
    <x v="1436"/>
    <n v="0.11"/>
    <x v="1444"/>
  </r>
  <r>
    <x v="14"/>
    <x v="1445"/>
    <s v="PROD7"/>
    <d v="2025-04-16T00:00:00"/>
    <s v="CUST1162"/>
    <s v="Harrell LLC"/>
    <x v="1"/>
    <n v="1"/>
    <x v="1437"/>
    <n v="0.03"/>
    <x v="1445"/>
  </r>
  <r>
    <x v="14"/>
    <x v="1446"/>
    <s v="PROD7"/>
    <d v="2025-03-15T00:00:00"/>
    <s v="CUST1183"/>
    <s v="Harrell LLC"/>
    <x v="1"/>
    <n v="4"/>
    <x v="1438"/>
    <n v="0.02"/>
    <x v="1446"/>
  </r>
  <r>
    <x v="14"/>
    <x v="1447"/>
    <s v="PROD70"/>
    <d v="2024-10-08T00:00:00"/>
    <s v="CUST1101"/>
    <s v="Duran Group"/>
    <x v="1"/>
    <n v="4"/>
    <x v="1439"/>
    <n v="0.06"/>
    <x v="1447"/>
  </r>
  <r>
    <x v="14"/>
    <x v="1448"/>
    <s v="PROD70"/>
    <d v="2024-03-16T00:00:00"/>
    <s v="CUST1176"/>
    <s v="Duran Group"/>
    <x v="1"/>
    <n v="4"/>
    <x v="1440"/>
    <n v="0.24"/>
    <x v="1448"/>
  </r>
  <r>
    <x v="14"/>
    <x v="1449"/>
    <s v="PROD70"/>
    <d v="2024-06-13T00:00:00"/>
    <s v="CUST1283"/>
    <s v="Duran Group"/>
    <x v="1"/>
    <n v="3"/>
    <x v="1441"/>
    <n v="0.28000000000000003"/>
    <x v="1449"/>
  </r>
  <r>
    <x v="14"/>
    <x v="1450"/>
    <s v="PROD72"/>
    <d v="2025-06-01T00:00:00"/>
    <s v="CUST1249"/>
    <s v="Davis PLC"/>
    <x v="2"/>
    <n v="1"/>
    <x v="1442"/>
    <n v="0.01"/>
    <x v="1450"/>
  </r>
  <r>
    <x v="14"/>
    <x v="1451"/>
    <s v="PROD73"/>
    <d v="2024-07-16T00:00:00"/>
    <s v="CUST1004"/>
    <s v="French Ltd"/>
    <x v="2"/>
    <n v="4"/>
    <x v="1443"/>
    <n v="0.14000000000000001"/>
    <x v="1451"/>
  </r>
  <r>
    <x v="14"/>
    <x v="1452"/>
    <s v="PROD73"/>
    <d v="2024-01-18T00:00:00"/>
    <s v="CUST1120"/>
    <s v="French Ltd"/>
    <x v="2"/>
    <n v="4"/>
    <x v="1444"/>
    <n v="0.05"/>
    <x v="1452"/>
  </r>
  <r>
    <x v="14"/>
    <x v="1453"/>
    <s v="PROD73"/>
    <d v="2025-05-01T00:00:00"/>
    <s v="CUST1475"/>
    <s v="French Ltd"/>
    <x v="2"/>
    <n v="4"/>
    <x v="1445"/>
    <n v="0.28000000000000003"/>
    <x v="1453"/>
  </r>
  <r>
    <x v="14"/>
    <x v="1454"/>
    <s v="PROD74"/>
    <d v="2024-09-10T00:00:00"/>
    <s v="CUST1119"/>
    <s v="Bruce-Bowen"/>
    <x v="4"/>
    <n v="1"/>
    <x v="1446"/>
    <n v="0.3"/>
    <x v="1454"/>
  </r>
  <r>
    <x v="14"/>
    <x v="1455"/>
    <s v="PROD75"/>
    <d v="2025-08-21T00:00:00"/>
    <s v="CUST1053"/>
    <s v="Poole PLC"/>
    <x v="3"/>
    <n v="2"/>
    <x v="1447"/>
    <n v="0.22"/>
    <x v="1455"/>
  </r>
  <r>
    <x v="14"/>
    <x v="1456"/>
    <s v="PROD76"/>
    <d v="2023-11-23T00:00:00"/>
    <s v="CUST1387"/>
    <s v="Larson Ltd"/>
    <x v="4"/>
    <n v="1"/>
    <x v="1448"/>
    <n v="0.23"/>
    <x v="1456"/>
  </r>
  <r>
    <x v="14"/>
    <x v="1457"/>
    <s v="PROD77"/>
    <d v="2023-11-02T00:00:00"/>
    <s v="CUST1123"/>
    <s v="White, Reeves and Woods"/>
    <x v="4"/>
    <n v="4"/>
    <x v="1449"/>
    <n v="0.18"/>
    <x v="1457"/>
  </r>
  <r>
    <x v="14"/>
    <x v="1458"/>
    <s v="PROD78"/>
    <d v="2024-08-22T00:00:00"/>
    <s v="CUST1191"/>
    <s v="Hernandez Inc"/>
    <x v="1"/>
    <n v="4"/>
    <x v="1450"/>
    <n v="0.14000000000000001"/>
    <x v="1458"/>
  </r>
  <r>
    <x v="14"/>
    <x v="1459"/>
    <s v="PROD78"/>
    <d v="2024-02-28T00:00:00"/>
    <s v="CUST1377"/>
    <s v="Hernandez Inc"/>
    <x v="1"/>
    <n v="1"/>
    <x v="1451"/>
    <n v="0.1"/>
    <x v="1459"/>
  </r>
  <r>
    <x v="14"/>
    <x v="1460"/>
    <s v="PROD79"/>
    <d v="2023-11-23T00:00:00"/>
    <s v="CUST1029"/>
    <s v="Ramirez-Hanson"/>
    <x v="1"/>
    <n v="2"/>
    <x v="1452"/>
    <n v="0.13"/>
    <x v="1460"/>
  </r>
  <r>
    <x v="14"/>
    <x v="1461"/>
    <s v="PROD81"/>
    <d v="2023-12-13T00:00:00"/>
    <s v="CUST1242"/>
    <s v="Robinson-Brown"/>
    <x v="2"/>
    <n v="4"/>
    <x v="1453"/>
    <n v="0.03"/>
    <x v="1461"/>
  </r>
  <r>
    <x v="14"/>
    <x v="1462"/>
    <s v="PROD81"/>
    <d v="2024-05-08T00:00:00"/>
    <s v="CUST1338"/>
    <s v="Robinson-Brown"/>
    <x v="2"/>
    <n v="1"/>
    <x v="1454"/>
    <n v="0.28000000000000003"/>
    <x v="1462"/>
  </r>
  <r>
    <x v="14"/>
    <x v="1463"/>
    <s v="PROD83"/>
    <d v="2024-09-11T00:00:00"/>
    <s v="CUST1074"/>
    <s v="Butler Group"/>
    <x v="0"/>
    <n v="2"/>
    <x v="1455"/>
    <n v="0.25"/>
    <x v="1463"/>
  </r>
  <r>
    <x v="14"/>
    <x v="1464"/>
    <s v="PROD84"/>
    <d v="2025-02-23T00:00:00"/>
    <s v="CUST1085"/>
    <s v="Collins-Stephenson"/>
    <x v="1"/>
    <n v="3"/>
    <x v="1456"/>
    <n v="0.26"/>
    <x v="1464"/>
  </r>
  <r>
    <x v="14"/>
    <x v="1465"/>
    <s v="PROD84"/>
    <d v="2024-04-07T00:00:00"/>
    <s v="CUST1205"/>
    <s v="Collins-Stephenson"/>
    <x v="1"/>
    <n v="3"/>
    <x v="1457"/>
    <n v="0.02"/>
    <x v="1465"/>
  </r>
  <r>
    <x v="14"/>
    <x v="1466"/>
    <s v="PROD86"/>
    <d v="2024-02-28T00:00:00"/>
    <s v="CUST1007"/>
    <s v="Taylor, Dodson and Johnston"/>
    <x v="1"/>
    <n v="1"/>
    <x v="1458"/>
    <n v="0.17"/>
    <x v="1466"/>
  </r>
  <r>
    <x v="14"/>
    <x v="1467"/>
    <s v="PROD87"/>
    <d v="2025-04-03T00:00:00"/>
    <s v="CUST1203"/>
    <s v="Aguilar, Horton and Lewis"/>
    <x v="1"/>
    <n v="1"/>
    <x v="1459"/>
    <n v="0.2"/>
    <x v="1467"/>
  </r>
  <r>
    <x v="14"/>
    <x v="1468"/>
    <s v="PROD88"/>
    <d v="2024-08-24T00:00:00"/>
    <s v="CUST1237"/>
    <s v="Olsen-Daniels"/>
    <x v="2"/>
    <n v="4"/>
    <x v="1460"/>
    <n v="0.01"/>
    <x v="1468"/>
  </r>
  <r>
    <x v="14"/>
    <x v="1469"/>
    <s v="PROD89"/>
    <d v="2024-08-23T00:00:00"/>
    <s v="CUST1040"/>
    <s v="Taylor-Elliott"/>
    <x v="0"/>
    <n v="1"/>
    <x v="1461"/>
    <n v="0.26"/>
    <x v="1469"/>
  </r>
  <r>
    <x v="14"/>
    <x v="1470"/>
    <s v="PROD9"/>
    <d v="2025-04-09T00:00:00"/>
    <s v="CUST1422"/>
    <s v="Hill PLC"/>
    <x v="2"/>
    <n v="2"/>
    <x v="1462"/>
    <n v="0.3"/>
    <x v="1470"/>
  </r>
  <r>
    <x v="14"/>
    <x v="1471"/>
    <s v="PROD90"/>
    <d v="2024-06-16T00:00:00"/>
    <s v="CUST1221"/>
    <s v="Sharp, Taylor and Rodriguez"/>
    <x v="4"/>
    <n v="1"/>
    <x v="1463"/>
    <n v="0.1"/>
    <x v="1471"/>
  </r>
  <r>
    <x v="14"/>
    <x v="1472"/>
    <s v="PROD91"/>
    <d v="2024-07-09T00:00:00"/>
    <s v="CUST1152"/>
    <s v="Smith-Charles"/>
    <x v="3"/>
    <n v="2"/>
    <x v="1464"/>
    <n v="0.05"/>
    <x v="1472"/>
  </r>
  <r>
    <x v="14"/>
    <x v="1473"/>
    <s v="PROD92"/>
    <d v="2023-12-31T00:00:00"/>
    <s v="CUST1047"/>
    <s v="Green, Powell and Palmer"/>
    <x v="1"/>
    <n v="3"/>
    <x v="1465"/>
    <n v="0.19"/>
    <x v="1473"/>
  </r>
  <r>
    <x v="14"/>
    <x v="1474"/>
    <s v="PROD93"/>
    <d v="2025-01-09T00:00:00"/>
    <s v="CUST1006"/>
    <s v="Martin LLC"/>
    <x v="4"/>
    <n v="2"/>
    <x v="1466"/>
    <n v="0.22"/>
    <x v="1474"/>
  </r>
  <r>
    <x v="14"/>
    <x v="1475"/>
    <s v="PROD93"/>
    <d v="2024-02-11T00:00:00"/>
    <s v="CUST1147"/>
    <s v="Martin LLC"/>
    <x v="4"/>
    <n v="3"/>
    <x v="1467"/>
    <n v="0.17"/>
    <x v="1475"/>
  </r>
  <r>
    <x v="14"/>
    <x v="1476"/>
    <s v="PROD94"/>
    <d v="2024-12-18T00:00:00"/>
    <s v="CUST1059"/>
    <s v="Hoffman-Williams"/>
    <x v="0"/>
    <n v="1"/>
    <x v="1468"/>
    <n v="0.05"/>
    <x v="1476"/>
  </r>
  <r>
    <x v="14"/>
    <x v="1477"/>
    <s v="PROD96"/>
    <d v="2024-06-12T00:00:00"/>
    <s v="CUST1004"/>
    <s v="Phillips and Sons"/>
    <x v="3"/>
    <n v="2"/>
    <x v="1469"/>
    <n v="0.17"/>
    <x v="1477"/>
  </r>
  <r>
    <x v="14"/>
    <x v="1478"/>
    <s v="PROD98"/>
    <d v="2024-07-08T00:00:00"/>
    <s v="CUST1163"/>
    <s v="Flores-King"/>
    <x v="4"/>
    <n v="3"/>
    <x v="1470"/>
    <n v="0.09"/>
    <x v="1478"/>
  </r>
  <r>
    <x v="15"/>
    <x v="1479"/>
    <s v="PROD10"/>
    <d v="2024-11-21T00:00:00"/>
    <s v="CUST1163"/>
    <s v="Hamilton Group"/>
    <x v="1"/>
    <n v="4"/>
    <x v="1471"/>
    <n v="0.15"/>
    <x v="1479"/>
  </r>
  <r>
    <x v="15"/>
    <x v="1480"/>
    <s v="PROD11"/>
    <d v="2024-04-13T00:00:00"/>
    <s v="CUST1099"/>
    <s v="Gibson, Hobbs and Weaver"/>
    <x v="4"/>
    <n v="3"/>
    <x v="1472"/>
    <n v="0.28000000000000003"/>
    <x v="1480"/>
  </r>
  <r>
    <x v="15"/>
    <x v="1481"/>
    <s v="PROD14"/>
    <d v="2025-09-07T00:00:00"/>
    <s v="CUST1026"/>
    <s v="Luna, Anderson and Bowman"/>
    <x v="1"/>
    <n v="4"/>
    <x v="1473"/>
    <n v="0.06"/>
    <x v="1481"/>
  </r>
  <r>
    <x v="15"/>
    <x v="1482"/>
    <s v="PROD15"/>
    <d v="2024-04-15T00:00:00"/>
    <s v="CUST1033"/>
    <s v="Thomas LLC"/>
    <x v="4"/>
    <n v="1"/>
    <x v="1474"/>
    <n v="0.12"/>
    <x v="1482"/>
  </r>
  <r>
    <x v="15"/>
    <x v="1483"/>
    <s v="PROD15"/>
    <d v="2023-11-23T00:00:00"/>
    <s v="CUST1135"/>
    <s v="Thomas LLC"/>
    <x v="4"/>
    <n v="1"/>
    <x v="1475"/>
    <n v="0.21"/>
    <x v="1483"/>
  </r>
  <r>
    <x v="15"/>
    <x v="1484"/>
    <s v="PROD17"/>
    <d v="2024-03-13T00:00:00"/>
    <s v="CUST1111"/>
    <s v="Ford, Murphy and Wilson"/>
    <x v="2"/>
    <n v="4"/>
    <x v="1476"/>
    <n v="0.19"/>
    <x v="1484"/>
  </r>
  <r>
    <x v="15"/>
    <x v="1485"/>
    <s v="PROD17"/>
    <d v="2024-07-10T00:00:00"/>
    <s v="CUST1349"/>
    <s v="Ford, Murphy and Wilson"/>
    <x v="2"/>
    <n v="4"/>
    <x v="1477"/>
    <n v="0.06"/>
    <x v="1485"/>
  </r>
  <r>
    <x v="15"/>
    <x v="1486"/>
    <s v="PROD18"/>
    <d v="2024-12-22T00:00:00"/>
    <s v="CUST1405"/>
    <s v="Guerra-Hendrix"/>
    <x v="3"/>
    <n v="3"/>
    <x v="1478"/>
    <n v="0.28999999999999998"/>
    <x v="1486"/>
  </r>
  <r>
    <x v="15"/>
    <x v="1487"/>
    <s v="PROD19"/>
    <d v="2024-01-01T00:00:00"/>
    <s v="CUST1277"/>
    <s v="May-Reese"/>
    <x v="2"/>
    <n v="3"/>
    <x v="1479"/>
    <n v="0.26"/>
    <x v="1487"/>
  </r>
  <r>
    <x v="15"/>
    <x v="1488"/>
    <s v="PROD26"/>
    <d v="2025-06-06T00:00:00"/>
    <s v="CUST1137"/>
    <s v="Reed-Schmidt"/>
    <x v="4"/>
    <n v="4"/>
    <x v="1480"/>
    <n v="0.13"/>
    <x v="1488"/>
  </r>
  <r>
    <x v="15"/>
    <x v="1489"/>
    <s v="PROD26"/>
    <d v="2025-03-13T00:00:00"/>
    <s v="CUST1459"/>
    <s v="Reed-Schmidt"/>
    <x v="4"/>
    <n v="1"/>
    <x v="1481"/>
    <n v="0.28999999999999998"/>
    <x v="1489"/>
  </r>
  <r>
    <x v="15"/>
    <x v="1490"/>
    <s v="PROD26"/>
    <d v="2024-05-16T00:00:00"/>
    <s v="CUST1482"/>
    <s v="Reed-Schmidt"/>
    <x v="4"/>
    <n v="4"/>
    <x v="1482"/>
    <n v="0"/>
    <x v="1490"/>
  </r>
  <r>
    <x v="15"/>
    <x v="1491"/>
    <s v="PROD27"/>
    <d v="2024-04-12T00:00:00"/>
    <s v="CUST1144"/>
    <s v="Khan, Jones and Paul"/>
    <x v="1"/>
    <n v="2"/>
    <x v="1483"/>
    <n v="0.24"/>
    <x v="1491"/>
  </r>
  <r>
    <x v="15"/>
    <x v="1492"/>
    <s v="PROD30"/>
    <d v="2025-05-29T00:00:00"/>
    <s v="CUST1200"/>
    <s v="Stevens, Fernandez and Martin"/>
    <x v="1"/>
    <n v="1"/>
    <x v="1484"/>
    <n v="0.1"/>
    <x v="1492"/>
  </r>
  <r>
    <x v="15"/>
    <x v="1493"/>
    <s v="PROD31"/>
    <d v="2025-07-19T00:00:00"/>
    <s v="CUST1099"/>
    <s v="Nolan-Snow"/>
    <x v="2"/>
    <n v="4"/>
    <x v="1485"/>
    <n v="0.09"/>
    <x v="1493"/>
  </r>
  <r>
    <x v="15"/>
    <x v="1494"/>
    <s v="PROD33"/>
    <d v="2025-01-20T00:00:00"/>
    <s v="CUST1369"/>
    <s v="Weiss-Watson"/>
    <x v="1"/>
    <n v="2"/>
    <x v="1486"/>
    <n v="0.18"/>
    <x v="1494"/>
  </r>
  <r>
    <x v="15"/>
    <x v="1495"/>
    <s v="PROD34"/>
    <d v="2024-12-26T00:00:00"/>
    <s v="CUST1272"/>
    <s v="Lucero LLC"/>
    <x v="4"/>
    <n v="4"/>
    <x v="1487"/>
    <n v="0.05"/>
    <x v="1495"/>
  </r>
  <r>
    <x v="15"/>
    <x v="1496"/>
    <s v="PROD35"/>
    <d v="2024-11-19T00:00:00"/>
    <s v="CUST1140"/>
    <s v="Jones LLC"/>
    <x v="1"/>
    <n v="3"/>
    <x v="1488"/>
    <n v="0.14000000000000001"/>
    <x v="1496"/>
  </r>
  <r>
    <x v="15"/>
    <x v="1497"/>
    <s v="PROD38"/>
    <d v="2024-08-29T00:00:00"/>
    <s v="CUST1409"/>
    <s v="Sims-Smith"/>
    <x v="2"/>
    <n v="1"/>
    <x v="1489"/>
    <n v="0.09"/>
    <x v="1497"/>
  </r>
  <r>
    <x v="15"/>
    <x v="1498"/>
    <s v="PROD39"/>
    <d v="2024-01-03T00:00:00"/>
    <s v="CUST1343"/>
    <s v="Cummings and Sons"/>
    <x v="4"/>
    <n v="1"/>
    <x v="1490"/>
    <n v="0.17"/>
    <x v="1498"/>
  </r>
  <r>
    <x v="15"/>
    <x v="1499"/>
    <s v="PROD40"/>
    <d v="2024-03-09T00:00:00"/>
    <s v="CUST1365"/>
    <s v="Taylor-Hart"/>
    <x v="4"/>
    <n v="3"/>
    <x v="1491"/>
    <n v="0"/>
    <x v="1499"/>
  </r>
  <r>
    <x v="15"/>
    <x v="1500"/>
    <s v="PROD41"/>
    <d v="2024-09-21T00:00:00"/>
    <s v="CUST1340"/>
    <s v="Carroll, Long and Mendoza"/>
    <x v="2"/>
    <n v="2"/>
    <x v="1492"/>
    <n v="0.12"/>
    <x v="1500"/>
  </r>
  <r>
    <x v="15"/>
    <x v="1501"/>
    <s v="PROD43"/>
    <d v="2025-02-28T00:00:00"/>
    <s v="CUST1201"/>
    <s v="Robinson Inc"/>
    <x v="4"/>
    <n v="2"/>
    <x v="1493"/>
    <n v="0.28000000000000003"/>
    <x v="1501"/>
  </r>
  <r>
    <x v="15"/>
    <x v="1502"/>
    <s v="PROD43"/>
    <d v="2025-07-04T00:00:00"/>
    <s v="CUST1360"/>
    <s v="Robinson Inc"/>
    <x v="4"/>
    <n v="3"/>
    <x v="1494"/>
    <n v="0.01"/>
    <x v="1502"/>
  </r>
  <r>
    <x v="15"/>
    <x v="1503"/>
    <s v="PROD45"/>
    <d v="2023-11-27T00:00:00"/>
    <s v="CUST1161"/>
    <s v="Bridges, Banks and Cummings"/>
    <x v="2"/>
    <n v="2"/>
    <x v="1495"/>
    <n v="0.14000000000000001"/>
    <x v="1503"/>
  </r>
  <r>
    <x v="15"/>
    <x v="1504"/>
    <s v="PROD48"/>
    <d v="2024-03-25T00:00:00"/>
    <s v="CUST1432"/>
    <s v="Byrd, Stewart and Valdez"/>
    <x v="4"/>
    <n v="1"/>
    <x v="1496"/>
    <n v="0.28999999999999998"/>
    <x v="1504"/>
  </r>
  <r>
    <x v="15"/>
    <x v="1505"/>
    <s v="PROD49"/>
    <d v="2024-01-16T00:00:00"/>
    <s v="CUST1053"/>
    <s v="Sullivan and Sons"/>
    <x v="0"/>
    <n v="1"/>
    <x v="1497"/>
    <n v="0.17"/>
    <x v="1505"/>
  </r>
  <r>
    <x v="15"/>
    <x v="1506"/>
    <s v="PROD5"/>
    <d v="2023-12-06T00:00:00"/>
    <s v="CUST1148"/>
    <s v="Baldwin, Garza and Gonzalez"/>
    <x v="3"/>
    <n v="3"/>
    <x v="1498"/>
    <n v="0.26"/>
    <x v="1506"/>
  </r>
  <r>
    <x v="15"/>
    <x v="1507"/>
    <s v="PROD5"/>
    <d v="2024-06-23T00:00:00"/>
    <s v="CUST1310"/>
    <s v="Baldwin, Garza and Gonzalez"/>
    <x v="3"/>
    <n v="2"/>
    <x v="1499"/>
    <n v="0.09"/>
    <x v="1507"/>
  </r>
  <r>
    <x v="15"/>
    <x v="1508"/>
    <s v="PROD5"/>
    <d v="2024-02-03T00:00:00"/>
    <s v="CUST1370"/>
    <s v="Baldwin, Garza and Gonzalez"/>
    <x v="3"/>
    <n v="2"/>
    <x v="1500"/>
    <n v="0.21"/>
    <x v="1508"/>
  </r>
  <r>
    <x v="15"/>
    <x v="1509"/>
    <s v="PROD50"/>
    <d v="2024-01-01T00:00:00"/>
    <s v="CUST1043"/>
    <s v="Smith-King"/>
    <x v="2"/>
    <n v="2"/>
    <x v="1501"/>
    <n v="7.0000000000000007E-2"/>
    <x v="1509"/>
  </r>
  <r>
    <x v="15"/>
    <x v="1510"/>
    <s v="PROD50"/>
    <d v="2024-11-13T00:00:00"/>
    <s v="CUST1349"/>
    <s v="Smith-King"/>
    <x v="2"/>
    <n v="2"/>
    <x v="1502"/>
    <n v="0.15"/>
    <x v="1510"/>
  </r>
  <r>
    <x v="15"/>
    <x v="1511"/>
    <s v="PROD52"/>
    <d v="2024-05-21T00:00:00"/>
    <s v="CUST1068"/>
    <s v="Harris Inc"/>
    <x v="2"/>
    <n v="4"/>
    <x v="1503"/>
    <n v="0.16"/>
    <x v="1511"/>
  </r>
  <r>
    <x v="15"/>
    <x v="1512"/>
    <s v="PROD52"/>
    <d v="2024-09-22T00:00:00"/>
    <s v="CUST1403"/>
    <s v="Harris Inc"/>
    <x v="2"/>
    <n v="2"/>
    <x v="1504"/>
    <n v="0.19"/>
    <x v="1512"/>
  </r>
  <r>
    <x v="15"/>
    <x v="1513"/>
    <s v="PROD53"/>
    <d v="2024-11-25T00:00:00"/>
    <s v="CUST1130"/>
    <s v="Hamilton, Woods and Walker"/>
    <x v="3"/>
    <n v="3"/>
    <x v="1505"/>
    <n v="0.22"/>
    <x v="1513"/>
  </r>
  <r>
    <x v="15"/>
    <x v="1514"/>
    <s v="PROD53"/>
    <d v="2024-09-09T00:00:00"/>
    <s v="CUST1427"/>
    <s v="Hamilton, Woods and Walker"/>
    <x v="3"/>
    <n v="3"/>
    <x v="1506"/>
    <n v="0.22"/>
    <x v="1514"/>
  </r>
  <r>
    <x v="15"/>
    <x v="1515"/>
    <s v="PROD54"/>
    <d v="2025-08-07T00:00:00"/>
    <s v="CUST1002"/>
    <s v="Thompson-French"/>
    <x v="2"/>
    <n v="1"/>
    <x v="1507"/>
    <n v="0.11"/>
    <x v="1515"/>
  </r>
  <r>
    <x v="15"/>
    <x v="1516"/>
    <s v="PROD54"/>
    <d v="2024-12-12T00:00:00"/>
    <s v="CUST1157"/>
    <s v="Thompson-French"/>
    <x v="2"/>
    <n v="2"/>
    <x v="1508"/>
    <n v="7.0000000000000007E-2"/>
    <x v="1516"/>
  </r>
  <r>
    <x v="15"/>
    <x v="1517"/>
    <s v="PROD55"/>
    <d v="2025-08-14T00:00:00"/>
    <s v="CUST1097"/>
    <s v="Hatfield, Baird and Torres"/>
    <x v="1"/>
    <n v="1"/>
    <x v="1509"/>
    <n v="0.04"/>
    <x v="1517"/>
  </r>
  <r>
    <x v="15"/>
    <x v="1518"/>
    <s v="PROD57"/>
    <d v="2024-10-02T00:00:00"/>
    <s v="CUST1285"/>
    <s v="Atkinson, Camacho and Oliver"/>
    <x v="2"/>
    <n v="3"/>
    <x v="1510"/>
    <n v="0.22"/>
    <x v="1518"/>
  </r>
  <r>
    <x v="15"/>
    <x v="1519"/>
    <s v="PROD59"/>
    <d v="2024-07-23T00:00:00"/>
    <s v="CUST1350"/>
    <s v="Cline-Mccarthy"/>
    <x v="0"/>
    <n v="3"/>
    <x v="1511"/>
    <n v="7.0000000000000007E-2"/>
    <x v="1519"/>
  </r>
  <r>
    <x v="15"/>
    <x v="1520"/>
    <s v="PROD59"/>
    <d v="2024-01-06T00:00:00"/>
    <s v="CUST1493"/>
    <s v="Cline-Mccarthy"/>
    <x v="0"/>
    <n v="3"/>
    <x v="1512"/>
    <n v="0.18"/>
    <x v="1520"/>
  </r>
  <r>
    <x v="15"/>
    <x v="1521"/>
    <s v="PROD60"/>
    <d v="2025-07-11T00:00:00"/>
    <s v="CUST1058"/>
    <s v="Gibson, Green and Lopez"/>
    <x v="0"/>
    <n v="3"/>
    <x v="1513"/>
    <n v="0.28000000000000003"/>
    <x v="1521"/>
  </r>
  <r>
    <x v="15"/>
    <x v="1522"/>
    <s v="PROD61"/>
    <d v="2024-12-25T00:00:00"/>
    <s v="CUST1028"/>
    <s v="Lopez LLC"/>
    <x v="2"/>
    <n v="3"/>
    <x v="1514"/>
    <n v="0.09"/>
    <x v="1522"/>
  </r>
  <r>
    <x v="15"/>
    <x v="1523"/>
    <s v="PROD61"/>
    <d v="2025-02-01T00:00:00"/>
    <s v="CUST1309"/>
    <s v="Lopez LLC"/>
    <x v="2"/>
    <n v="4"/>
    <x v="1515"/>
    <n v="0.19"/>
    <x v="1523"/>
  </r>
  <r>
    <x v="15"/>
    <x v="1524"/>
    <s v="PROD61"/>
    <d v="2024-08-05T00:00:00"/>
    <s v="CUST1310"/>
    <s v="Lopez LLC"/>
    <x v="2"/>
    <n v="1"/>
    <x v="1516"/>
    <n v="0.1"/>
    <x v="1524"/>
  </r>
  <r>
    <x v="15"/>
    <x v="1525"/>
    <s v="PROD62"/>
    <d v="2025-01-13T00:00:00"/>
    <s v="CUST1098"/>
    <s v="Murray, Gould and Ware"/>
    <x v="4"/>
    <n v="4"/>
    <x v="1517"/>
    <n v="0.27"/>
    <x v="1525"/>
  </r>
  <r>
    <x v="15"/>
    <x v="1526"/>
    <s v="PROD63"/>
    <d v="2025-03-29T00:00:00"/>
    <s v="CUST1124"/>
    <s v="Anderson-Riley"/>
    <x v="0"/>
    <n v="4"/>
    <x v="1518"/>
    <n v="0.02"/>
    <x v="1526"/>
  </r>
  <r>
    <x v="15"/>
    <x v="1527"/>
    <s v="PROD64"/>
    <d v="2025-07-17T00:00:00"/>
    <s v="CUST1314"/>
    <s v="Zhang Inc"/>
    <x v="0"/>
    <n v="4"/>
    <x v="1519"/>
    <n v="0.26"/>
    <x v="1527"/>
  </r>
  <r>
    <x v="15"/>
    <x v="1528"/>
    <s v="PROD66"/>
    <d v="2024-12-20T00:00:00"/>
    <s v="CUST1038"/>
    <s v="Torres, Spencer and Potter"/>
    <x v="0"/>
    <n v="2"/>
    <x v="1520"/>
    <n v="0.26"/>
    <x v="1528"/>
  </r>
  <r>
    <x v="15"/>
    <x v="1529"/>
    <s v="PROD66"/>
    <d v="2025-06-16T00:00:00"/>
    <s v="CUST1325"/>
    <s v="Torres, Spencer and Potter"/>
    <x v="0"/>
    <n v="2"/>
    <x v="1521"/>
    <n v="0.11"/>
    <x v="1529"/>
  </r>
  <r>
    <x v="15"/>
    <x v="1530"/>
    <s v="PROD67"/>
    <d v="2025-05-19T00:00:00"/>
    <s v="CUST1211"/>
    <s v="Flores-Davis"/>
    <x v="4"/>
    <n v="2"/>
    <x v="1522"/>
    <n v="0.14000000000000001"/>
    <x v="1530"/>
  </r>
  <r>
    <x v="15"/>
    <x v="1531"/>
    <s v="PROD68"/>
    <d v="2024-04-23T00:00:00"/>
    <s v="CUST1382"/>
    <s v="Wolfe, Ross and Hester"/>
    <x v="1"/>
    <n v="3"/>
    <x v="1523"/>
    <n v="0.11"/>
    <x v="1531"/>
  </r>
  <r>
    <x v="15"/>
    <x v="1532"/>
    <s v="PROD69"/>
    <d v="2024-10-15T00:00:00"/>
    <s v="CUST1145"/>
    <s v="Fitzpatrick Ltd"/>
    <x v="3"/>
    <n v="1"/>
    <x v="1524"/>
    <n v="0.3"/>
    <x v="1532"/>
  </r>
  <r>
    <x v="15"/>
    <x v="1533"/>
    <s v="PROD71"/>
    <d v="2024-09-17T00:00:00"/>
    <s v="CUST1058"/>
    <s v="Hopkins Ltd"/>
    <x v="0"/>
    <n v="2"/>
    <x v="1525"/>
    <n v="0.08"/>
    <x v="1533"/>
  </r>
  <r>
    <x v="15"/>
    <x v="1534"/>
    <s v="PROD73"/>
    <d v="2024-01-25T00:00:00"/>
    <s v="CUST1151"/>
    <s v="French Ltd"/>
    <x v="2"/>
    <n v="2"/>
    <x v="1526"/>
    <n v="0.04"/>
    <x v="1534"/>
  </r>
  <r>
    <x v="15"/>
    <x v="1535"/>
    <s v="PROD74"/>
    <d v="2023-11-13T00:00:00"/>
    <s v="CUST1271"/>
    <s v="Bruce-Bowen"/>
    <x v="4"/>
    <n v="1"/>
    <x v="1527"/>
    <n v="0.01"/>
    <x v="1535"/>
  </r>
  <r>
    <x v="15"/>
    <x v="1536"/>
    <s v="PROD75"/>
    <d v="2024-08-07T00:00:00"/>
    <s v="CUST1208"/>
    <s v="Poole PLC"/>
    <x v="3"/>
    <n v="1"/>
    <x v="1528"/>
    <n v="0.04"/>
    <x v="1536"/>
  </r>
  <r>
    <x v="15"/>
    <x v="1537"/>
    <s v="PROD75"/>
    <d v="2024-11-28T00:00:00"/>
    <s v="CUST1468"/>
    <s v="Poole PLC"/>
    <x v="3"/>
    <n v="2"/>
    <x v="1529"/>
    <n v="0.2"/>
    <x v="1537"/>
  </r>
  <r>
    <x v="15"/>
    <x v="1538"/>
    <s v="PROD78"/>
    <d v="2025-09-02T00:00:00"/>
    <s v="CUST1318"/>
    <s v="Hernandez Inc"/>
    <x v="1"/>
    <n v="2"/>
    <x v="1530"/>
    <n v="0.21"/>
    <x v="1538"/>
  </r>
  <r>
    <x v="15"/>
    <x v="1539"/>
    <s v="PROD79"/>
    <d v="2025-08-11T00:00:00"/>
    <s v="CUST1010"/>
    <s v="Ramirez-Hanson"/>
    <x v="1"/>
    <n v="1"/>
    <x v="1531"/>
    <n v="0.05"/>
    <x v="1539"/>
  </r>
  <r>
    <x v="15"/>
    <x v="1540"/>
    <s v="PROD79"/>
    <d v="2024-07-07T00:00:00"/>
    <s v="CUST1035"/>
    <s v="Ramirez-Hanson"/>
    <x v="1"/>
    <n v="2"/>
    <x v="1532"/>
    <n v="0.1"/>
    <x v="1540"/>
  </r>
  <r>
    <x v="15"/>
    <x v="1541"/>
    <s v="PROD8"/>
    <d v="2024-10-03T00:00:00"/>
    <s v="CUST1324"/>
    <s v="Perez-Johnston"/>
    <x v="4"/>
    <n v="2"/>
    <x v="1533"/>
    <n v="0.3"/>
    <x v="1541"/>
  </r>
  <r>
    <x v="15"/>
    <x v="1542"/>
    <s v="PROD80"/>
    <d v="2025-01-15T00:00:00"/>
    <s v="CUST1095"/>
    <s v="Allison Ltd"/>
    <x v="1"/>
    <n v="1"/>
    <x v="1534"/>
    <n v="0.18"/>
    <x v="1542"/>
  </r>
  <r>
    <x v="15"/>
    <x v="1543"/>
    <s v="PROD81"/>
    <d v="2024-11-05T00:00:00"/>
    <s v="CUST1004"/>
    <s v="Robinson-Brown"/>
    <x v="2"/>
    <n v="2"/>
    <x v="1535"/>
    <n v="0.05"/>
    <x v="1543"/>
  </r>
  <r>
    <x v="15"/>
    <x v="1544"/>
    <s v="PROD83"/>
    <d v="2024-01-09T00:00:00"/>
    <s v="CUST1222"/>
    <s v="Butler Group"/>
    <x v="0"/>
    <n v="3"/>
    <x v="1536"/>
    <n v="0.28999999999999998"/>
    <x v="1544"/>
  </r>
  <r>
    <x v="15"/>
    <x v="1545"/>
    <s v="PROD83"/>
    <d v="2024-06-30T00:00:00"/>
    <s v="CUST1306"/>
    <s v="Butler Group"/>
    <x v="0"/>
    <n v="2"/>
    <x v="1537"/>
    <n v="0.28999999999999998"/>
    <x v="1545"/>
  </r>
  <r>
    <x v="15"/>
    <x v="1546"/>
    <s v="PROD84"/>
    <d v="2023-11-05T00:00:00"/>
    <s v="CUST1029"/>
    <s v="Collins-Stephenson"/>
    <x v="1"/>
    <n v="3"/>
    <x v="1538"/>
    <n v="7.0000000000000007E-2"/>
    <x v="1546"/>
  </r>
  <r>
    <x v="15"/>
    <x v="1547"/>
    <s v="PROD85"/>
    <d v="2024-07-24T00:00:00"/>
    <s v="CUST1288"/>
    <s v="Richardson-Carrillo"/>
    <x v="3"/>
    <n v="2"/>
    <x v="1539"/>
    <n v="0.09"/>
    <x v="1547"/>
  </r>
  <r>
    <x v="15"/>
    <x v="1548"/>
    <s v="PROD88"/>
    <d v="2023-11-20T00:00:00"/>
    <s v="CUST1017"/>
    <s v="Olsen-Daniels"/>
    <x v="2"/>
    <n v="4"/>
    <x v="1540"/>
    <n v="0.2"/>
    <x v="1548"/>
  </r>
  <r>
    <x v="15"/>
    <x v="1549"/>
    <s v="PROD88"/>
    <d v="2025-08-14T00:00:00"/>
    <s v="CUST1437"/>
    <s v="Olsen-Daniels"/>
    <x v="2"/>
    <n v="1"/>
    <x v="1541"/>
    <n v="0.22"/>
    <x v="1549"/>
  </r>
  <r>
    <x v="15"/>
    <x v="1550"/>
    <s v="PROD9"/>
    <d v="2024-12-13T00:00:00"/>
    <s v="CUST1022"/>
    <s v="Hill PLC"/>
    <x v="2"/>
    <n v="3"/>
    <x v="1542"/>
    <n v="0.14000000000000001"/>
    <x v="1550"/>
  </r>
  <r>
    <x v="15"/>
    <x v="1551"/>
    <s v="PROD9"/>
    <d v="2025-01-31T00:00:00"/>
    <s v="CUST1323"/>
    <s v="Hill PLC"/>
    <x v="2"/>
    <n v="2"/>
    <x v="1543"/>
    <n v="0.19"/>
    <x v="1551"/>
  </r>
  <r>
    <x v="15"/>
    <x v="1552"/>
    <s v="PROD90"/>
    <d v="2024-05-09T00:00:00"/>
    <s v="CUST1036"/>
    <s v="Sharp, Taylor and Rodriguez"/>
    <x v="4"/>
    <n v="2"/>
    <x v="1544"/>
    <n v="0.23"/>
    <x v="1552"/>
  </r>
  <r>
    <x v="15"/>
    <x v="1553"/>
    <s v="PROD90"/>
    <d v="2023-11-25T00:00:00"/>
    <s v="CUST1171"/>
    <s v="Sharp, Taylor and Rodriguez"/>
    <x v="4"/>
    <n v="2"/>
    <x v="1545"/>
    <n v="0.01"/>
    <x v="1553"/>
  </r>
  <r>
    <x v="15"/>
    <x v="1554"/>
    <s v="PROD91"/>
    <d v="2025-02-02T00:00:00"/>
    <s v="CUST1081"/>
    <s v="Smith-Charles"/>
    <x v="3"/>
    <n v="3"/>
    <x v="1546"/>
    <n v="0.18"/>
    <x v="1554"/>
  </r>
  <r>
    <x v="15"/>
    <x v="1555"/>
    <s v="PROD91"/>
    <d v="2025-08-19T00:00:00"/>
    <s v="CUST1094"/>
    <s v="Smith-Charles"/>
    <x v="3"/>
    <n v="3"/>
    <x v="1547"/>
    <n v="0.05"/>
    <x v="1555"/>
  </r>
  <r>
    <x v="15"/>
    <x v="1556"/>
    <s v="PROD91"/>
    <d v="2024-03-13T00:00:00"/>
    <s v="CUST1118"/>
    <s v="Smith-Charles"/>
    <x v="3"/>
    <n v="4"/>
    <x v="1548"/>
    <n v="0.24"/>
    <x v="1556"/>
  </r>
  <r>
    <x v="15"/>
    <x v="1557"/>
    <s v="PROD94"/>
    <d v="2025-08-16T00:00:00"/>
    <s v="CUST1066"/>
    <s v="Hoffman-Williams"/>
    <x v="0"/>
    <n v="4"/>
    <x v="1549"/>
    <n v="0"/>
    <x v="1557"/>
  </r>
  <r>
    <x v="15"/>
    <x v="1558"/>
    <s v="PROD94"/>
    <d v="2025-07-23T00:00:00"/>
    <s v="CUST1087"/>
    <s v="Hoffman-Williams"/>
    <x v="0"/>
    <n v="1"/>
    <x v="1550"/>
    <n v="0.23"/>
    <x v="1558"/>
  </r>
  <r>
    <x v="15"/>
    <x v="1559"/>
    <s v="PROD96"/>
    <d v="2023-11-27T00:00:00"/>
    <s v="CUST1325"/>
    <s v="Phillips and Sons"/>
    <x v="3"/>
    <n v="3"/>
    <x v="1551"/>
    <n v="0.1"/>
    <x v="1559"/>
  </r>
  <r>
    <x v="15"/>
    <x v="1560"/>
    <s v="PROD97"/>
    <d v="2023-11-22T00:00:00"/>
    <s v="CUST1163"/>
    <s v="Khan LLC"/>
    <x v="2"/>
    <n v="2"/>
    <x v="1552"/>
    <n v="0.17"/>
    <x v="1560"/>
  </r>
  <r>
    <x v="15"/>
    <x v="1561"/>
    <s v="PROD99"/>
    <d v="2025-05-04T00:00:00"/>
    <s v="CUST1187"/>
    <s v="Campbell Ltd"/>
    <x v="1"/>
    <n v="2.7904357624168861"/>
    <x v="1553"/>
    <n v="7.0000000000000007E-2"/>
    <x v="1561"/>
  </r>
  <r>
    <x v="16"/>
    <x v="1562"/>
    <s v="PROD1"/>
    <d v="2025-07-21T00:00:00"/>
    <s v="CUST1057"/>
    <s v="Terry-Moore"/>
    <x v="3"/>
    <n v="4"/>
    <x v="1554"/>
    <n v="0.06"/>
    <x v="1562"/>
  </r>
  <r>
    <x v="16"/>
    <x v="1563"/>
    <s v="PROD10"/>
    <d v="2025-02-07T00:00:00"/>
    <s v="CUST1378"/>
    <s v="Hamilton Group"/>
    <x v="1"/>
    <n v="3"/>
    <x v="1555"/>
    <n v="0"/>
    <x v="1563"/>
  </r>
  <r>
    <x v="16"/>
    <x v="1564"/>
    <s v="PROD10"/>
    <d v="2025-01-10T00:00:00"/>
    <s v="CUST1444"/>
    <s v="Hamilton Group"/>
    <x v="1"/>
    <n v="4"/>
    <x v="1556"/>
    <n v="0.25"/>
    <x v="1564"/>
  </r>
  <r>
    <x v="16"/>
    <x v="1565"/>
    <s v="PROD11"/>
    <d v="2025-05-26T00:00:00"/>
    <s v="CUST1172"/>
    <s v="Gibson, Hobbs and Weaver"/>
    <x v="4"/>
    <n v="1"/>
    <x v="1557"/>
    <n v="0.15"/>
    <x v="1565"/>
  </r>
  <r>
    <x v="16"/>
    <x v="1566"/>
    <s v="PROD12"/>
    <d v="2024-08-13T00:00:00"/>
    <s v="CUST1135"/>
    <s v="Rice LLC"/>
    <x v="0"/>
    <n v="2"/>
    <x v="1558"/>
    <n v="0.1"/>
    <x v="1566"/>
  </r>
  <r>
    <x v="16"/>
    <x v="1567"/>
    <s v="PROD12"/>
    <d v="2024-11-24T00:00:00"/>
    <s v="CUST1453"/>
    <s v="Rice LLC"/>
    <x v="0"/>
    <n v="2"/>
    <x v="1559"/>
    <n v="0.15"/>
    <x v="1567"/>
  </r>
  <r>
    <x v="16"/>
    <x v="1568"/>
    <s v="PROD14"/>
    <d v="2023-11-28T00:00:00"/>
    <s v="CUST1123"/>
    <s v="Luna, Anderson and Bowman"/>
    <x v="1"/>
    <n v="2"/>
    <x v="1560"/>
    <n v="7.0000000000000007E-2"/>
    <x v="1568"/>
  </r>
  <r>
    <x v="16"/>
    <x v="1569"/>
    <s v="PROD15"/>
    <d v="2024-12-03T00:00:00"/>
    <s v="CUST1055"/>
    <s v="Thomas LLC"/>
    <x v="4"/>
    <n v="2"/>
    <x v="1561"/>
    <n v="0"/>
    <x v="1569"/>
  </r>
  <r>
    <x v="16"/>
    <x v="1570"/>
    <s v="PROD15"/>
    <d v="2024-10-04T00:00:00"/>
    <s v="CUST1134"/>
    <s v="Thomas LLC"/>
    <x v="4"/>
    <n v="4"/>
    <x v="1562"/>
    <n v="0"/>
    <x v="1570"/>
  </r>
  <r>
    <x v="16"/>
    <x v="1571"/>
    <s v="PROD17"/>
    <d v="2024-09-30T00:00:00"/>
    <s v="CUST1444"/>
    <s v="Ford, Murphy and Wilson"/>
    <x v="2"/>
    <n v="1"/>
    <x v="1563"/>
    <n v="0.01"/>
    <x v="1571"/>
  </r>
  <r>
    <x v="16"/>
    <x v="1572"/>
    <s v="PROD18"/>
    <d v="2025-03-02T00:00:00"/>
    <s v="CUST1476"/>
    <s v="Guerra-Hendrix"/>
    <x v="3"/>
    <n v="4"/>
    <x v="1564"/>
    <n v="0.23"/>
    <x v="1572"/>
  </r>
  <r>
    <x v="16"/>
    <x v="1573"/>
    <s v="PROD19"/>
    <d v="2025-01-11T00:00:00"/>
    <s v="CUST1027"/>
    <s v="May-Reese"/>
    <x v="2"/>
    <n v="2"/>
    <x v="1565"/>
    <n v="0.23"/>
    <x v="1573"/>
  </r>
  <r>
    <x v="16"/>
    <x v="1574"/>
    <s v="PROD19"/>
    <d v="2024-02-18T00:00:00"/>
    <s v="CUST1363"/>
    <s v="May-Reese"/>
    <x v="2"/>
    <n v="2"/>
    <x v="1566"/>
    <n v="0.1"/>
    <x v="1574"/>
  </r>
  <r>
    <x v="16"/>
    <x v="1575"/>
    <s v="PROD20"/>
    <d v="2024-06-03T00:00:00"/>
    <s v="CUST1328"/>
    <s v="Soto-Ellis"/>
    <x v="2"/>
    <n v="2"/>
    <x v="1567"/>
    <n v="0.02"/>
    <x v="1575"/>
  </r>
  <r>
    <x v="16"/>
    <x v="1576"/>
    <s v="PROD21"/>
    <d v="2024-02-22T00:00:00"/>
    <s v="CUST1095"/>
    <s v="Gardner-Montes"/>
    <x v="1"/>
    <n v="1"/>
    <x v="1568"/>
    <n v="0.01"/>
    <x v="1576"/>
  </r>
  <r>
    <x v="16"/>
    <x v="1577"/>
    <s v="PROD21"/>
    <d v="2025-06-28T00:00:00"/>
    <s v="CUST1141"/>
    <s v="Gardner-Montes"/>
    <x v="1"/>
    <n v="1"/>
    <x v="1569"/>
    <n v="0.25"/>
    <x v="1577"/>
  </r>
  <r>
    <x v="16"/>
    <x v="1578"/>
    <s v="PROD22"/>
    <d v="2024-12-20T00:00:00"/>
    <s v="CUST1123"/>
    <s v="Flores, Pineda and Rodriguez"/>
    <x v="2"/>
    <n v="1"/>
    <x v="1570"/>
    <n v="0.01"/>
    <x v="1578"/>
  </r>
  <r>
    <x v="16"/>
    <x v="1579"/>
    <s v="PROD22"/>
    <d v="2024-12-28T00:00:00"/>
    <s v="CUST1493"/>
    <s v="Flores, Pineda and Rodriguez"/>
    <x v="2"/>
    <n v="2"/>
    <x v="1571"/>
    <n v="0.02"/>
    <x v="1579"/>
  </r>
  <r>
    <x v="16"/>
    <x v="1580"/>
    <s v="PROD24"/>
    <d v="2024-03-16T00:00:00"/>
    <s v="CUST1017"/>
    <s v="Cook Ltd"/>
    <x v="2"/>
    <n v="4"/>
    <x v="1572"/>
    <n v="0.24"/>
    <x v="1580"/>
  </r>
  <r>
    <x v="16"/>
    <x v="1581"/>
    <s v="PROD24"/>
    <d v="2025-03-04T00:00:00"/>
    <s v="CUST1236"/>
    <s v="Cook Ltd"/>
    <x v="2"/>
    <n v="3"/>
    <x v="1573"/>
    <n v="0.03"/>
    <x v="1581"/>
  </r>
  <r>
    <x v="16"/>
    <x v="1582"/>
    <s v="PROD24"/>
    <d v="2024-03-22T00:00:00"/>
    <s v="CUST1394"/>
    <s v="Cook Ltd"/>
    <x v="2"/>
    <n v="3"/>
    <x v="1574"/>
    <n v="0.11"/>
    <x v="1582"/>
  </r>
  <r>
    <x v="16"/>
    <x v="1583"/>
    <s v="PROD25"/>
    <d v="2024-06-13T00:00:00"/>
    <s v="CUST1270"/>
    <s v="Brown and Sons"/>
    <x v="3"/>
    <n v="4"/>
    <x v="1575"/>
    <n v="0.28000000000000003"/>
    <x v="1583"/>
  </r>
  <r>
    <x v="16"/>
    <x v="1584"/>
    <s v="PROD29"/>
    <d v="2025-08-26T00:00:00"/>
    <s v="CUST1027"/>
    <s v="Hoffman Group"/>
    <x v="1"/>
    <n v="2"/>
    <x v="1576"/>
    <n v="0.17"/>
    <x v="1584"/>
  </r>
  <r>
    <x v="16"/>
    <x v="1585"/>
    <s v="PROD3"/>
    <d v="2024-02-11T00:00:00"/>
    <s v="CUST1024"/>
    <s v="Pineda Ltd"/>
    <x v="3"/>
    <n v="2"/>
    <x v="1577"/>
    <n v="0.1"/>
    <x v="1585"/>
  </r>
  <r>
    <x v="16"/>
    <x v="1586"/>
    <s v="PROD30"/>
    <d v="2025-04-20T00:00:00"/>
    <s v="CUST1203"/>
    <s v="Stevens, Fernandez and Martin"/>
    <x v="1"/>
    <n v="1"/>
    <x v="1578"/>
    <n v="0.03"/>
    <x v="1586"/>
  </r>
  <r>
    <x v="16"/>
    <x v="1587"/>
    <s v="PROD30"/>
    <d v="2023-11-22T00:00:00"/>
    <s v="CUST1319"/>
    <s v="Stevens, Fernandez and Martin"/>
    <x v="1"/>
    <n v="4"/>
    <x v="1579"/>
    <n v="0.15"/>
    <x v="1587"/>
  </r>
  <r>
    <x v="16"/>
    <x v="1588"/>
    <s v="PROD33"/>
    <d v="2023-10-29T00:00:00"/>
    <s v="CUST1012"/>
    <s v="Weiss-Watson"/>
    <x v="1"/>
    <n v="2"/>
    <x v="1580"/>
    <n v="0.2"/>
    <x v="1588"/>
  </r>
  <r>
    <x v="16"/>
    <x v="1589"/>
    <s v="PROD33"/>
    <d v="2024-06-15T00:00:00"/>
    <s v="CUST1416"/>
    <s v="Weiss-Watson"/>
    <x v="1"/>
    <n v="1"/>
    <x v="1581"/>
    <n v="0.08"/>
    <x v="1589"/>
  </r>
  <r>
    <x v="16"/>
    <x v="1590"/>
    <s v="PROD34"/>
    <d v="2023-12-22T00:00:00"/>
    <s v="CUST1080"/>
    <s v="Lucero LLC"/>
    <x v="4"/>
    <n v="2"/>
    <x v="1582"/>
    <n v="0.06"/>
    <x v="1590"/>
  </r>
  <r>
    <x v="16"/>
    <x v="1591"/>
    <s v="PROD34"/>
    <d v="2024-04-08T00:00:00"/>
    <s v="CUST1256"/>
    <s v="Lucero LLC"/>
    <x v="4"/>
    <n v="1"/>
    <x v="1583"/>
    <n v="0.28000000000000003"/>
    <x v="1591"/>
  </r>
  <r>
    <x v="16"/>
    <x v="1592"/>
    <s v="PROD35"/>
    <d v="2024-09-23T00:00:00"/>
    <s v="CUST1015"/>
    <s v="Jones LLC"/>
    <x v="1"/>
    <n v="4"/>
    <x v="1584"/>
    <n v="0.09"/>
    <x v="1592"/>
  </r>
  <r>
    <x v="16"/>
    <x v="1593"/>
    <s v="PROD35"/>
    <d v="2025-02-23T00:00:00"/>
    <s v="CUST1333"/>
    <s v="Jones LLC"/>
    <x v="1"/>
    <n v="1"/>
    <x v="1585"/>
    <n v="0.11"/>
    <x v="1593"/>
  </r>
  <r>
    <x v="16"/>
    <x v="1594"/>
    <s v="PROD36"/>
    <d v="2024-12-18T00:00:00"/>
    <s v="CUST1275"/>
    <s v="Smith-Mills"/>
    <x v="3"/>
    <n v="2"/>
    <x v="1586"/>
    <n v="0.28000000000000003"/>
    <x v="1594"/>
  </r>
  <r>
    <x v="16"/>
    <x v="1595"/>
    <s v="PROD37"/>
    <d v="2025-09-02T00:00:00"/>
    <s v="CUST1104"/>
    <s v="Hogan-Lee"/>
    <x v="3"/>
    <n v="2"/>
    <x v="1587"/>
    <n v="0.14000000000000001"/>
    <x v="1595"/>
  </r>
  <r>
    <x v="16"/>
    <x v="1596"/>
    <s v="PROD38"/>
    <d v="2025-09-07T00:00:00"/>
    <s v="CUST1211"/>
    <s v="Sims-Smith"/>
    <x v="2"/>
    <n v="4"/>
    <x v="1588"/>
    <n v="0.15"/>
    <x v="1596"/>
  </r>
  <r>
    <x v="16"/>
    <x v="1597"/>
    <s v="PROD38"/>
    <d v="2025-08-20T00:00:00"/>
    <s v="CUST1335"/>
    <s v="Sims-Smith"/>
    <x v="2"/>
    <n v="4"/>
    <x v="1589"/>
    <n v="0.28999999999999998"/>
    <x v="1597"/>
  </r>
  <r>
    <x v="16"/>
    <x v="1598"/>
    <s v="PROD40"/>
    <d v="2024-10-08T00:00:00"/>
    <s v="CUST1171"/>
    <s v="Taylor-Hart"/>
    <x v="4"/>
    <n v="1"/>
    <x v="1590"/>
    <n v="0.14000000000000001"/>
    <x v="1598"/>
  </r>
  <r>
    <x v="16"/>
    <x v="1599"/>
    <s v="PROD42"/>
    <d v="2025-05-06T00:00:00"/>
    <s v="CUST1330"/>
    <s v="Holmes LLC"/>
    <x v="4"/>
    <n v="4"/>
    <x v="1591"/>
    <n v="0.05"/>
    <x v="1599"/>
  </r>
  <r>
    <x v="16"/>
    <x v="1600"/>
    <s v="PROD43"/>
    <d v="2025-02-22T00:00:00"/>
    <s v="CUST1145"/>
    <s v="Robinson Inc"/>
    <x v="4"/>
    <n v="1"/>
    <x v="1592"/>
    <n v="0.18"/>
    <x v="1600"/>
  </r>
  <r>
    <x v="16"/>
    <x v="1601"/>
    <s v="PROD44"/>
    <d v="2024-08-30T00:00:00"/>
    <s v="CUST1190"/>
    <s v="Cox Inc"/>
    <x v="2"/>
    <n v="1"/>
    <x v="1593"/>
    <n v="0.08"/>
    <x v="1601"/>
  </r>
  <r>
    <x v="16"/>
    <x v="1602"/>
    <s v="PROD46"/>
    <d v="2024-01-12T00:00:00"/>
    <s v="CUST1222"/>
    <s v="Kelly, Smith and Perez"/>
    <x v="3"/>
    <n v="4"/>
    <x v="1594"/>
    <n v="0.25"/>
    <x v="1602"/>
  </r>
  <r>
    <x v="16"/>
    <x v="1603"/>
    <s v="PROD48"/>
    <d v="2024-10-14T00:00:00"/>
    <s v="CUST1388"/>
    <s v="Byrd, Stewart and Valdez"/>
    <x v="4"/>
    <n v="4"/>
    <x v="1595"/>
    <n v="0.28000000000000003"/>
    <x v="1603"/>
  </r>
  <r>
    <x v="16"/>
    <x v="1604"/>
    <s v="PROD50"/>
    <d v="2024-04-10T00:00:00"/>
    <s v="CUST1473"/>
    <s v="Smith-King"/>
    <x v="2"/>
    <n v="1"/>
    <x v="1596"/>
    <n v="0.18"/>
    <x v="1604"/>
  </r>
  <r>
    <x v="16"/>
    <x v="1605"/>
    <s v="PROD51"/>
    <d v="2025-10-10T00:00:00"/>
    <s v="CUST1024"/>
    <s v="Bautista, Green and Hale"/>
    <x v="4"/>
    <n v="1"/>
    <x v="1597"/>
    <n v="0.02"/>
    <x v="1605"/>
  </r>
  <r>
    <x v="16"/>
    <x v="1606"/>
    <s v="PROD51"/>
    <d v="2024-08-16T00:00:00"/>
    <s v="CUST1084"/>
    <s v="Bautista, Green and Hale"/>
    <x v="4"/>
    <n v="2"/>
    <x v="1598"/>
    <n v="0.03"/>
    <x v="1606"/>
  </r>
  <r>
    <x v="16"/>
    <x v="1607"/>
    <s v="PROD51"/>
    <d v="2024-02-19T00:00:00"/>
    <s v="CUST1104"/>
    <s v="Bautista, Green and Hale"/>
    <x v="4"/>
    <n v="4"/>
    <x v="1599"/>
    <n v="0.25"/>
    <x v="1607"/>
  </r>
  <r>
    <x v="16"/>
    <x v="1608"/>
    <s v="PROD52"/>
    <d v="2025-06-15T00:00:00"/>
    <s v="CUST1122"/>
    <s v="Harris Inc"/>
    <x v="2"/>
    <n v="3"/>
    <x v="1600"/>
    <n v="0.08"/>
    <x v="1608"/>
  </r>
  <r>
    <x v="16"/>
    <x v="1609"/>
    <s v="PROD53"/>
    <d v="2025-08-08T00:00:00"/>
    <s v="CUST1204"/>
    <s v="Hamilton, Woods and Walker"/>
    <x v="3"/>
    <n v="1"/>
    <x v="1601"/>
    <n v="0.17"/>
    <x v="1609"/>
  </r>
  <r>
    <x v="16"/>
    <x v="1610"/>
    <s v="PROD54"/>
    <d v="2023-12-30T00:00:00"/>
    <s v="CUST1156"/>
    <s v="Thompson-French"/>
    <x v="2"/>
    <n v="3"/>
    <x v="1602"/>
    <n v="0.17"/>
    <x v="1610"/>
  </r>
  <r>
    <x v="16"/>
    <x v="1611"/>
    <s v="PROD55"/>
    <d v="2023-12-18T00:00:00"/>
    <s v="CUST1281"/>
    <s v="Hatfield, Baird and Torres"/>
    <x v="1"/>
    <n v="3"/>
    <x v="1603"/>
    <n v="0.22"/>
    <x v="1611"/>
  </r>
  <r>
    <x v="16"/>
    <x v="1612"/>
    <s v="PROD55"/>
    <d v="2024-05-03T00:00:00"/>
    <s v="CUST1292"/>
    <s v="Hatfield, Baird and Torres"/>
    <x v="1"/>
    <n v="1"/>
    <x v="1604"/>
    <n v="0.12"/>
    <x v="1612"/>
  </r>
  <r>
    <x v="16"/>
    <x v="1613"/>
    <s v="PROD58"/>
    <d v="2024-12-02T00:00:00"/>
    <s v="CUST1472"/>
    <s v="Shepherd-Gould"/>
    <x v="3"/>
    <n v="1"/>
    <x v="1605"/>
    <n v="0.16"/>
    <x v="1613"/>
  </r>
  <r>
    <x v="16"/>
    <x v="1614"/>
    <s v="PROD59"/>
    <d v="2024-11-02T00:00:00"/>
    <s v="CUST1089"/>
    <s v="Cline-Mccarthy"/>
    <x v="0"/>
    <n v="4"/>
    <x v="1606"/>
    <n v="0.26"/>
    <x v="1614"/>
  </r>
  <r>
    <x v="16"/>
    <x v="1615"/>
    <s v="PROD59"/>
    <d v="2024-10-10T00:00:00"/>
    <s v="CUST1359"/>
    <s v="Cline-Mccarthy"/>
    <x v="0"/>
    <n v="3"/>
    <x v="1607"/>
    <n v="0.03"/>
    <x v="1615"/>
  </r>
  <r>
    <x v="16"/>
    <x v="1616"/>
    <s v="PROD61"/>
    <d v="2024-08-10T00:00:00"/>
    <s v="CUST1061"/>
    <s v="Lopez LLC"/>
    <x v="2"/>
    <n v="1"/>
    <x v="1608"/>
    <n v="0.08"/>
    <x v="1616"/>
  </r>
  <r>
    <x v="16"/>
    <x v="1617"/>
    <s v="PROD61"/>
    <d v="2024-08-22T00:00:00"/>
    <s v="CUST1342"/>
    <s v="Lopez LLC"/>
    <x v="2"/>
    <n v="2"/>
    <x v="1609"/>
    <n v="0.28000000000000003"/>
    <x v="1617"/>
  </r>
  <r>
    <x v="16"/>
    <x v="1618"/>
    <s v="PROD61"/>
    <d v="2025-02-01T00:00:00"/>
    <s v="CUST1354"/>
    <s v="Lopez LLC"/>
    <x v="2"/>
    <n v="3"/>
    <x v="1610"/>
    <n v="0.09"/>
    <x v="1618"/>
  </r>
  <r>
    <x v="16"/>
    <x v="1619"/>
    <s v="PROD63"/>
    <d v="2024-10-24T00:00:00"/>
    <s v="CUST1403"/>
    <s v="Anderson-Riley"/>
    <x v="0"/>
    <n v="3"/>
    <x v="1611"/>
    <n v="0.16"/>
    <x v="1619"/>
  </r>
  <r>
    <x v="16"/>
    <x v="1620"/>
    <s v="PROD65"/>
    <d v="2025-09-15T00:00:00"/>
    <s v="CUST1096"/>
    <s v="Montgomery, Benton and Miller"/>
    <x v="2"/>
    <n v="3"/>
    <x v="1612"/>
    <n v="0.12"/>
    <x v="1620"/>
  </r>
  <r>
    <x v="16"/>
    <x v="1621"/>
    <s v="PROD66"/>
    <d v="2025-09-04T00:00:00"/>
    <s v="CUST1119"/>
    <s v="Torres, Spencer and Potter"/>
    <x v="0"/>
    <n v="1"/>
    <x v="1613"/>
    <n v="0.24"/>
    <x v="1621"/>
  </r>
  <r>
    <x v="16"/>
    <x v="1622"/>
    <s v="PROD67"/>
    <d v="2025-07-22T00:00:00"/>
    <s v="CUST1094"/>
    <s v="Flores-Davis"/>
    <x v="4"/>
    <n v="2"/>
    <x v="1614"/>
    <n v="0.06"/>
    <x v="1622"/>
  </r>
  <r>
    <x v="16"/>
    <x v="1623"/>
    <s v="PROD67"/>
    <d v="2025-09-08T00:00:00"/>
    <s v="CUST1186"/>
    <s v="Flores-Davis"/>
    <x v="4"/>
    <n v="3"/>
    <x v="1615"/>
    <n v="7.0000000000000007E-2"/>
    <x v="1623"/>
  </r>
  <r>
    <x v="16"/>
    <x v="1624"/>
    <s v="PROD69"/>
    <d v="2025-07-31T00:00:00"/>
    <s v="CUST1486"/>
    <s v="Fitzpatrick Ltd"/>
    <x v="3"/>
    <n v="2"/>
    <x v="1616"/>
    <n v="0.12"/>
    <x v="1624"/>
  </r>
  <r>
    <x v="16"/>
    <x v="1625"/>
    <s v="PROD7"/>
    <d v="2023-10-22T00:00:00"/>
    <s v="CUST1324"/>
    <s v="Harrell LLC"/>
    <x v="1"/>
    <n v="4"/>
    <x v="1617"/>
    <n v="0.1"/>
    <x v="1625"/>
  </r>
  <r>
    <x v="16"/>
    <x v="1626"/>
    <s v="PROD7"/>
    <d v="2023-11-11T00:00:00"/>
    <s v="CUST1478"/>
    <s v="Harrell LLC"/>
    <x v="1"/>
    <n v="3"/>
    <x v="1618"/>
    <n v="0.19"/>
    <x v="1626"/>
  </r>
  <r>
    <x v="16"/>
    <x v="1627"/>
    <s v="PROD70"/>
    <d v="2024-03-14T00:00:00"/>
    <s v="CUST1052"/>
    <s v="Duran Group"/>
    <x v="1"/>
    <n v="4"/>
    <x v="1619"/>
    <n v="0.11"/>
    <x v="1627"/>
  </r>
  <r>
    <x v="16"/>
    <x v="1628"/>
    <s v="PROD71"/>
    <d v="2023-11-29T00:00:00"/>
    <s v="CUST1433"/>
    <s v="Hopkins Ltd"/>
    <x v="0"/>
    <n v="3"/>
    <x v="1620"/>
    <n v="0.12"/>
    <x v="1628"/>
  </r>
  <r>
    <x v="16"/>
    <x v="1629"/>
    <s v="PROD73"/>
    <d v="2023-12-16T00:00:00"/>
    <s v="CUST1298"/>
    <s v="French Ltd"/>
    <x v="2"/>
    <n v="3"/>
    <x v="1621"/>
    <n v="0.14000000000000001"/>
    <x v="1629"/>
  </r>
  <r>
    <x v="16"/>
    <x v="1630"/>
    <s v="PROD73"/>
    <d v="2024-09-30T00:00:00"/>
    <s v="CUST1366"/>
    <s v="French Ltd"/>
    <x v="2"/>
    <n v="4"/>
    <x v="1622"/>
    <n v="0.18"/>
    <x v="1630"/>
  </r>
  <r>
    <x v="16"/>
    <x v="1631"/>
    <s v="PROD76"/>
    <d v="2024-10-21T00:00:00"/>
    <s v="CUST1149"/>
    <s v="Larson Ltd"/>
    <x v="4"/>
    <n v="3"/>
    <x v="1623"/>
    <n v="0.2"/>
    <x v="1631"/>
  </r>
  <r>
    <x v="16"/>
    <x v="1632"/>
    <s v="PROD76"/>
    <d v="2025-08-11T00:00:00"/>
    <s v="CUST1244"/>
    <s v="Larson Ltd"/>
    <x v="4"/>
    <n v="4"/>
    <x v="1624"/>
    <n v="0.06"/>
    <x v="1632"/>
  </r>
  <r>
    <x v="16"/>
    <x v="1633"/>
    <s v="PROD76"/>
    <d v="2023-12-06T00:00:00"/>
    <s v="CUST1334"/>
    <s v="Larson Ltd"/>
    <x v="4"/>
    <n v="1"/>
    <x v="1625"/>
    <n v="0.1"/>
    <x v="1633"/>
  </r>
  <r>
    <x v="16"/>
    <x v="1634"/>
    <s v="PROD76"/>
    <d v="2024-12-27T00:00:00"/>
    <s v="CUST1379"/>
    <s v="Larson Ltd"/>
    <x v="4"/>
    <n v="4"/>
    <x v="1626"/>
    <n v="0.28999999999999998"/>
    <x v="1634"/>
  </r>
  <r>
    <x v="16"/>
    <x v="1635"/>
    <s v="PROD77"/>
    <d v="2025-08-12T00:00:00"/>
    <s v="CUST1033"/>
    <s v="White, Reeves and Woods"/>
    <x v="4"/>
    <n v="1"/>
    <x v="1627"/>
    <n v="0.11"/>
    <x v="1635"/>
  </r>
  <r>
    <x v="16"/>
    <x v="1636"/>
    <s v="PROD77"/>
    <d v="2025-01-30T00:00:00"/>
    <s v="CUST1161"/>
    <s v="White, Reeves and Woods"/>
    <x v="4"/>
    <n v="3"/>
    <x v="1628"/>
    <n v="0.02"/>
    <x v="1636"/>
  </r>
  <r>
    <x v="16"/>
    <x v="1637"/>
    <s v="PROD77"/>
    <d v="2024-02-27T00:00:00"/>
    <s v="CUST1438"/>
    <s v="White, Reeves and Woods"/>
    <x v="4"/>
    <n v="3"/>
    <x v="1629"/>
    <n v="0.16"/>
    <x v="1637"/>
  </r>
  <r>
    <x v="16"/>
    <x v="1638"/>
    <s v="PROD78"/>
    <d v="2025-05-12T00:00:00"/>
    <s v="CUST1153"/>
    <s v="Hernandez Inc"/>
    <x v="1"/>
    <n v="3"/>
    <x v="1630"/>
    <n v="0.23"/>
    <x v="1638"/>
  </r>
  <r>
    <x v="16"/>
    <x v="1639"/>
    <s v="PROD78"/>
    <d v="2023-10-30T00:00:00"/>
    <s v="CUST1253"/>
    <s v="Hernandez Inc"/>
    <x v="1"/>
    <n v="3"/>
    <x v="1631"/>
    <n v="0.11"/>
    <x v="1639"/>
  </r>
  <r>
    <x v="16"/>
    <x v="1640"/>
    <s v="PROD78"/>
    <d v="2024-03-11T00:00:00"/>
    <s v="CUST1453"/>
    <s v="Hernandez Inc"/>
    <x v="1"/>
    <n v="4"/>
    <x v="1632"/>
    <n v="0.08"/>
    <x v="1640"/>
  </r>
  <r>
    <x v="16"/>
    <x v="1641"/>
    <s v="PROD79"/>
    <d v="2024-01-25T00:00:00"/>
    <s v="CUST1218"/>
    <s v="Ramirez-Hanson"/>
    <x v="1"/>
    <n v="1"/>
    <x v="1633"/>
    <n v="0"/>
    <x v="1641"/>
  </r>
  <r>
    <x v="16"/>
    <x v="1642"/>
    <s v="PROD8"/>
    <d v="2024-11-02T00:00:00"/>
    <s v="CUST1498"/>
    <s v="Perez-Johnston"/>
    <x v="4"/>
    <n v="1"/>
    <x v="952"/>
    <n v="0.05"/>
    <x v="1642"/>
  </r>
  <r>
    <x v="16"/>
    <x v="1643"/>
    <s v="PROD81"/>
    <d v="2024-07-05T00:00:00"/>
    <s v="CUST1031"/>
    <s v="Robinson-Brown"/>
    <x v="2"/>
    <n v="3"/>
    <x v="1634"/>
    <n v="0.21"/>
    <x v="1643"/>
  </r>
  <r>
    <x v="16"/>
    <x v="1644"/>
    <s v="PROD81"/>
    <d v="2024-09-29T00:00:00"/>
    <s v="CUST1129"/>
    <s v="Robinson-Brown"/>
    <x v="2"/>
    <n v="4"/>
    <x v="1635"/>
    <n v="0.05"/>
    <x v="1644"/>
  </r>
  <r>
    <x v="16"/>
    <x v="1645"/>
    <s v="PROD81"/>
    <d v="2024-09-03T00:00:00"/>
    <s v="CUST1272"/>
    <s v="Robinson-Brown"/>
    <x v="2"/>
    <n v="2"/>
    <x v="1636"/>
    <n v="0.01"/>
    <x v="1645"/>
  </r>
  <r>
    <x v="16"/>
    <x v="1646"/>
    <s v="PROD81"/>
    <d v="2024-11-04T00:00:00"/>
    <s v="CUST1448"/>
    <s v="Robinson-Brown"/>
    <x v="2"/>
    <n v="1"/>
    <x v="1637"/>
    <n v="0.16"/>
    <x v="1646"/>
  </r>
  <r>
    <x v="16"/>
    <x v="1647"/>
    <s v="PROD82"/>
    <d v="2025-07-04T00:00:00"/>
    <s v="CUST1373"/>
    <s v="Reese-Watson"/>
    <x v="2"/>
    <n v="4"/>
    <x v="1638"/>
    <n v="0.18"/>
    <x v="1647"/>
  </r>
  <r>
    <x v="16"/>
    <x v="1648"/>
    <s v="PROD83"/>
    <d v="2024-10-22T00:00:00"/>
    <s v="CUST1022"/>
    <s v="Butler Group"/>
    <x v="0"/>
    <n v="2"/>
    <x v="1639"/>
    <n v="0.27"/>
    <x v="1648"/>
  </r>
  <r>
    <x v="16"/>
    <x v="1649"/>
    <s v="PROD83"/>
    <d v="2024-05-01T00:00:00"/>
    <s v="CUST1163"/>
    <s v="Butler Group"/>
    <x v="0"/>
    <n v="1"/>
    <x v="1640"/>
    <n v="0.1"/>
    <x v="1649"/>
  </r>
  <r>
    <x v="16"/>
    <x v="1650"/>
    <s v="PROD83"/>
    <d v="2025-03-09T00:00:00"/>
    <s v="CUST1170"/>
    <s v="Butler Group"/>
    <x v="0"/>
    <n v="3"/>
    <x v="1641"/>
    <n v="0.26"/>
    <x v="1650"/>
  </r>
  <r>
    <x v="16"/>
    <x v="1651"/>
    <s v="PROD85"/>
    <d v="2025-09-09T00:00:00"/>
    <s v="CUST1041"/>
    <s v="Richardson-Carrillo"/>
    <x v="3"/>
    <n v="3"/>
    <x v="1642"/>
    <n v="0.25"/>
    <x v="1651"/>
  </r>
  <r>
    <x v="16"/>
    <x v="1652"/>
    <s v="PROD86"/>
    <d v="2024-06-13T00:00:00"/>
    <s v="CUST1372"/>
    <s v="Taylor, Dodson and Johnston"/>
    <x v="1"/>
    <n v="3"/>
    <x v="1643"/>
    <n v="0.16"/>
    <x v="1652"/>
  </r>
  <r>
    <x v="16"/>
    <x v="1653"/>
    <s v="PROD87"/>
    <d v="2024-02-23T00:00:00"/>
    <s v="CUST1421"/>
    <s v="Aguilar, Horton and Lewis"/>
    <x v="1"/>
    <n v="2"/>
    <x v="1644"/>
    <n v="0.24"/>
    <x v="1653"/>
  </r>
  <r>
    <x v="16"/>
    <x v="1654"/>
    <s v="PROD88"/>
    <d v="2025-06-01T00:00:00"/>
    <s v="CUST1356"/>
    <s v="Olsen-Daniels"/>
    <x v="2"/>
    <n v="1"/>
    <x v="1645"/>
    <n v="0.14000000000000001"/>
    <x v="1654"/>
  </r>
  <r>
    <x v="16"/>
    <x v="1655"/>
    <s v="PROD88"/>
    <d v="2024-07-13T00:00:00"/>
    <s v="CUST1357"/>
    <s v="Olsen-Daniels"/>
    <x v="2"/>
    <n v="3"/>
    <x v="1646"/>
    <n v="0.15"/>
    <x v="1655"/>
  </r>
  <r>
    <x v="16"/>
    <x v="1656"/>
    <s v="PROD89"/>
    <d v="2025-08-25T00:00:00"/>
    <s v="CUST1148"/>
    <s v="Taylor-Elliott"/>
    <x v="0"/>
    <n v="3"/>
    <x v="1647"/>
    <n v="0"/>
    <x v="1656"/>
  </r>
  <r>
    <x v="16"/>
    <x v="1657"/>
    <s v="PROD89"/>
    <d v="2025-03-06T00:00:00"/>
    <s v="CUST1425"/>
    <s v="Taylor-Elliott"/>
    <x v="0"/>
    <n v="4"/>
    <x v="1648"/>
    <n v="0.14000000000000001"/>
    <x v="1657"/>
  </r>
  <r>
    <x v="16"/>
    <x v="1658"/>
    <s v="PROD91"/>
    <d v="2025-02-17T00:00:00"/>
    <s v="CUST1259"/>
    <s v="Smith-Charles"/>
    <x v="3"/>
    <n v="3"/>
    <x v="1649"/>
    <n v="0.25"/>
    <x v="1658"/>
  </r>
  <r>
    <x v="16"/>
    <x v="1659"/>
    <s v="PROD92"/>
    <d v="2024-02-16T00:00:00"/>
    <s v="CUST1082"/>
    <s v="Green, Powell and Palmer"/>
    <x v="1"/>
    <n v="2"/>
    <x v="1650"/>
    <n v="0.11"/>
    <x v="1659"/>
  </r>
  <r>
    <x v="16"/>
    <x v="1660"/>
    <s v="PROD92"/>
    <d v="2024-04-19T00:00:00"/>
    <s v="CUST1255"/>
    <s v="Green, Powell and Palmer"/>
    <x v="1"/>
    <n v="1"/>
    <x v="1651"/>
    <n v="0.21"/>
    <x v="1660"/>
  </r>
  <r>
    <x v="16"/>
    <x v="1661"/>
    <s v="PROD92"/>
    <d v="2025-07-23T00:00:00"/>
    <s v="CUST1278"/>
    <s v="Green, Powell and Palmer"/>
    <x v="1"/>
    <n v="1"/>
    <x v="1652"/>
    <n v="0.04"/>
    <x v="1661"/>
  </r>
  <r>
    <x v="16"/>
    <x v="1662"/>
    <s v="PROD93"/>
    <d v="2025-09-16T00:00:00"/>
    <s v="CUST1277"/>
    <s v="Martin LLC"/>
    <x v="4"/>
    <n v="3"/>
    <x v="1653"/>
    <n v="0.03"/>
    <x v="1662"/>
  </r>
  <r>
    <x v="16"/>
    <x v="1663"/>
    <s v="PROD94"/>
    <d v="2025-01-14T00:00:00"/>
    <s v="CUST1008"/>
    <s v="Hoffman-Williams"/>
    <x v="0"/>
    <n v="1"/>
    <x v="1654"/>
    <n v="0.28999999999999998"/>
    <x v="1663"/>
  </r>
  <r>
    <x v="16"/>
    <x v="1664"/>
    <s v="PROD94"/>
    <d v="2025-01-07T00:00:00"/>
    <s v="CUST1171"/>
    <s v="Hoffman-Williams"/>
    <x v="0"/>
    <n v="2"/>
    <x v="1655"/>
    <n v="0.25"/>
    <x v="1664"/>
  </r>
  <r>
    <x v="16"/>
    <x v="1665"/>
    <s v="PROD95"/>
    <d v="2024-04-20T00:00:00"/>
    <s v="CUST1230"/>
    <s v="Wilson Group"/>
    <x v="2"/>
    <n v="1"/>
    <x v="1656"/>
    <n v="0.28999999999999998"/>
    <x v="1665"/>
  </r>
  <r>
    <x v="16"/>
    <x v="1666"/>
    <s v="PROD97"/>
    <d v="2024-03-11T00:00:00"/>
    <s v="CUST1298"/>
    <s v="Khan LLC"/>
    <x v="2"/>
    <n v="3"/>
    <x v="1657"/>
    <n v="0.21"/>
    <x v="1666"/>
  </r>
  <r>
    <x v="16"/>
    <x v="1667"/>
    <s v="PROD99"/>
    <d v="2024-09-21T00:00:00"/>
    <s v="CUST1321"/>
    <s v="Campbell Ltd"/>
    <x v="1"/>
    <n v="2"/>
    <x v="1658"/>
    <n v="0.14000000000000001"/>
    <x v="1667"/>
  </r>
  <r>
    <x v="17"/>
    <x v="1668"/>
    <s v="PROD0"/>
    <d v="2024-01-21T00:00:00"/>
    <s v="CUST1129"/>
    <s v="Hunt Inc"/>
    <x v="4"/>
    <n v="4"/>
    <x v="1659"/>
    <n v="0.19"/>
    <x v="1668"/>
  </r>
  <r>
    <x v="17"/>
    <x v="1669"/>
    <s v="PROD10"/>
    <d v="2025-07-12T00:00:00"/>
    <s v="CUST1083"/>
    <s v="Hamilton Group"/>
    <x v="1"/>
    <n v="1"/>
    <x v="1660"/>
    <n v="0.22"/>
    <x v="1669"/>
  </r>
  <r>
    <x v="17"/>
    <x v="1670"/>
    <s v="PROD10"/>
    <d v="2024-05-04T00:00:00"/>
    <s v="CUST1160"/>
    <s v="Hamilton Group"/>
    <x v="1"/>
    <n v="1"/>
    <x v="531"/>
    <n v="0.27"/>
    <x v="1670"/>
  </r>
  <r>
    <x v="17"/>
    <x v="1671"/>
    <s v="PROD10"/>
    <d v="2024-07-21T00:00:00"/>
    <s v="CUST1221"/>
    <s v="Hamilton Group"/>
    <x v="1"/>
    <n v="2"/>
    <x v="1661"/>
    <n v="0.17"/>
    <x v="1671"/>
  </r>
  <r>
    <x v="17"/>
    <x v="1672"/>
    <s v="PROD10"/>
    <d v="2025-07-25T00:00:00"/>
    <s v="CUST1373"/>
    <s v="Hamilton Group"/>
    <x v="1"/>
    <n v="4"/>
    <x v="1662"/>
    <n v="0.06"/>
    <x v="1672"/>
  </r>
  <r>
    <x v="17"/>
    <x v="1673"/>
    <s v="PROD11"/>
    <d v="2024-07-17T00:00:00"/>
    <s v="CUST1433"/>
    <s v="Gibson, Hobbs and Weaver"/>
    <x v="4"/>
    <n v="3"/>
    <x v="1663"/>
    <n v="0.21"/>
    <x v="1673"/>
  </r>
  <r>
    <x v="17"/>
    <x v="1674"/>
    <s v="PROD14"/>
    <d v="2024-07-23T00:00:00"/>
    <s v="CUST1173"/>
    <s v="Luna, Anderson and Bowman"/>
    <x v="1"/>
    <n v="2"/>
    <x v="1664"/>
    <n v="0.03"/>
    <x v="1674"/>
  </r>
  <r>
    <x v="17"/>
    <x v="1675"/>
    <s v="PROD15"/>
    <d v="2024-07-26T00:00:00"/>
    <s v="CUST1116"/>
    <s v="Thomas LLC"/>
    <x v="4"/>
    <n v="3"/>
    <x v="1665"/>
    <n v="0.19"/>
    <x v="1675"/>
  </r>
  <r>
    <x v="17"/>
    <x v="1676"/>
    <s v="PROD15"/>
    <d v="2024-10-04T00:00:00"/>
    <s v="CUST1249"/>
    <s v="Thomas LLC"/>
    <x v="4"/>
    <n v="3"/>
    <x v="1666"/>
    <n v="0.28000000000000003"/>
    <x v="1676"/>
  </r>
  <r>
    <x v="17"/>
    <x v="1677"/>
    <s v="PROD15"/>
    <d v="2024-03-24T00:00:00"/>
    <s v="CUST1354"/>
    <s v="Thomas LLC"/>
    <x v="4"/>
    <n v="1"/>
    <x v="1667"/>
    <n v="0.2"/>
    <x v="1677"/>
  </r>
  <r>
    <x v="17"/>
    <x v="1678"/>
    <s v="PROD15"/>
    <d v="2024-12-07T00:00:00"/>
    <s v="CUST1404"/>
    <s v="Thomas LLC"/>
    <x v="4"/>
    <n v="4"/>
    <x v="1668"/>
    <n v="0.87"/>
    <x v="1678"/>
  </r>
  <r>
    <x v="17"/>
    <x v="1679"/>
    <s v="PROD19"/>
    <d v="2025-03-05T00:00:00"/>
    <s v="CUST1225"/>
    <s v="May-Reese"/>
    <x v="2"/>
    <n v="2"/>
    <x v="998"/>
    <n v="0.21"/>
    <x v="1679"/>
  </r>
  <r>
    <x v="17"/>
    <x v="1680"/>
    <s v="PROD19"/>
    <d v="2025-02-28T00:00:00"/>
    <s v="CUST1239"/>
    <s v="May-Reese"/>
    <x v="2"/>
    <n v="1"/>
    <x v="1669"/>
    <n v="0.18"/>
    <x v="1680"/>
  </r>
  <r>
    <x v="17"/>
    <x v="1681"/>
    <s v="PROD20"/>
    <d v="2025-08-22T00:00:00"/>
    <s v="CUST1173"/>
    <s v="Soto-Ellis"/>
    <x v="2"/>
    <n v="4"/>
    <x v="1670"/>
    <n v="0.05"/>
    <x v="1681"/>
  </r>
  <r>
    <x v="17"/>
    <x v="1682"/>
    <s v="PROD20"/>
    <d v="2023-12-07T00:00:00"/>
    <s v="CUST1293"/>
    <s v="Soto-Ellis"/>
    <x v="2"/>
    <n v="4"/>
    <x v="1671"/>
    <n v="0.05"/>
    <x v="1682"/>
  </r>
  <r>
    <x v="17"/>
    <x v="1683"/>
    <s v="PROD22"/>
    <d v="2025-09-23T00:00:00"/>
    <s v="CUST1023"/>
    <s v="Flores, Pineda and Rodriguez"/>
    <x v="2"/>
    <n v="3"/>
    <x v="1672"/>
    <n v="0.15"/>
    <x v="1683"/>
  </r>
  <r>
    <x v="17"/>
    <x v="1684"/>
    <s v="PROD23"/>
    <d v="2023-12-12T00:00:00"/>
    <s v="CUST1254"/>
    <s v="Moon, Mora and Santos"/>
    <x v="3"/>
    <n v="2"/>
    <x v="1673"/>
    <n v="0.16"/>
    <x v="1684"/>
  </r>
  <r>
    <x v="17"/>
    <x v="1685"/>
    <s v="PROD24"/>
    <d v="2025-01-30T00:00:00"/>
    <s v="CUST1099"/>
    <s v="Cook Ltd"/>
    <x v="2"/>
    <n v="1"/>
    <x v="1674"/>
    <n v="0.23"/>
    <x v="1685"/>
  </r>
  <r>
    <x v="17"/>
    <x v="1686"/>
    <s v="PROD25"/>
    <d v="2025-05-21T00:00:00"/>
    <s v="CUST1316"/>
    <s v="Brown and Sons"/>
    <x v="3"/>
    <n v="4"/>
    <x v="1675"/>
    <n v="0.18"/>
    <x v="1686"/>
  </r>
  <r>
    <x v="17"/>
    <x v="1687"/>
    <s v="PROD26"/>
    <d v="2023-11-29T00:00:00"/>
    <s v="CUST1381"/>
    <s v="Reed-Schmidt"/>
    <x v="4"/>
    <n v="1"/>
    <x v="1676"/>
    <n v="0.25"/>
    <x v="1687"/>
  </r>
  <r>
    <x v="17"/>
    <x v="1688"/>
    <s v="PROD28"/>
    <d v="2024-08-15T00:00:00"/>
    <s v="CUST1034"/>
    <s v="Burns-Hansen"/>
    <x v="2"/>
    <n v="3"/>
    <x v="1677"/>
    <n v="0.06"/>
    <x v="1688"/>
  </r>
  <r>
    <x v="17"/>
    <x v="1689"/>
    <s v="PROD29"/>
    <d v="2025-08-07T00:00:00"/>
    <s v="CUST1412"/>
    <s v="Hoffman Group"/>
    <x v="1"/>
    <n v="3"/>
    <x v="1678"/>
    <n v="0.14000000000000001"/>
    <x v="1689"/>
  </r>
  <r>
    <x v="17"/>
    <x v="1690"/>
    <s v="PROD3"/>
    <d v="2024-10-19T00:00:00"/>
    <s v="CUST1108"/>
    <s v="Pineda Ltd"/>
    <x v="3"/>
    <n v="3"/>
    <x v="1679"/>
    <n v="0.18"/>
    <x v="1690"/>
  </r>
  <r>
    <x v="17"/>
    <x v="1691"/>
    <s v="PROD30"/>
    <d v="2024-06-02T00:00:00"/>
    <s v="CUST1072"/>
    <s v="Stevens, Fernandez and Martin"/>
    <x v="1"/>
    <n v="1"/>
    <x v="1680"/>
    <n v="0.22"/>
    <x v="1691"/>
  </r>
  <r>
    <x v="17"/>
    <x v="1692"/>
    <s v="PROD34"/>
    <d v="2025-02-16T00:00:00"/>
    <s v="CUST1221"/>
    <s v="Lucero LLC"/>
    <x v="4"/>
    <n v="4"/>
    <x v="1681"/>
    <n v="7.0000000000000007E-2"/>
    <x v="1692"/>
  </r>
  <r>
    <x v="17"/>
    <x v="1693"/>
    <s v="PROD34"/>
    <d v="2024-02-24T00:00:00"/>
    <s v="CUST1231"/>
    <s v="Lucero LLC"/>
    <x v="4"/>
    <n v="1"/>
    <x v="1682"/>
    <n v="0.05"/>
    <x v="1693"/>
  </r>
  <r>
    <x v="17"/>
    <x v="1694"/>
    <s v="PROD35"/>
    <d v="2025-05-21T00:00:00"/>
    <s v="CUST1005"/>
    <s v="Jones LLC"/>
    <x v="1"/>
    <n v="4"/>
    <x v="1683"/>
    <n v="0.21"/>
    <x v="1694"/>
  </r>
  <r>
    <x v="17"/>
    <x v="1695"/>
    <s v="PROD35"/>
    <d v="2024-08-16T00:00:00"/>
    <s v="CUST1306"/>
    <s v="Jones LLC"/>
    <x v="1"/>
    <n v="1"/>
    <x v="1684"/>
    <n v="0.21"/>
    <x v="1695"/>
  </r>
  <r>
    <x v="17"/>
    <x v="1696"/>
    <s v="PROD36"/>
    <d v="2024-12-22T00:00:00"/>
    <s v="CUST1264"/>
    <s v="Smith-Mills"/>
    <x v="3"/>
    <n v="1"/>
    <x v="1685"/>
    <n v="0.15"/>
    <x v="1696"/>
  </r>
  <r>
    <x v="17"/>
    <x v="1697"/>
    <s v="PROD36"/>
    <d v="2024-01-30T00:00:00"/>
    <s v="CUST1453"/>
    <s v="Smith-Mills"/>
    <x v="3"/>
    <n v="1"/>
    <x v="1686"/>
    <n v="0.18"/>
    <x v="1697"/>
  </r>
  <r>
    <x v="17"/>
    <x v="1698"/>
    <s v="PROD37"/>
    <d v="2024-08-26T00:00:00"/>
    <s v="CUST1039"/>
    <s v="Hogan-Lee"/>
    <x v="3"/>
    <n v="3"/>
    <x v="1687"/>
    <n v="0.18"/>
    <x v="1698"/>
  </r>
  <r>
    <x v="17"/>
    <x v="1699"/>
    <s v="PROD37"/>
    <d v="2025-02-02T00:00:00"/>
    <s v="CUST1062"/>
    <s v="Hogan-Lee"/>
    <x v="3"/>
    <n v="2"/>
    <x v="1688"/>
    <n v="0.16"/>
    <x v="1699"/>
  </r>
  <r>
    <x v="17"/>
    <x v="1700"/>
    <s v="PROD37"/>
    <d v="2024-07-02T00:00:00"/>
    <s v="CUST1102"/>
    <s v="Hogan-Lee"/>
    <x v="3"/>
    <n v="2"/>
    <x v="1689"/>
    <n v="0.28999999999999998"/>
    <x v="1700"/>
  </r>
  <r>
    <x v="17"/>
    <x v="1701"/>
    <s v="PROD37"/>
    <d v="2023-12-08T00:00:00"/>
    <s v="CUST1217"/>
    <s v="Hogan-Lee"/>
    <x v="3"/>
    <n v="2"/>
    <x v="1690"/>
    <n v="0.04"/>
    <x v="1701"/>
  </r>
  <r>
    <x v="17"/>
    <x v="1702"/>
    <s v="PROD37"/>
    <d v="2023-11-03T00:00:00"/>
    <s v="CUST1347"/>
    <s v="Hogan-Lee"/>
    <x v="3"/>
    <n v="4"/>
    <x v="1691"/>
    <n v="7.0000000000000007E-2"/>
    <x v="1702"/>
  </r>
  <r>
    <x v="17"/>
    <x v="1703"/>
    <s v="PROD38"/>
    <d v="2023-12-07T00:00:00"/>
    <s v="CUST1159"/>
    <s v="Sims-Smith"/>
    <x v="2"/>
    <n v="3"/>
    <x v="1692"/>
    <n v="0.17"/>
    <x v="1703"/>
  </r>
  <r>
    <x v="17"/>
    <x v="1704"/>
    <s v="PROD38"/>
    <d v="2024-10-13T00:00:00"/>
    <s v="CUST1325"/>
    <s v="Sims-Smith"/>
    <x v="2"/>
    <n v="2"/>
    <x v="1693"/>
    <n v="7.0000000000000007E-2"/>
    <x v="1704"/>
  </r>
  <r>
    <x v="17"/>
    <x v="1705"/>
    <s v="PROD39"/>
    <d v="2025-02-21T00:00:00"/>
    <s v="CUST1136"/>
    <s v="Cummings and Sons"/>
    <x v="4"/>
    <n v="2"/>
    <x v="1694"/>
    <n v="0"/>
    <x v="1705"/>
  </r>
  <r>
    <x v="17"/>
    <x v="1706"/>
    <s v="PROD39"/>
    <d v="2025-06-03T00:00:00"/>
    <s v="CUST1348"/>
    <s v="Cummings and Sons"/>
    <x v="4"/>
    <n v="4"/>
    <x v="1695"/>
    <n v="0.02"/>
    <x v="1706"/>
  </r>
  <r>
    <x v="17"/>
    <x v="1707"/>
    <s v="PROD4"/>
    <d v="2023-11-22T00:00:00"/>
    <s v="CUST1403"/>
    <s v="Gonzales-Davis"/>
    <x v="3"/>
    <n v="4"/>
    <x v="1696"/>
    <n v="0.14000000000000001"/>
    <x v="1707"/>
  </r>
  <r>
    <x v="17"/>
    <x v="1708"/>
    <s v="PROD40"/>
    <d v="2024-10-10T00:00:00"/>
    <s v="CUST1000"/>
    <s v="Taylor-Hart"/>
    <x v="4"/>
    <n v="3"/>
    <x v="1697"/>
    <n v="0.26"/>
    <x v="1708"/>
  </r>
  <r>
    <x v="17"/>
    <x v="1709"/>
    <s v="PROD42"/>
    <d v="2025-04-26T00:00:00"/>
    <s v="CUST1109"/>
    <s v="Holmes LLC"/>
    <x v="4"/>
    <n v="3"/>
    <x v="1698"/>
    <n v="0.13"/>
    <x v="1709"/>
  </r>
  <r>
    <x v="17"/>
    <x v="1710"/>
    <s v="PROD42"/>
    <d v="2025-02-25T00:00:00"/>
    <s v="CUST1209"/>
    <s v="Holmes LLC"/>
    <x v="4"/>
    <n v="3"/>
    <x v="1699"/>
    <n v="0.28000000000000003"/>
    <x v="1710"/>
  </r>
  <r>
    <x v="17"/>
    <x v="1711"/>
    <s v="PROD43"/>
    <d v="2025-03-20T00:00:00"/>
    <s v="CUST1289"/>
    <s v="Robinson Inc"/>
    <x v="4"/>
    <n v="2"/>
    <x v="1700"/>
    <n v="0.14000000000000001"/>
    <x v="1711"/>
  </r>
  <r>
    <x v="17"/>
    <x v="1712"/>
    <s v="PROD46"/>
    <d v="2024-05-04T00:00:00"/>
    <s v="CUST1373"/>
    <s v="Kelly, Smith and Perez"/>
    <x v="3"/>
    <n v="2"/>
    <x v="1701"/>
    <n v="0.1"/>
    <x v="1712"/>
  </r>
  <r>
    <x v="17"/>
    <x v="1713"/>
    <s v="PROD47"/>
    <d v="2025-05-18T00:00:00"/>
    <s v="CUST1274"/>
    <s v="Cook Inc"/>
    <x v="0"/>
    <n v="3"/>
    <x v="1702"/>
    <n v="0.09"/>
    <x v="1713"/>
  </r>
  <r>
    <x v="17"/>
    <x v="1714"/>
    <s v="PROD48"/>
    <d v="2024-03-05T00:00:00"/>
    <s v="CUST1249"/>
    <s v="Byrd, Stewart and Valdez"/>
    <x v="4"/>
    <n v="3"/>
    <x v="1703"/>
    <n v="0.28999999999999998"/>
    <x v="1714"/>
  </r>
  <r>
    <x v="17"/>
    <x v="1715"/>
    <s v="PROD48"/>
    <d v="2025-06-30T00:00:00"/>
    <s v="CUST1256"/>
    <s v="Byrd, Stewart and Valdez"/>
    <x v="4"/>
    <n v="2"/>
    <x v="1704"/>
    <n v="0.17"/>
    <x v="1715"/>
  </r>
  <r>
    <x v="17"/>
    <x v="1716"/>
    <s v="PROD49"/>
    <d v="2024-03-17T00:00:00"/>
    <s v="CUST1115"/>
    <s v="Sullivan and Sons"/>
    <x v="0"/>
    <n v="3"/>
    <x v="1705"/>
    <n v="0.17"/>
    <x v="1716"/>
  </r>
  <r>
    <x v="17"/>
    <x v="1717"/>
    <s v="PROD49"/>
    <d v="2024-12-06T00:00:00"/>
    <s v="CUST1156"/>
    <s v="Sullivan and Sons"/>
    <x v="0"/>
    <n v="2"/>
    <x v="1706"/>
    <n v="0.28999999999999998"/>
    <x v="1717"/>
  </r>
  <r>
    <x v="17"/>
    <x v="1718"/>
    <s v="PROD5"/>
    <d v="2024-12-09T00:00:00"/>
    <s v="CUST1086"/>
    <s v="Baldwin, Garza and Gonzalez"/>
    <x v="3"/>
    <n v="3"/>
    <x v="1707"/>
    <n v="0.16"/>
    <x v="1718"/>
  </r>
  <r>
    <x v="17"/>
    <x v="1719"/>
    <s v="PROD50"/>
    <d v="2025-08-17T00:00:00"/>
    <s v="CUST1338"/>
    <s v="Smith-King"/>
    <x v="2"/>
    <n v="2"/>
    <x v="1708"/>
    <n v="0.04"/>
    <x v="1719"/>
  </r>
  <r>
    <x v="17"/>
    <x v="1720"/>
    <s v="PROD51"/>
    <d v="2023-11-28T00:00:00"/>
    <s v="CUST1436"/>
    <s v="Bautista, Green and Hale"/>
    <x v="4"/>
    <n v="4"/>
    <x v="1709"/>
    <n v="0.08"/>
    <x v="1720"/>
  </r>
  <r>
    <x v="17"/>
    <x v="1721"/>
    <s v="PROD52"/>
    <d v="2024-03-03T00:00:00"/>
    <s v="CUST1147"/>
    <s v="Harris Inc"/>
    <x v="2"/>
    <n v="4"/>
    <x v="1710"/>
    <n v="0.19"/>
    <x v="1721"/>
  </r>
  <r>
    <x v="17"/>
    <x v="1722"/>
    <s v="PROD53"/>
    <d v="2024-04-18T00:00:00"/>
    <s v="CUST1052"/>
    <s v="Hamilton, Woods and Walker"/>
    <x v="3"/>
    <n v="2"/>
    <x v="1711"/>
    <n v="0.19"/>
    <x v="1722"/>
  </r>
  <r>
    <x v="17"/>
    <x v="1723"/>
    <s v="PROD53"/>
    <d v="2025-08-17T00:00:00"/>
    <s v="CUST1135"/>
    <s v="Hamilton, Woods and Walker"/>
    <x v="3"/>
    <n v="2"/>
    <x v="1712"/>
    <n v="0.25"/>
    <x v="1723"/>
  </r>
  <r>
    <x v="17"/>
    <x v="1724"/>
    <s v="PROD55"/>
    <d v="2023-11-30T00:00:00"/>
    <s v="CUST1157"/>
    <s v="Hatfield, Baird and Torres"/>
    <x v="1"/>
    <n v="1"/>
    <x v="1713"/>
    <n v="0.12"/>
    <x v="1724"/>
  </r>
  <r>
    <x v="17"/>
    <x v="1725"/>
    <s v="PROD55"/>
    <d v="2023-12-23T00:00:00"/>
    <s v="CUST1343"/>
    <s v="Hatfield, Baird and Torres"/>
    <x v="1"/>
    <n v="2"/>
    <x v="1714"/>
    <n v="0.11"/>
    <x v="1725"/>
  </r>
  <r>
    <x v="17"/>
    <x v="1726"/>
    <s v="PROD55"/>
    <d v="2024-12-19T00:00:00"/>
    <s v="CUST1462"/>
    <s v="Hatfield, Baird and Torres"/>
    <x v="1"/>
    <n v="1"/>
    <x v="1715"/>
    <n v="0.05"/>
    <x v="1726"/>
  </r>
  <r>
    <x v="17"/>
    <x v="1727"/>
    <s v="PROD56"/>
    <d v="2024-10-15T00:00:00"/>
    <s v="CUST1131"/>
    <s v="Hernandez, Kennedy and Porter"/>
    <x v="1"/>
    <n v="4"/>
    <x v="1716"/>
    <n v="0.17"/>
    <x v="1727"/>
  </r>
  <r>
    <x v="17"/>
    <x v="1728"/>
    <s v="PROD56"/>
    <d v="2024-01-09T00:00:00"/>
    <s v="CUST1464"/>
    <s v="Hernandez, Kennedy and Porter"/>
    <x v="1"/>
    <n v="4"/>
    <x v="1717"/>
    <n v="0.04"/>
    <x v="1728"/>
  </r>
  <r>
    <x v="17"/>
    <x v="1729"/>
    <s v="PROD58"/>
    <d v="2025-02-01T00:00:00"/>
    <s v="CUST1060"/>
    <s v="Shepherd-Gould"/>
    <x v="3"/>
    <n v="1"/>
    <x v="1718"/>
    <n v="0.16"/>
    <x v="1729"/>
  </r>
  <r>
    <x v="17"/>
    <x v="1730"/>
    <s v="PROD58"/>
    <d v="2024-11-13T00:00:00"/>
    <s v="CUST1401"/>
    <s v="Shepherd-Gould"/>
    <x v="3"/>
    <n v="3"/>
    <x v="1719"/>
    <n v="0.23"/>
    <x v="1730"/>
  </r>
  <r>
    <x v="17"/>
    <x v="1731"/>
    <s v="PROD59"/>
    <d v="2025-06-14T00:00:00"/>
    <s v="CUST1208"/>
    <s v="Cline-Mccarthy"/>
    <x v="0"/>
    <n v="2"/>
    <x v="1720"/>
    <n v="0.2"/>
    <x v="1731"/>
  </r>
  <r>
    <x v="17"/>
    <x v="1732"/>
    <s v="PROD59"/>
    <d v="2024-08-03T00:00:00"/>
    <s v="CUST1452"/>
    <s v="Cline-Mccarthy"/>
    <x v="0"/>
    <n v="3"/>
    <x v="1721"/>
    <n v="0"/>
    <x v="1732"/>
  </r>
  <r>
    <x v="17"/>
    <x v="1733"/>
    <s v="PROD6"/>
    <d v="2025-05-09T00:00:00"/>
    <s v="CUST1206"/>
    <s v="Davidson PLC"/>
    <x v="0"/>
    <n v="2"/>
    <x v="1722"/>
    <n v="0.21"/>
    <x v="1733"/>
  </r>
  <r>
    <x v="17"/>
    <x v="1734"/>
    <s v="PROD61"/>
    <d v="2024-09-19T00:00:00"/>
    <s v="CUST1380"/>
    <s v="Lopez LLC"/>
    <x v="2"/>
    <n v="2"/>
    <x v="1723"/>
    <n v="0.27"/>
    <x v="1734"/>
  </r>
  <r>
    <x v="17"/>
    <x v="1735"/>
    <s v="PROD62"/>
    <d v="2025-02-25T00:00:00"/>
    <s v="CUST1108"/>
    <s v="Murray, Gould and Ware"/>
    <x v="4"/>
    <n v="4"/>
    <x v="1724"/>
    <n v="0.26"/>
    <x v="1735"/>
  </r>
  <r>
    <x v="17"/>
    <x v="1736"/>
    <s v="PROD63"/>
    <d v="2024-10-16T00:00:00"/>
    <s v="CUST1057"/>
    <s v="Anderson-Riley"/>
    <x v="0"/>
    <n v="1"/>
    <x v="1725"/>
    <n v="0.27"/>
    <x v="1736"/>
  </r>
  <r>
    <x v="17"/>
    <x v="1737"/>
    <s v="PROD64"/>
    <d v="2024-11-29T00:00:00"/>
    <s v="CUST1193"/>
    <s v="Zhang Inc"/>
    <x v="0"/>
    <n v="2"/>
    <x v="1726"/>
    <n v="0.08"/>
    <x v="1737"/>
  </r>
  <r>
    <x v="17"/>
    <x v="1738"/>
    <s v="PROD65"/>
    <d v="2024-05-26T00:00:00"/>
    <s v="CUST1263"/>
    <s v="Montgomery, Benton and Miller"/>
    <x v="2"/>
    <n v="1"/>
    <x v="1727"/>
    <n v="0.24"/>
    <x v="1738"/>
  </r>
  <r>
    <x v="17"/>
    <x v="1739"/>
    <s v="PROD65"/>
    <d v="2023-12-14T00:00:00"/>
    <s v="CUST1323"/>
    <s v="Montgomery, Benton and Miller"/>
    <x v="2"/>
    <n v="1"/>
    <x v="1728"/>
    <n v="0.04"/>
    <x v="1739"/>
  </r>
  <r>
    <x v="17"/>
    <x v="1740"/>
    <s v="PROD69"/>
    <d v="2025-02-01T00:00:00"/>
    <s v="CUST1142"/>
    <s v="Fitzpatrick Ltd"/>
    <x v="3"/>
    <n v="3"/>
    <x v="1729"/>
    <n v="0.26"/>
    <x v="1740"/>
  </r>
  <r>
    <x v="17"/>
    <x v="1741"/>
    <s v="PROD7"/>
    <d v="2025-03-23T00:00:00"/>
    <s v="CUST1497"/>
    <s v="Harrell LLC"/>
    <x v="1"/>
    <n v="2"/>
    <x v="1730"/>
    <n v="0.23"/>
    <x v="1741"/>
  </r>
  <r>
    <x v="17"/>
    <x v="1742"/>
    <s v="PROD70"/>
    <d v="2024-12-02T00:00:00"/>
    <s v="CUST1050"/>
    <s v="Duran Group"/>
    <x v="1"/>
    <n v="3"/>
    <x v="1731"/>
    <n v="0.06"/>
    <x v="1742"/>
  </r>
  <r>
    <x v="17"/>
    <x v="1743"/>
    <s v="PROD71"/>
    <d v="2024-06-13T00:00:00"/>
    <s v="CUST1067"/>
    <s v="Hopkins Ltd"/>
    <x v="0"/>
    <n v="1"/>
    <x v="1732"/>
    <n v="0.04"/>
    <x v="1743"/>
  </r>
  <r>
    <x v="17"/>
    <x v="1744"/>
    <s v="PROD72"/>
    <d v="2024-01-22T00:00:00"/>
    <s v="CUST1373"/>
    <s v="Davis PLC"/>
    <x v="2"/>
    <n v="2"/>
    <x v="1733"/>
    <n v="0.12"/>
    <x v="1744"/>
  </r>
  <r>
    <x v="17"/>
    <x v="1745"/>
    <s v="PROD72"/>
    <d v="2024-02-29T00:00:00"/>
    <s v="CUST1418"/>
    <s v="Davis PLC"/>
    <x v="2"/>
    <n v="4"/>
    <x v="1734"/>
    <n v="0.18"/>
    <x v="1745"/>
  </r>
  <r>
    <x v="17"/>
    <x v="1746"/>
    <s v="PROD73"/>
    <d v="2023-12-17T00:00:00"/>
    <s v="CUST1347"/>
    <s v="French Ltd"/>
    <x v="2"/>
    <n v="3"/>
    <x v="1735"/>
    <n v="0.14000000000000001"/>
    <x v="1746"/>
  </r>
  <r>
    <x v="17"/>
    <x v="1747"/>
    <s v="PROD74"/>
    <d v="2025-07-08T00:00:00"/>
    <s v="CUST1344"/>
    <s v="Bruce-Bowen"/>
    <x v="4"/>
    <n v="2"/>
    <x v="1736"/>
    <n v="0.23"/>
    <x v="1747"/>
  </r>
  <r>
    <x v="17"/>
    <x v="1748"/>
    <s v="PROD75"/>
    <d v="2025-03-02T00:00:00"/>
    <s v="CUST1359"/>
    <s v="Poole PLC"/>
    <x v="3"/>
    <n v="3"/>
    <x v="1737"/>
    <n v="0.12"/>
    <x v="1748"/>
  </r>
  <r>
    <x v="17"/>
    <x v="1749"/>
    <s v="PROD78"/>
    <d v="2025-06-03T00:00:00"/>
    <s v="CUST1230"/>
    <s v="Hernandez Inc"/>
    <x v="1"/>
    <n v="3"/>
    <x v="1738"/>
    <n v="0.27"/>
    <x v="1749"/>
  </r>
  <r>
    <x v="17"/>
    <x v="1750"/>
    <s v="PROD79"/>
    <d v="2024-05-06T00:00:00"/>
    <s v="CUST1404"/>
    <s v="Ramirez-Hanson"/>
    <x v="1"/>
    <n v="1"/>
    <x v="1739"/>
    <n v="0.11"/>
    <x v="1750"/>
  </r>
  <r>
    <x v="17"/>
    <x v="1751"/>
    <s v="PROD79"/>
    <d v="2025-07-28T00:00:00"/>
    <s v="CUST1415"/>
    <s v="Ramirez-Hanson"/>
    <x v="1"/>
    <n v="4"/>
    <x v="1740"/>
    <n v="0.04"/>
    <x v="1751"/>
  </r>
  <r>
    <x v="17"/>
    <x v="1752"/>
    <s v="PROD8"/>
    <d v="2024-02-27T00:00:00"/>
    <s v="CUST1463"/>
    <s v="Perez-Johnston"/>
    <x v="4"/>
    <n v="2"/>
    <x v="1741"/>
    <n v="0.15"/>
    <x v="1752"/>
  </r>
  <r>
    <x v="17"/>
    <x v="1753"/>
    <s v="PROD81"/>
    <d v="2024-06-28T00:00:00"/>
    <s v="CUST1181"/>
    <s v="Robinson-Brown"/>
    <x v="2"/>
    <n v="1"/>
    <x v="1742"/>
    <n v="0.3"/>
    <x v="1753"/>
  </r>
  <r>
    <x v="17"/>
    <x v="1754"/>
    <s v="PROD81"/>
    <d v="2024-03-28T00:00:00"/>
    <s v="CUST1293"/>
    <s v="Robinson-Brown"/>
    <x v="2"/>
    <n v="4"/>
    <x v="1743"/>
    <n v="0.24"/>
    <x v="1754"/>
  </r>
  <r>
    <x v="17"/>
    <x v="1755"/>
    <s v="PROD82"/>
    <d v="2024-06-08T00:00:00"/>
    <s v="CUST1110"/>
    <s v="Reese-Watson"/>
    <x v="2"/>
    <n v="1"/>
    <x v="1744"/>
    <n v="7.0000000000000007E-2"/>
    <x v="1755"/>
  </r>
  <r>
    <x v="17"/>
    <x v="1756"/>
    <s v="PROD83"/>
    <d v="2025-05-30T00:00:00"/>
    <s v="CUST1118"/>
    <s v="Butler Group"/>
    <x v="0"/>
    <n v="2"/>
    <x v="1745"/>
    <n v="0.26"/>
    <x v="1756"/>
  </r>
  <r>
    <x v="17"/>
    <x v="1757"/>
    <s v="PROD84"/>
    <d v="2024-08-27T00:00:00"/>
    <s v="CUST1313"/>
    <s v="Collins-Stephenson"/>
    <x v="1"/>
    <n v="4"/>
    <x v="1746"/>
    <n v="0.24"/>
    <x v="1757"/>
  </r>
  <r>
    <x v="17"/>
    <x v="1758"/>
    <s v="PROD85"/>
    <d v="2025-09-25T00:00:00"/>
    <s v="CUST1257"/>
    <s v="Richardson-Carrillo"/>
    <x v="3"/>
    <n v="4"/>
    <x v="1747"/>
    <n v="0.13"/>
    <x v="1758"/>
  </r>
  <r>
    <x v="17"/>
    <x v="1759"/>
    <s v="PROD86"/>
    <d v="2025-09-08T00:00:00"/>
    <s v="CUST1239"/>
    <s v="Taylor, Dodson and Johnston"/>
    <x v="1"/>
    <n v="1"/>
    <x v="1748"/>
    <n v="0.06"/>
    <x v="1759"/>
  </r>
  <r>
    <x v="17"/>
    <x v="1760"/>
    <s v="PROD86"/>
    <d v="2024-02-01T00:00:00"/>
    <s v="CUST1338"/>
    <s v="Taylor, Dodson and Johnston"/>
    <x v="1"/>
    <n v="4"/>
    <x v="1749"/>
    <n v="0.02"/>
    <x v="1760"/>
  </r>
  <r>
    <x v="17"/>
    <x v="1761"/>
    <s v="PROD87"/>
    <d v="2023-11-20T00:00:00"/>
    <s v="CUST1455"/>
    <s v="Aguilar, Horton and Lewis"/>
    <x v="1"/>
    <n v="2"/>
    <x v="1750"/>
    <n v="0.23"/>
    <x v="1761"/>
  </r>
  <r>
    <x v="17"/>
    <x v="1762"/>
    <s v="PROD88"/>
    <d v="2023-12-22T00:00:00"/>
    <s v="CUST1054"/>
    <s v="Olsen-Daniels"/>
    <x v="2"/>
    <n v="4"/>
    <x v="1751"/>
    <n v="0.24"/>
    <x v="1762"/>
  </r>
  <r>
    <x v="17"/>
    <x v="1763"/>
    <s v="PROD9"/>
    <d v="2024-01-14T00:00:00"/>
    <s v="CUST1452"/>
    <s v="Hill PLC"/>
    <x v="2"/>
    <n v="1"/>
    <x v="1752"/>
    <n v="0.12"/>
    <x v="1763"/>
  </r>
  <r>
    <x v="17"/>
    <x v="1764"/>
    <s v="PROD90"/>
    <d v="2023-10-28T00:00:00"/>
    <s v="CUST1007"/>
    <s v="Sharp, Taylor and Rodriguez"/>
    <x v="4"/>
    <n v="1"/>
    <x v="1753"/>
    <n v="0.09"/>
    <x v="1764"/>
  </r>
  <r>
    <x v="17"/>
    <x v="1765"/>
    <s v="PROD91"/>
    <d v="2023-11-21T00:00:00"/>
    <s v="CUST1235"/>
    <s v="Smith-Charles"/>
    <x v="3"/>
    <n v="2"/>
    <x v="1754"/>
    <n v="0.13"/>
    <x v="1765"/>
  </r>
  <r>
    <x v="17"/>
    <x v="1766"/>
    <s v="PROD93"/>
    <d v="2025-07-07T00:00:00"/>
    <s v="CUST1019"/>
    <s v="Martin LLC"/>
    <x v="4"/>
    <n v="3"/>
    <x v="1755"/>
    <n v="0.22"/>
    <x v="1766"/>
  </r>
  <r>
    <x v="17"/>
    <x v="1767"/>
    <s v="PROD93"/>
    <d v="2024-06-04T00:00:00"/>
    <s v="CUST1227"/>
    <s v="Martin LLC"/>
    <x v="4"/>
    <n v="2"/>
    <x v="1756"/>
    <n v="0.2"/>
    <x v="1767"/>
  </r>
  <r>
    <x v="17"/>
    <x v="1768"/>
    <s v="PROD93"/>
    <d v="2024-01-31T00:00:00"/>
    <s v="CUST1291"/>
    <s v="Martin LLC"/>
    <x v="4"/>
    <n v="2"/>
    <x v="1757"/>
    <n v="0.1"/>
    <x v="1768"/>
  </r>
  <r>
    <x v="17"/>
    <x v="1769"/>
    <s v="PROD93"/>
    <d v="2025-06-29T00:00:00"/>
    <s v="CUST1443"/>
    <s v="Martin LLC"/>
    <x v="4"/>
    <n v="4"/>
    <x v="1585"/>
    <n v="7.0000000000000007E-2"/>
    <x v="1769"/>
  </r>
  <r>
    <x v="17"/>
    <x v="1770"/>
    <s v="PROD94"/>
    <d v="2025-06-11T00:00:00"/>
    <s v="CUST1108"/>
    <s v="Hoffman-Williams"/>
    <x v="0"/>
    <n v="3"/>
    <x v="1758"/>
    <n v="0.17"/>
    <x v="1770"/>
  </r>
  <r>
    <x v="17"/>
    <x v="1771"/>
    <s v="PROD95"/>
    <d v="2024-11-02T00:00:00"/>
    <s v="CUST1362"/>
    <s v="Wilson Group"/>
    <x v="2"/>
    <n v="3"/>
    <x v="1759"/>
    <n v="0.01"/>
    <x v="1771"/>
  </r>
  <r>
    <x v="17"/>
    <x v="1772"/>
    <s v="PROD97"/>
    <d v="2025-08-13T00:00:00"/>
    <s v="CUST1117"/>
    <s v="Khan LLC"/>
    <x v="2"/>
    <n v="3"/>
    <x v="1760"/>
    <n v="0.05"/>
    <x v="1772"/>
  </r>
  <r>
    <x v="17"/>
    <x v="1773"/>
    <s v="PROD97"/>
    <d v="2023-12-07T00:00:00"/>
    <s v="CUST1371"/>
    <s v="Khan LLC"/>
    <x v="2"/>
    <n v="4"/>
    <x v="1761"/>
    <n v="0.04"/>
    <x v="1773"/>
  </r>
  <r>
    <x v="17"/>
    <x v="1774"/>
    <s v="PROD98"/>
    <d v="2024-04-25T00:00:00"/>
    <s v="CUST1234"/>
    <s v="Flores-King"/>
    <x v="4"/>
    <n v="4"/>
    <x v="1762"/>
    <n v="0.05"/>
    <x v="1774"/>
  </r>
  <r>
    <x v="17"/>
    <x v="1775"/>
    <s v="PROD98"/>
    <d v="2025-04-12T00:00:00"/>
    <s v="CUST1416"/>
    <s v="Flores-King"/>
    <x v="4"/>
    <n v="4"/>
    <x v="1763"/>
    <n v="0.27"/>
    <x v="1775"/>
  </r>
  <r>
    <x v="18"/>
    <x v="1776"/>
    <s v="PROD0"/>
    <d v="2025-03-26T00:00:00"/>
    <s v="CUST1333"/>
    <s v="Hunt Inc"/>
    <x v="4"/>
    <n v="4"/>
    <x v="1764"/>
    <n v="7.0000000000000007E-2"/>
    <x v="1776"/>
  </r>
  <r>
    <x v="18"/>
    <x v="1777"/>
    <s v="PROD12"/>
    <d v="2024-12-19T00:00:00"/>
    <s v="CUST1266"/>
    <s v="Rice LLC"/>
    <x v="0"/>
    <n v="3"/>
    <x v="1765"/>
    <n v="0.26"/>
    <x v="1777"/>
  </r>
  <r>
    <x v="18"/>
    <x v="1778"/>
    <s v="PROD12"/>
    <d v="2024-06-23T00:00:00"/>
    <s v="CUST1368"/>
    <s v="Rice LLC"/>
    <x v="0"/>
    <n v="1"/>
    <x v="1766"/>
    <n v="0.08"/>
    <x v="1778"/>
  </r>
  <r>
    <x v="18"/>
    <x v="1779"/>
    <s v="PROD13"/>
    <d v="2024-10-29T00:00:00"/>
    <s v="CUST1022"/>
    <s v="Dawson-Perkins"/>
    <x v="4"/>
    <n v="4"/>
    <x v="1767"/>
    <n v="0.26"/>
    <x v="1779"/>
  </r>
  <r>
    <x v="18"/>
    <x v="1780"/>
    <s v="PROD13"/>
    <d v="2023-10-20T00:00:00"/>
    <s v="CUST1140"/>
    <s v="Dawson-Perkins"/>
    <x v="4"/>
    <n v="3"/>
    <x v="1768"/>
    <n v="0.03"/>
    <x v="1780"/>
  </r>
  <r>
    <x v="18"/>
    <x v="1781"/>
    <s v="PROD13"/>
    <d v="2023-11-30T00:00:00"/>
    <s v="CUST1279"/>
    <s v="Dawson-Perkins"/>
    <x v="4"/>
    <n v="1"/>
    <x v="1769"/>
    <n v="0"/>
    <x v="1781"/>
  </r>
  <r>
    <x v="18"/>
    <x v="1782"/>
    <s v="PROD13"/>
    <d v="2025-05-03T00:00:00"/>
    <s v="CUST1434"/>
    <s v="Dawson-Perkins"/>
    <x v="4"/>
    <n v="4"/>
    <x v="1770"/>
    <n v="0.03"/>
    <x v="1782"/>
  </r>
  <r>
    <x v="18"/>
    <x v="1783"/>
    <s v="PROD16"/>
    <d v="2025-02-14T00:00:00"/>
    <s v="CUST1033"/>
    <s v="Erickson-Green"/>
    <x v="0"/>
    <n v="3"/>
    <x v="1771"/>
    <n v="0.1"/>
    <x v="1783"/>
  </r>
  <r>
    <x v="18"/>
    <x v="1784"/>
    <s v="PROD16"/>
    <d v="2024-07-02T00:00:00"/>
    <s v="CUST1404"/>
    <s v="Erickson-Green"/>
    <x v="0"/>
    <n v="4"/>
    <x v="1772"/>
    <n v="0.23"/>
    <x v="1784"/>
  </r>
  <r>
    <x v="18"/>
    <x v="1785"/>
    <s v="PROD17"/>
    <d v="2025-03-04T00:00:00"/>
    <s v="CUST1060"/>
    <s v="Ford, Murphy and Wilson"/>
    <x v="2"/>
    <n v="1"/>
    <x v="1773"/>
    <n v="0.11"/>
    <x v="1785"/>
  </r>
  <r>
    <x v="18"/>
    <x v="1786"/>
    <s v="PROD17"/>
    <d v="2025-05-04T00:00:00"/>
    <s v="CUST1310"/>
    <s v="Ford, Murphy and Wilson"/>
    <x v="2"/>
    <n v="2"/>
    <x v="1774"/>
    <n v="0.28000000000000003"/>
    <x v="1786"/>
  </r>
  <r>
    <x v="18"/>
    <x v="1787"/>
    <s v="PROD18"/>
    <d v="2024-09-25T00:00:00"/>
    <s v="CUST1445"/>
    <s v="Guerra-Hendrix"/>
    <x v="3"/>
    <n v="3"/>
    <x v="1775"/>
    <n v="0.22"/>
    <x v="1787"/>
  </r>
  <r>
    <x v="18"/>
    <x v="1788"/>
    <s v="PROD19"/>
    <d v="2025-02-05T00:00:00"/>
    <s v="CUST1095"/>
    <s v="May-Reese"/>
    <x v="2"/>
    <n v="1"/>
    <x v="1776"/>
    <n v="0.01"/>
    <x v="1788"/>
  </r>
  <r>
    <x v="18"/>
    <x v="1789"/>
    <s v="PROD19"/>
    <d v="2024-07-30T00:00:00"/>
    <s v="CUST1158"/>
    <s v="May-Reese"/>
    <x v="2"/>
    <n v="2"/>
    <x v="1777"/>
    <n v="0.28999999999999998"/>
    <x v="1789"/>
  </r>
  <r>
    <x v="18"/>
    <x v="1790"/>
    <s v="PROD19"/>
    <d v="2024-12-28T00:00:00"/>
    <s v="CUST1277"/>
    <s v="May-Reese"/>
    <x v="2"/>
    <n v="2"/>
    <x v="1778"/>
    <n v="0.18"/>
    <x v="1790"/>
  </r>
  <r>
    <x v="18"/>
    <x v="1791"/>
    <s v="PROD19"/>
    <d v="2024-10-06T00:00:00"/>
    <s v="CUST1436"/>
    <s v="May-Reese"/>
    <x v="2"/>
    <n v="4"/>
    <x v="1779"/>
    <n v="0.16"/>
    <x v="1791"/>
  </r>
  <r>
    <x v="18"/>
    <x v="1792"/>
    <s v="PROD2"/>
    <d v="2024-12-30T00:00:00"/>
    <s v="CUST1101"/>
    <s v="Sims Inc"/>
    <x v="3"/>
    <n v="1"/>
    <x v="1780"/>
    <n v="7.0000000000000007E-2"/>
    <x v="1792"/>
  </r>
  <r>
    <x v="18"/>
    <x v="1793"/>
    <s v="PROD2"/>
    <d v="2025-04-05T00:00:00"/>
    <s v="CUST1371"/>
    <s v="Sims Inc"/>
    <x v="3"/>
    <n v="3"/>
    <x v="1273"/>
    <n v="0.27"/>
    <x v="1793"/>
  </r>
  <r>
    <x v="18"/>
    <x v="1794"/>
    <s v="PROD20"/>
    <d v="2025-02-28T00:00:00"/>
    <s v="CUST1065"/>
    <s v="Soto-Ellis"/>
    <x v="2"/>
    <n v="4"/>
    <x v="1781"/>
    <n v="0.08"/>
    <x v="1794"/>
  </r>
  <r>
    <x v="18"/>
    <x v="1795"/>
    <s v="PROD20"/>
    <d v="2025-10-12T00:00:00"/>
    <s v="CUST1273"/>
    <s v="Soto-Ellis"/>
    <x v="2"/>
    <n v="1"/>
    <x v="1782"/>
    <n v="0.1"/>
    <x v="1795"/>
  </r>
  <r>
    <x v="18"/>
    <x v="1796"/>
    <s v="PROD20"/>
    <d v="2025-01-20T00:00:00"/>
    <s v="CUST1324"/>
    <s v="Soto-Ellis"/>
    <x v="2"/>
    <n v="1"/>
    <x v="1783"/>
    <n v="0.13"/>
    <x v="1796"/>
  </r>
  <r>
    <x v="18"/>
    <x v="1797"/>
    <s v="PROD21"/>
    <d v="2024-12-27T00:00:00"/>
    <s v="CUST1197"/>
    <s v="Gardner-Montes"/>
    <x v="1"/>
    <n v="1"/>
    <x v="1784"/>
    <n v="0.02"/>
    <x v="1797"/>
  </r>
  <r>
    <x v="18"/>
    <x v="1798"/>
    <s v="PROD22"/>
    <d v="2025-04-10T00:00:00"/>
    <s v="CUST1147"/>
    <s v="Flores, Pineda and Rodriguez"/>
    <x v="2"/>
    <n v="4"/>
    <x v="1785"/>
    <n v="7.0000000000000007E-2"/>
    <x v="1798"/>
  </r>
  <r>
    <x v="18"/>
    <x v="1799"/>
    <s v="PROD23"/>
    <d v="2023-11-11T00:00:00"/>
    <s v="CUST1302"/>
    <s v="Moon, Mora and Santos"/>
    <x v="3"/>
    <n v="3"/>
    <x v="1786"/>
    <n v="0.08"/>
    <x v="1799"/>
  </r>
  <r>
    <x v="18"/>
    <x v="1800"/>
    <s v="PROD25"/>
    <d v="2023-11-20T00:00:00"/>
    <s v="CUST1431"/>
    <s v="Brown and Sons"/>
    <x v="3"/>
    <n v="1"/>
    <x v="1787"/>
    <n v="0.27"/>
    <x v="1800"/>
  </r>
  <r>
    <x v="18"/>
    <x v="1801"/>
    <s v="PROD26"/>
    <d v="2025-06-16T00:00:00"/>
    <s v="CUST1131"/>
    <s v="Reed-Schmidt"/>
    <x v="4"/>
    <n v="3"/>
    <x v="1788"/>
    <n v="0.18"/>
    <x v="1801"/>
  </r>
  <r>
    <x v="18"/>
    <x v="1802"/>
    <s v="PROD26"/>
    <d v="2023-10-23T00:00:00"/>
    <s v="CUST1347"/>
    <s v="Reed-Schmidt"/>
    <x v="4"/>
    <n v="1"/>
    <x v="1789"/>
    <n v="0.02"/>
    <x v="1802"/>
  </r>
  <r>
    <x v="18"/>
    <x v="1803"/>
    <s v="PROD26"/>
    <d v="2023-12-26T00:00:00"/>
    <s v="CUST1387"/>
    <s v="Reed-Schmidt"/>
    <x v="4"/>
    <n v="2"/>
    <x v="1790"/>
    <n v="0.25"/>
    <x v="1803"/>
  </r>
  <r>
    <x v="18"/>
    <x v="1804"/>
    <s v="PROD27"/>
    <d v="2025-05-30T00:00:00"/>
    <s v="CUST1012"/>
    <s v="Khan, Jones and Paul"/>
    <x v="1"/>
    <n v="3"/>
    <x v="1791"/>
    <n v="0.27"/>
    <x v="1804"/>
  </r>
  <r>
    <x v="18"/>
    <x v="1805"/>
    <s v="PROD27"/>
    <d v="2024-09-20T00:00:00"/>
    <s v="CUST1029"/>
    <s v="Khan, Jones and Paul"/>
    <x v="1"/>
    <n v="3"/>
    <x v="1792"/>
    <n v="0.19"/>
    <x v="1805"/>
  </r>
  <r>
    <x v="18"/>
    <x v="1806"/>
    <s v="PROD29"/>
    <d v="2025-07-13T00:00:00"/>
    <s v="CUST1419"/>
    <s v="Hoffman Group"/>
    <x v="1"/>
    <n v="2"/>
    <x v="1793"/>
    <n v="0.15"/>
    <x v="1806"/>
  </r>
  <r>
    <x v="18"/>
    <x v="1807"/>
    <s v="PROD3"/>
    <d v="2025-03-24T00:00:00"/>
    <s v="CUST1291"/>
    <s v="Pineda Ltd"/>
    <x v="3"/>
    <n v="4"/>
    <x v="1794"/>
    <n v="0.06"/>
    <x v="1807"/>
  </r>
  <r>
    <x v="18"/>
    <x v="1808"/>
    <s v="PROD3"/>
    <d v="2024-05-08T00:00:00"/>
    <s v="CUST1419"/>
    <s v="Pineda Ltd"/>
    <x v="3"/>
    <n v="4"/>
    <x v="1795"/>
    <n v="0.22"/>
    <x v="1808"/>
  </r>
  <r>
    <x v="18"/>
    <x v="1809"/>
    <s v="PROD30"/>
    <d v="2024-02-04T00:00:00"/>
    <s v="CUST1188"/>
    <s v="Stevens, Fernandez and Martin"/>
    <x v="1"/>
    <n v="3"/>
    <x v="1796"/>
    <n v="0.2"/>
    <x v="1809"/>
  </r>
  <r>
    <x v="18"/>
    <x v="1810"/>
    <s v="PROD31"/>
    <d v="2023-10-29T00:00:00"/>
    <s v="CUST1165"/>
    <s v="Nolan-Snow"/>
    <x v="2"/>
    <n v="4"/>
    <x v="1797"/>
    <n v="0.03"/>
    <x v="1810"/>
  </r>
  <r>
    <x v="18"/>
    <x v="1811"/>
    <s v="PROD31"/>
    <d v="2024-10-11T00:00:00"/>
    <s v="CUST1346"/>
    <s v="Nolan-Snow"/>
    <x v="2"/>
    <n v="3"/>
    <x v="1798"/>
    <n v="0.17"/>
    <x v="1811"/>
  </r>
  <r>
    <x v="18"/>
    <x v="1812"/>
    <s v="PROD34"/>
    <d v="2024-12-25T00:00:00"/>
    <s v="CUST1099"/>
    <s v="Lucero LLC"/>
    <x v="4"/>
    <n v="3"/>
    <x v="1799"/>
    <n v="0.12"/>
    <x v="1812"/>
  </r>
  <r>
    <x v="18"/>
    <x v="1813"/>
    <s v="PROD34"/>
    <d v="2024-08-24T00:00:00"/>
    <s v="CUST1103"/>
    <s v="Lucero LLC"/>
    <x v="4"/>
    <n v="4"/>
    <x v="1800"/>
    <n v="0.28000000000000003"/>
    <x v="1813"/>
  </r>
  <r>
    <x v="18"/>
    <x v="1814"/>
    <s v="PROD35"/>
    <d v="2025-04-26T00:00:00"/>
    <s v="CUST1161"/>
    <s v="Jones LLC"/>
    <x v="1"/>
    <n v="3"/>
    <x v="1801"/>
    <n v="0.09"/>
    <x v="1814"/>
  </r>
  <r>
    <x v="18"/>
    <x v="1815"/>
    <s v="PROD35"/>
    <d v="2025-07-26T00:00:00"/>
    <s v="CUST1469"/>
    <s v="Jones LLC"/>
    <x v="1"/>
    <n v="4"/>
    <x v="1802"/>
    <n v="0.02"/>
    <x v="1815"/>
  </r>
  <r>
    <x v="18"/>
    <x v="1816"/>
    <s v="PROD36"/>
    <d v="2024-08-26T00:00:00"/>
    <s v="CUST1081"/>
    <s v="Smith-Mills"/>
    <x v="3"/>
    <n v="4"/>
    <x v="1803"/>
    <n v="0.12"/>
    <x v="1816"/>
  </r>
  <r>
    <x v="18"/>
    <x v="1817"/>
    <s v="PROD36"/>
    <d v="2025-04-14T00:00:00"/>
    <s v="CUST1187"/>
    <s v="Smith-Mills"/>
    <x v="3"/>
    <n v="1"/>
    <x v="1804"/>
    <n v="0.02"/>
    <x v="1817"/>
  </r>
  <r>
    <x v="18"/>
    <x v="1818"/>
    <s v="PROD36"/>
    <d v="2024-06-05T00:00:00"/>
    <s v="CUST1435"/>
    <s v="Smith-Mills"/>
    <x v="3"/>
    <n v="3"/>
    <x v="1805"/>
    <n v="0.24"/>
    <x v="1818"/>
  </r>
  <r>
    <x v="18"/>
    <x v="1819"/>
    <s v="PROD37"/>
    <d v="2024-09-19T00:00:00"/>
    <s v="CUST1147"/>
    <s v="Hogan-Lee"/>
    <x v="3"/>
    <n v="3"/>
    <x v="1806"/>
    <n v="0.1"/>
    <x v="1819"/>
  </r>
  <r>
    <x v="18"/>
    <x v="1820"/>
    <s v="PROD37"/>
    <d v="2024-12-04T00:00:00"/>
    <s v="CUST1181"/>
    <s v="Hogan-Lee"/>
    <x v="3"/>
    <n v="4"/>
    <x v="1807"/>
    <n v="0.15"/>
    <x v="1820"/>
  </r>
  <r>
    <x v="18"/>
    <x v="1821"/>
    <s v="PROD38"/>
    <d v="2025-05-16T00:00:00"/>
    <s v="CUST1142"/>
    <s v="Sims-Smith"/>
    <x v="2"/>
    <n v="1"/>
    <x v="1808"/>
    <n v="0.14000000000000001"/>
    <x v="1821"/>
  </r>
  <r>
    <x v="18"/>
    <x v="1822"/>
    <s v="PROD39"/>
    <d v="2025-08-14T00:00:00"/>
    <s v="CUST1168"/>
    <s v="Cummings and Sons"/>
    <x v="4"/>
    <n v="4"/>
    <x v="1809"/>
    <n v="0.1"/>
    <x v="1822"/>
  </r>
  <r>
    <x v="18"/>
    <x v="1823"/>
    <s v="PROD39"/>
    <d v="2025-06-18T00:00:00"/>
    <s v="CUST1224"/>
    <s v="Cummings and Sons"/>
    <x v="4"/>
    <n v="4"/>
    <x v="1810"/>
    <n v="0.24"/>
    <x v="1823"/>
  </r>
  <r>
    <x v="18"/>
    <x v="1824"/>
    <s v="PROD39"/>
    <d v="2023-11-06T00:00:00"/>
    <s v="CUST1246"/>
    <s v="Cummings and Sons"/>
    <x v="4"/>
    <n v="3"/>
    <x v="1811"/>
    <n v="0.01"/>
    <x v="1824"/>
  </r>
  <r>
    <x v="18"/>
    <x v="1825"/>
    <s v="PROD4"/>
    <d v="2025-07-18T00:00:00"/>
    <s v="CUST1228"/>
    <s v="Gonzales-Davis"/>
    <x v="3"/>
    <n v="1"/>
    <x v="1812"/>
    <n v="0.28000000000000003"/>
    <x v="1825"/>
  </r>
  <r>
    <x v="18"/>
    <x v="1826"/>
    <s v="PROD40"/>
    <d v="2024-06-11T00:00:00"/>
    <s v="CUST1296"/>
    <s v="Taylor-Hart"/>
    <x v="4"/>
    <n v="4"/>
    <x v="1813"/>
    <n v="0.22"/>
    <x v="1826"/>
  </r>
  <r>
    <x v="18"/>
    <x v="1827"/>
    <s v="PROD41"/>
    <d v="2024-02-21T00:00:00"/>
    <s v="CUST1056"/>
    <s v="Carroll, Long and Mendoza"/>
    <x v="2"/>
    <n v="2"/>
    <x v="1814"/>
    <n v="0.05"/>
    <x v="1827"/>
  </r>
  <r>
    <x v="18"/>
    <x v="1828"/>
    <s v="PROD41"/>
    <d v="2024-03-08T00:00:00"/>
    <s v="CUST1323"/>
    <s v="Carroll, Long and Mendoza"/>
    <x v="2"/>
    <n v="3"/>
    <x v="1815"/>
    <n v="0.28000000000000003"/>
    <x v="1828"/>
  </r>
  <r>
    <x v="18"/>
    <x v="1829"/>
    <s v="PROD42"/>
    <d v="2025-07-13T00:00:00"/>
    <s v="CUST1007"/>
    <s v="Holmes LLC"/>
    <x v="4"/>
    <n v="4"/>
    <x v="1816"/>
    <n v="0.08"/>
    <x v="1829"/>
  </r>
  <r>
    <x v="18"/>
    <x v="1830"/>
    <s v="PROD42"/>
    <d v="2025-08-26T00:00:00"/>
    <s v="CUST1178"/>
    <s v="Holmes LLC"/>
    <x v="4"/>
    <n v="4"/>
    <x v="1817"/>
    <n v="0.11"/>
    <x v="1830"/>
  </r>
  <r>
    <x v="18"/>
    <x v="1831"/>
    <s v="PROD42"/>
    <d v="2025-05-18T00:00:00"/>
    <s v="CUST1209"/>
    <s v="Holmes LLC"/>
    <x v="4"/>
    <n v="3"/>
    <x v="1818"/>
    <n v="0.02"/>
    <x v="1831"/>
  </r>
  <r>
    <x v="18"/>
    <x v="1832"/>
    <s v="PROD43"/>
    <d v="2024-07-15T00:00:00"/>
    <s v="CUST1128"/>
    <s v="Robinson Inc"/>
    <x v="4"/>
    <n v="3"/>
    <x v="1819"/>
    <n v="0.21"/>
    <x v="1832"/>
  </r>
  <r>
    <x v="18"/>
    <x v="1833"/>
    <s v="PROD43"/>
    <d v="2025-04-23T00:00:00"/>
    <s v="CUST1248"/>
    <s v="Robinson Inc"/>
    <x v="4"/>
    <n v="3"/>
    <x v="1820"/>
    <n v="0.1"/>
    <x v="1833"/>
  </r>
  <r>
    <x v="18"/>
    <x v="1834"/>
    <s v="PROD43"/>
    <d v="2024-09-26T00:00:00"/>
    <s v="CUST1472"/>
    <s v="Robinson Inc"/>
    <x v="4"/>
    <n v="3"/>
    <x v="1821"/>
    <n v="0.11"/>
    <x v="1834"/>
  </r>
  <r>
    <x v="18"/>
    <x v="1835"/>
    <s v="PROD44"/>
    <d v="2024-03-26T00:00:00"/>
    <s v="CUST1057"/>
    <s v="Cox Inc"/>
    <x v="2"/>
    <n v="3"/>
    <x v="1822"/>
    <n v="0.25"/>
    <x v="1835"/>
  </r>
  <r>
    <x v="18"/>
    <x v="1836"/>
    <s v="PROD44"/>
    <d v="2025-03-04T00:00:00"/>
    <s v="CUST1499"/>
    <s v="Cox Inc"/>
    <x v="2"/>
    <n v="3"/>
    <x v="1823"/>
    <n v="0.02"/>
    <x v="1836"/>
  </r>
  <r>
    <x v="18"/>
    <x v="1837"/>
    <s v="PROD45"/>
    <d v="2025-01-02T00:00:00"/>
    <s v="CUST1091"/>
    <s v="Bridges, Banks and Cummings"/>
    <x v="2"/>
    <n v="2"/>
    <x v="1824"/>
    <n v="0.22"/>
    <x v="1837"/>
  </r>
  <r>
    <x v="18"/>
    <x v="1838"/>
    <s v="PROD46"/>
    <d v="2025-09-07T00:00:00"/>
    <s v="CUST1192"/>
    <s v="Kelly, Smith and Perez"/>
    <x v="3"/>
    <n v="4"/>
    <x v="1825"/>
    <n v="0.06"/>
    <x v="1838"/>
  </r>
  <r>
    <x v="18"/>
    <x v="1839"/>
    <s v="PROD46"/>
    <d v="2024-12-03T00:00:00"/>
    <s v="CUST1442"/>
    <s v="Kelly, Smith and Perez"/>
    <x v="3"/>
    <n v="1"/>
    <x v="1826"/>
    <n v="0.11"/>
    <x v="1839"/>
  </r>
  <r>
    <x v="18"/>
    <x v="1840"/>
    <s v="PROD49"/>
    <d v="2024-06-03T00:00:00"/>
    <s v="CUST1056"/>
    <s v="Sullivan and Sons"/>
    <x v="0"/>
    <n v="4"/>
    <x v="1827"/>
    <n v="0.25"/>
    <x v="1840"/>
  </r>
  <r>
    <x v="18"/>
    <x v="1841"/>
    <s v="PROD49"/>
    <d v="2025-01-19T00:00:00"/>
    <s v="CUST1226"/>
    <s v="Sullivan and Sons"/>
    <x v="0"/>
    <n v="3"/>
    <x v="1828"/>
    <n v="0.12"/>
    <x v="1841"/>
  </r>
  <r>
    <x v="18"/>
    <x v="1842"/>
    <s v="PROD5"/>
    <d v="2023-12-08T00:00:00"/>
    <s v="CUST1334"/>
    <s v="Baldwin, Garza and Gonzalez"/>
    <x v="3"/>
    <n v="3"/>
    <x v="1829"/>
    <n v="0.28999999999999998"/>
    <x v="1842"/>
  </r>
  <r>
    <x v="18"/>
    <x v="1843"/>
    <s v="PROD51"/>
    <d v="2025-09-15T00:00:00"/>
    <s v="CUST1061"/>
    <s v="Bautista, Green and Hale"/>
    <x v="4"/>
    <n v="3"/>
    <x v="1830"/>
    <n v="0.22"/>
    <x v="1843"/>
  </r>
  <r>
    <x v="18"/>
    <x v="1844"/>
    <s v="PROD52"/>
    <d v="2025-08-16T00:00:00"/>
    <s v="CUST1176"/>
    <s v="Harris Inc"/>
    <x v="2"/>
    <n v="1"/>
    <x v="1831"/>
    <n v="0.06"/>
    <x v="1844"/>
  </r>
  <r>
    <x v="18"/>
    <x v="1845"/>
    <s v="PROD53"/>
    <d v="2024-07-26T00:00:00"/>
    <s v="CUST1219"/>
    <s v="Hamilton, Woods and Walker"/>
    <x v="3"/>
    <n v="2"/>
    <x v="1832"/>
    <n v="0.12"/>
    <x v="1845"/>
  </r>
  <r>
    <x v="18"/>
    <x v="1846"/>
    <s v="PROD53"/>
    <d v="2024-08-08T00:00:00"/>
    <s v="CUST1244"/>
    <s v="Hamilton, Woods and Walker"/>
    <x v="3"/>
    <n v="2"/>
    <x v="1833"/>
    <n v="0.22"/>
    <x v="1846"/>
  </r>
  <r>
    <x v="18"/>
    <x v="1847"/>
    <s v="PROD54"/>
    <d v="2025-06-15T00:00:00"/>
    <s v="CUST1378"/>
    <s v="Thompson-French"/>
    <x v="2"/>
    <n v="2"/>
    <x v="1834"/>
    <n v="0.14000000000000001"/>
    <x v="1847"/>
  </r>
  <r>
    <x v="18"/>
    <x v="1848"/>
    <s v="PROD55"/>
    <d v="2025-01-13T00:00:00"/>
    <s v="CUST1499"/>
    <s v="Hatfield, Baird and Torres"/>
    <x v="1"/>
    <n v="1"/>
    <x v="1835"/>
    <n v="0.04"/>
    <x v="1848"/>
  </r>
  <r>
    <x v="18"/>
    <x v="1849"/>
    <s v="PROD57"/>
    <d v="2024-04-04T00:00:00"/>
    <s v="CUST1182"/>
    <s v="Atkinson, Camacho and Oliver"/>
    <x v="2"/>
    <n v="3"/>
    <x v="1836"/>
    <n v="0.08"/>
    <x v="1849"/>
  </r>
  <r>
    <x v="18"/>
    <x v="1850"/>
    <s v="PROD58"/>
    <d v="2025-09-18T00:00:00"/>
    <s v="CUST1268"/>
    <s v="Shepherd-Gould"/>
    <x v="3"/>
    <n v="2"/>
    <x v="1837"/>
    <n v="0"/>
    <x v="1850"/>
  </r>
  <r>
    <x v="18"/>
    <x v="1851"/>
    <s v="PROD59"/>
    <d v="2024-02-27T00:00:00"/>
    <s v="CUST1113"/>
    <s v="Cline-Mccarthy"/>
    <x v="0"/>
    <n v="1"/>
    <x v="1838"/>
    <n v="0.21"/>
    <x v="1851"/>
  </r>
  <r>
    <x v="18"/>
    <x v="1852"/>
    <s v="PROD59"/>
    <d v="2024-11-10T00:00:00"/>
    <s v="CUST1470"/>
    <s v="Cline-Mccarthy"/>
    <x v="0"/>
    <n v="4"/>
    <x v="1839"/>
    <n v="0.09"/>
    <x v="1852"/>
  </r>
  <r>
    <x v="18"/>
    <x v="1853"/>
    <s v="PROD6"/>
    <d v="2025-07-09T00:00:00"/>
    <s v="CUST1036"/>
    <s v="Davidson PLC"/>
    <x v="0"/>
    <n v="1"/>
    <x v="1840"/>
    <n v="0.16"/>
    <x v="1853"/>
  </r>
  <r>
    <x v="18"/>
    <x v="1854"/>
    <s v="PROD61"/>
    <d v="2024-09-25T00:00:00"/>
    <s v="CUST1031"/>
    <s v="Lopez LLC"/>
    <x v="2"/>
    <n v="1"/>
    <x v="1841"/>
    <n v="0.1"/>
    <x v="1854"/>
  </r>
  <r>
    <x v="18"/>
    <x v="1855"/>
    <s v="PROD62"/>
    <d v="2025-04-10T00:00:00"/>
    <s v="CUST1119"/>
    <s v="Murray, Gould and Ware"/>
    <x v="4"/>
    <n v="1"/>
    <x v="1842"/>
    <n v="0.09"/>
    <x v="1855"/>
  </r>
  <r>
    <x v="18"/>
    <x v="1856"/>
    <s v="PROD66"/>
    <d v="2025-07-25T00:00:00"/>
    <s v="CUST1011"/>
    <s v="Torres, Spencer and Potter"/>
    <x v="0"/>
    <n v="4"/>
    <x v="1843"/>
    <n v="0.18"/>
    <x v="1856"/>
  </r>
  <r>
    <x v="18"/>
    <x v="1857"/>
    <s v="PROD66"/>
    <d v="2024-05-20T00:00:00"/>
    <s v="CUST1088"/>
    <s v="Torres, Spencer and Potter"/>
    <x v="0"/>
    <n v="2"/>
    <x v="1844"/>
    <n v="0.01"/>
    <x v="1857"/>
  </r>
  <r>
    <x v="18"/>
    <x v="1858"/>
    <s v="PROD66"/>
    <d v="2023-12-12T00:00:00"/>
    <s v="CUST1232"/>
    <s v="Torres, Spencer and Potter"/>
    <x v="0"/>
    <n v="4"/>
    <x v="1845"/>
    <n v="0.11"/>
    <x v="1858"/>
  </r>
  <r>
    <x v="18"/>
    <x v="1859"/>
    <s v="PROD67"/>
    <d v="2025-03-31T00:00:00"/>
    <s v="CUST1192"/>
    <s v="Flores-Davis"/>
    <x v="4"/>
    <n v="1"/>
    <x v="1846"/>
    <n v="0.08"/>
    <x v="1859"/>
  </r>
  <r>
    <x v="18"/>
    <x v="1860"/>
    <s v="PROD67"/>
    <d v="2023-10-25T00:00:00"/>
    <s v="CUST1371"/>
    <s v="Flores-Davis"/>
    <x v="4"/>
    <n v="1"/>
    <x v="1847"/>
    <n v="0.04"/>
    <x v="1860"/>
  </r>
  <r>
    <x v="18"/>
    <x v="1861"/>
    <s v="PROD67"/>
    <d v="2025-05-24T00:00:00"/>
    <s v="CUST1465"/>
    <s v="Flores-Davis"/>
    <x v="4"/>
    <n v="2"/>
    <x v="1848"/>
    <n v="0.13"/>
    <x v="1861"/>
  </r>
  <r>
    <x v="18"/>
    <x v="1862"/>
    <s v="PROD68"/>
    <d v="2025-09-06T00:00:00"/>
    <s v="CUST1084"/>
    <s v="Wolfe, Ross and Hester"/>
    <x v="1"/>
    <n v="3"/>
    <x v="1849"/>
    <n v="0.28999999999999998"/>
    <x v="1862"/>
  </r>
  <r>
    <x v="18"/>
    <x v="1863"/>
    <s v="PROD69"/>
    <d v="2023-12-09T00:00:00"/>
    <s v="CUST1295"/>
    <s v="Fitzpatrick Ltd"/>
    <x v="3"/>
    <n v="4"/>
    <x v="1850"/>
    <n v="0.18"/>
    <x v="1863"/>
  </r>
  <r>
    <x v="18"/>
    <x v="1864"/>
    <s v="PROD69"/>
    <d v="2025-04-25T00:00:00"/>
    <s v="CUST1326"/>
    <s v="Fitzpatrick Ltd"/>
    <x v="3"/>
    <n v="1"/>
    <x v="1851"/>
    <n v="0.28999999999999998"/>
    <x v="1864"/>
  </r>
  <r>
    <x v="18"/>
    <x v="1865"/>
    <s v="PROD7"/>
    <d v="2025-07-22T00:00:00"/>
    <s v="CUST1096"/>
    <s v="Harrell LLC"/>
    <x v="1"/>
    <n v="4"/>
    <x v="1852"/>
    <n v="0.08"/>
    <x v="1865"/>
  </r>
  <r>
    <x v="18"/>
    <x v="1866"/>
    <s v="PROD70"/>
    <d v="2025-04-03T00:00:00"/>
    <s v="CUST1134"/>
    <s v="Duran Group"/>
    <x v="1"/>
    <n v="2"/>
    <x v="1853"/>
    <n v="0.06"/>
    <x v="1866"/>
  </r>
  <r>
    <x v="18"/>
    <x v="1867"/>
    <s v="PROD70"/>
    <d v="2023-11-18T00:00:00"/>
    <s v="CUST1152"/>
    <s v="Duran Group"/>
    <x v="1"/>
    <n v="4"/>
    <x v="1854"/>
    <n v="0.23"/>
    <x v="1867"/>
  </r>
  <r>
    <x v="18"/>
    <x v="1868"/>
    <s v="PROD72"/>
    <d v="2025-07-16T00:00:00"/>
    <s v="CUST1153"/>
    <s v="Davis PLC"/>
    <x v="2"/>
    <n v="3"/>
    <x v="1855"/>
    <n v="0.08"/>
    <x v="1868"/>
  </r>
  <r>
    <x v="18"/>
    <x v="1869"/>
    <s v="PROD72"/>
    <d v="2023-11-19T00:00:00"/>
    <s v="CUST1281"/>
    <s v="Davis PLC"/>
    <x v="2"/>
    <n v="4"/>
    <x v="1856"/>
    <n v="0.11"/>
    <x v="1869"/>
  </r>
  <r>
    <x v="18"/>
    <x v="1870"/>
    <s v="PROD74"/>
    <d v="2025-01-10T00:00:00"/>
    <s v="CUST1312"/>
    <s v="Bruce-Bowen"/>
    <x v="4"/>
    <n v="1"/>
    <x v="1857"/>
    <n v="7.0000000000000007E-2"/>
    <x v="1870"/>
  </r>
  <r>
    <x v="18"/>
    <x v="1871"/>
    <s v="PROD74"/>
    <d v="2025-05-17T00:00:00"/>
    <s v="CUST1420"/>
    <s v="Bruce-Bowen"/>
    <x v="4"/>
    <n v="3"/>
    <x v="1858"/>
    <n v="0.21"/>
    <x v="1871"/>
  </r>
  <r>
    <x v="18"/>
    <x v="1872"/>
    <s v="PROD75"/>
    <d v="2024-04-19T00:00:00"/>
    <s v="CUST1092"/>
    <s v="Poole PLC"/>
    <x v="3"/>
    <n v="4"/>
    <x v="1859"/>
    <n v="0.23"/>
    <x v="1872"/>
  </r>
  <r>
    <x v="18"/>
    <x v="1873"/>
    <s v="PROD75"/>
    <d v="2024-11-01T00:00:00"/>
    <s v="CUST1398"/>
    <s v="Poole PLC"/>
    <x v="3"/>
    <n v="4"/>
    <x v="1860"/>
    <n v="0.08"/>
    <x v="1873"/>
  </r>
  <r>
    <x v="18"/>
    <x v="1874"/>
    <s v="PROD76"/>
    <d v="2023-11-29T00:00:00"/>
    <s v="CUST1346"/>
    <s v="Larson Ltd"/>
    <x v="4"/>
    <n v="1"/>
    <x v="1861"/>
    <n v="0.16"/>
    <x v="1874"/>
  </r>
  <r>
    <x v="18"/>
    <x v="1875"/>
    <s v="PROD77"/>
    <d v="2025-02-22T00:00:00"/>
    <s v="CUST1200"/>
    <s v="White, Reeves and Woods"/>
    <x v="4"/>
    <n v="3"/>
    <x v="1862"/>
    <n v="0.17"/>
    <x v="1875"/>
  </r>
  <r>
    <x v="18"/>
    <x v="1876"/>
    <s v="PROD78"/>
    <d v="2025-07-04T00:00:00"/>
    <s v="CUST1202"/>
    <s v="Hernandez Inc"/>
    <x v="1"/>
    <n v="4"/>
    <x v="1863"/>
    <n v="0.13"/>
    <x v="1876"/>
  </r>
  <r>
    <x v="18"/>
    <x v="1877"/>
    <s v="PROD78"/>
    <d v="2025-07-01T00:00:00"/>
    <s v="CUST1496"/>
    <s v="Hernandez Inc"/>
    <x v="1"/>
    <n v="2"/>
    <x v="1864"/>
    <n v="0.1"/>
    <x v="1877"/>
  </r>
  <r>
    <x v="18"/>
    <x v="1878"/>
    <s v="PROD79"/>
    <d v="2024-09-29T00:00:00"/>
    <s v="CUST1195"/>
    <s v="Ramirez-Hanson"/>
    <x v="1"/>
    <n v="3"/>
    <x v="1865"/>
    <n v="0.12"/>
    <x v="1878"/>
  </r>
  <r>
    <x v="18"/>
    <x v="1879"/>
    <s v="PROD8"/>
    <d v="2025-03-24T00:00:00"/>
    <s v="CUST1100"/>
    <s v="Perez-Johnston"/>
    <x v="4"/>
    <n v="4"/>
    <x v="1866"/>
    <n v="0.17"/>
    <x v="1879"/>
  </r>
  <r>
    <x v="18"/>
    <x v="1880"/>
    <s v="PROD8"/>
    <d v="2025-07-02T00:00:00"/>
    <s v="CUST1209"/>
    <s v="Perez-Johnston"/>
    <x v="4"/>
    <n v="4"/>
    <x v="1867"/>
    <n v="0.12"/>
    <x v="1880"/>
  </r>
  <r>
    <x v="18"/>
    <x v="1881"/>
    <s v="PROD8"/>
    <d v="2024-03-28T00:00:00"/>
    <s v="CUST1384"/>
    <s v="Perez-Johnston"/>
    <x v="4"/>
    <n v="4"/>
    <x v="1868"/>
    <n v="0.17"/>
    <x v="1881"/>
  </r>
  <r>
    <x v="18"/>
    <x v="1882"/>
    <s v="PROD81"/>
    <d v="2024-04-17T00:00:00"/>
    <s v="CUST1413"/>
    <s v="Robinson-Brown"/>
    <x v="2"/>
    <n v="3"/>
    <x v="1869"/>
    <n v="0.27"/>
    <x v="1882"/>
  </r>
  <r>
    <x v="18"/>
    <x v="1883"/>
    <s v="PROD81"/>
    <d v="2024-01-13T00:00:00"/>
    <s v="CUST1421"/>
    <s v="Robinson-Brown"/>
    <x v="2"/>
    <n v="4"/>
    <x v="1870"/>
    <n v="0.27"/>
    <x v="1883"/>
  </r>
  <r>
    <x v="18"/>
    <x v="1884"/>
    <s v="PROD82"/>
    <d v="2024-10-22T00:00:00"/>
    <s v="CUST1119"/>
    <s v="Reese-Watson"/>
    <x v="2"/>
    <n v="4"/>
    <x v="1871"/>
    <n v="0.23"/>
    <x v="1884"/>
  </r>
  <r>
    <x v="18"/>
    <x v="1885"/>
    <s v="PROD82"/>
    <d v="2025-08-12T00:00:00"/>
    <s v="CUST1388"/>
    <s v="Reese-Watson"/>
    <x v="2"/>
    <n v="3"/>
    <x v="1872"/>
    <n v="0.06"/>
    <x v="1885"/>
  </r>
  <r>
    <x v="18"/>
    <x v="1886"/>
    <s v="PROD83"/>
    <d v="2025-04-24T00:00:00"/>
    <s v="CUST1193"/>
    <s v="Butler Group"/>
    <x v="0"/>
    <n v="2"/>
    <x v="1099"/>
    <n v="0.19"/>
    <x v="1886"/>
  </r>
  <r>
    <x v="18"/>
    <x v="1887"/>
    <s v="PROD83"/>
    <d v="2024-11-13T00:00:00"/>
    <s v="CUST1221"/>
    <s v="Butler Group"/>
    <x v="0"/>
    <n v="2"/>
    <x v="1873"/>
    <n v="0.16"/>
    <x v="1887"/>
  </r>
  <r>
    <x v="18"/>
    <x v="1888"/>
    <s v="PROD84"/>
    <d v="2025-09-21T00:00:00"/>
    <s v="CUST1207"/>
    <s v="Collins-Stephenson"/>
    <x v="1"/>
    <n v="2"/>
    <x v="1874"/>
    <n v="0.21"/>
    <x v="1888"/>
  </r>
  <r>
    <x v="18"/>
    <x v="1889"/>
    <s v="PROD84"/>
    <d v="2024-05-02T00:00:00"/>
    <s v="CUST1275"/>
    <s v="Collins-Stephenson"/>
    <x v="1"/>
    <n v="3"/>
    <x v="1875"/>
    <n v="0.18"/>
    <x v="1889"/>
  </r>
  <r>
    <x v="18"/>
    <x v="1890"/>
    <s v="PROD84"/>
    <d v="2025-07-06T00:00:00"/>
    <s v="CUST1473"/>
    <s v="Collins-Stephenson"/>
    <x v="1"/>
    <n v="1"/>
    <x v="1876"/>
    <n v="0"/>
    <x v="1890"/>
  </r>
  <r>
    <x v="18"/>
    <x v="1891"/>
    <s v="PROD85"/>
    <d v="2024-07-08T00:00:00"/>
    <s v="CUST1445"/>
    <s v="Richardson-Carrillo"/>
    <x v="3"/>
    <n v="2"/>
    <x v="1877"/>
    <n v="0.22"/>
    <x v="1891"/>
  </r>
  <r>
    <x v="18"/>
    <x v="1892"/>
    <s v="PROD86"/>
    <d v="2025-07-23T00:00:00"/>
    <s v="CUST1216"/>
    <s v="Taylor, Dodson and Johnston"/>
    <x v="1"/>
    <n v="3"/>
    <x v="1878"/>
    <n v="0.08"/>
    <x v="1892"/>
  </r>
  <r>
    <x v="18"/>
    <x v="1893"/>
    <s v="PROD87"/>
    <d v="2024-04-16T00:00:00"/>
    <s v="CUST1248"/>
    <s v="Aguilar, Horton and Lewis"/>
    <x v="1"/>
    <n v="4"/>
    <x v="1879"/>
    <n v="0.25"/>
    <x v="1893"/>
  </r>
  <r>
    <x v="18"/>
    <x v="1894"/>
    <s v="PROD87"/>
    <d v="2024-03-26T00:00:00"/>
    <s v="CUST1469"/>
    <s v="Aguilar, Horton and Lewis"/>
    <x v="1"/>
    <n v="3"/>
    <x v="1880"/>
    <n v="0.01"/>
    <x v="1894"/>
  </r>
  <r>
    <x v="18"/>
    <x v="1895"/>
    <s v="PROD9"/>
    <d v="2024-10-03T00:00:00"/>
    <s v="CUST1409"/>
    <s v="Hill PLC"/>
    <x v="2"/>
    <n v="3"/>
    <x v="347"/>
    <n v="0.15"/>
    <x v="1895"/>
  </r>
  <r>
    <x v="18"/>
    <x v="1896"/>
    <s v="PROD95"/>
    <d v="2024-03-03T00:00:00"/>
    <s v="CUST1368"/>
    <s v="Wilson Group"/>
    <x v="2"/>
    <n v="1"/>
    <x v="1881"/>
    <n v="0.14000000000000001"/>
    <x v="1896"/>
  </r>
  <r>
    <x v="18"/>
    <x v="1897"/>
    <s v="PROD98"/>
    <d v="2025-01-22T00:00:00"/>
    <s v="CUST1106"/>
    <s v="Flores-King"/>
    <x v="4"/>
    <n v="1"/>
    <x v="1882"/>
    <n v="0.16"/>
    <x v="1897"/>
  </r>
  <r>
    <x v="18"/>
    <x v="1898"/>
    <s v="PROD98"/>
    <d v="2024-01-03T00:00:00"/>
    <s v="CUST1213"/>
    <s v="Flores-King"/>
    <x v="4"/>
    <n v="4"/>
    <x v="1883"/>
    <n v="0"/>
    <x v="1898"/>
  </r>
  <r>
    <x v="18"/>
    <x v="1899"/>
    <s v="PROD98"/>
    <d v="2025-04-25T00:00:00"/>
    <s v="CUST1279"/>
    <s v="Flores-King"/>
    <x v="4"/>
    <n v="3"/>
    <x v="1884"/>
    <n v="0.04"/>
    <x v="1899"/>
  </r>
  <r>
    <x v="18"/>
    <x v="1900"/>
    <s v="PROD98"/>
    <d v="2024-11-18T00:00:00"/>
    <s v="CUST1477"/>
    <s v="Flores-King"/>
    <x v="4"/>
    <n v="4"/>
    <x v="1885"/>
    <n v="0.1"/>
    <x v="1900"/>
  </r>
  <r>
    <x v="18"/>
    <x v="1901"/>
    <s v="PROD99"/>
    <d v="2024-03-18T00:00:00"/>
    <s v="CUST1227"/>
    <s v="Campbell Ltd"/>
    <x v="1"/>
    <n v="3"/>
    <x v="1886"/>
    <n v="0.2"/>
    <x v="1901"/>
  </r>
  <r>
    <x v="18"/>
    <x v="1902"/>
    <s v="PROD99"/>
    <d v="2024-03-28T00:00:00"/>
    <s v="CUST1259"/>
    <s v="Campbell Ltd"/>
    <x v="1"/>
    <n v="2"/>
    <x v="1887"/>
    <n v="0.05"/>
    <x v="1902"/>
  </r>
  <r>
    <x v="19"/>
    <x v="1903"/>
    <s v="PROD0"/>
    <d v="2024-08-19T00:00:00"/>
    <s v="CUST1008"/>
    <s v="Hunt Inc"/>
    <x v="4"/>
    <n v="2"/>
    <x v="1888"/>
    <n v="0.06"/>
    <x v="1903"/>
  </r>
  <r>
    <x v="19"/>
    <x v="1904"/>
    <s v="PROD0"/>
    <d v="2024-06-25T00:00:00"/>
    <s v="CUST1443"/>
    <s v="Hunt Inc"/>
    <x v="4"/>
    <n v="2"/>
    <x v="1889"/>
    <n v="0.28999999999999998"/>
    <x v="1904"/>
  </r>
  <r>
    <x v="19"/>
    <x v="1905"/>
    <s v="PROD1"/>
    <d v="2025-03-30T00:00:00"/>
    <s v="CUST1044"/>
    <s v="Terry-Moore"/>
    <x v="3"/>
    <n v="3"/>
    <x v="1890"/>
    <n v="0.19"/>
    <x v="1905"/>
  </r>
  <r>
    <x v="19"/>
    <x v="1906"/>
    <s v="PROD12"/>
    <d v="2025-07-24T00:00:00"/>
    <s v="CUST1003"/>
    <s v="Rice LLC"/>
    <x v="0"/>
    <n v="1"/>
    <x v="1891"/>
    <n v="0.02"/>
    <x v="1906"/>
  </r>
  <r>
    <x v="19"/>
    <x v="1907"/>
    <s v="PROD13"/>
    <d v="2024-06-05T00:00:00"/>
    <s v="CUST1477"/>
    <s v="Dawson-Perkins"/>
    <x v="4"/>
    <n v="3"/>
    <x v="1892"/>
    <n v="0.23"/>
    <x v="1907"/>
  </r>
  <r>
    <x v="19"/>
    <x v="1908"/>
    <s v="PROD14"/>
    <d v="2024-03-05T00:00:00"/>
    <s v="CUST1443"/>
    <s v="Luna, Anderson and Bowman"/>
    <x v="1"/>
    <n v="3"/>
    <x v="1893"/>
    <n v="0.05"/>
    <x v="1908"/>
  </r>
  <r>
    <x v="19"/>
    <x v="1909"/>
    <s v="PROD15"/>
    <d v="2024-10-09T00:00:00"/>
    <s v="CUST1449"/>
    <s v="Thomas LLC"/>
    <x v="4"/>
    <n v="3"/>
    <x v="1894"/>
    <n v="0.09"/>
    <x v="1909"/>
  </r>
  <r>
    <x v="19"/>
    <x v="1910"/>
    <s v="PROD16"/>
    <d v="2023-12-21T00:00:00"/>
    <s v="CUST1303"/>
    <s v="Erickson-Green"/>
    <x v="0"/>
    <n v="2"/>
    <x v="1895"/>
    <n v="0.08"/>
    <x v="1910"/>
  </r>
  <r>
    <x v="19"/>
    <x v="1911"/>
    <s v="PROD18"/>
    <d v="2025-03-01T00:00:00"/>
    <s v="CUST1097"/>
    <s v="Guerra-Hendrix"/>
    <x v="3"/>
    <n v="1"/>
    <x v="1896"/>
    <n v="0.18"/>
    <x v="1911"/>
  </r>
  <r>
    <x v="19"/>
    <x v="1912"/>
    <s v="PROD20"/>
    <d v="2025-08-06T00:00:00"/>
    <s v="CUST1077"/>
    <s v="Soto-Ellis"/>
    <x v="2"/>
    <n v="3"/>
    <x v="1897"/>
    <n v="0.16"/>
    <x v="1912"/>
  </r>
  <r>
    <x v="19"/>
    <x v="1913"/>
    <s v="PROD22"/>
    <d v="2025-02-21T00:00:00"/>
    <s v="CUST1345"/>
    <s v="Flores, Pineda and Rodriguez"/>
    <x v="2"/>
    <n v="4"/>
    <x v="1898"/>
    <n v="0.01"/>
    <x v="1913"/>
  </r>
  <r>
    <x v="19"/>
    <x v="1914"/>
    <s v="PROD24"/>
    <d v="2024-12-27T00:00:00"/>
    <s v="CUST1243"/>
    <s v="Cook Ltd"/>
    <x v="2"/>
    <n v="1"/>
    <x v="1899"/>
    <n v="0.1"/>
    <x v="1914"/>
  </r>
  <r>
    <x v="19"/>
    <x v="1915"/>
    <s v="PROD26"/>
    <d v="2023-10-25T00:00:00"/>
    <s v="CUST1014"/>
    <s v="Reed-Schmidt"/>
    <x v="4"/>
    <n v="1"/>
    <x v="1900"/>
    <n v="0.1"/>
    <x v="1915"/>
  </r>
  <r>
    <x v="19"/>
    <x v="1916"/>
    <s v="PROD26"/>
    <d v="2025-08-24T00:00:00"/>
    <s v="CUST1156"/>
    <s v="Reed-Schmidt"/>
    <x v="4"/>
    <n v="4"/>
    <x v="1901"/>
    <n v="0.1"/>
    <x v="1916"/>
  </r>
  <r>
    <x v="19"/>
    <x v="1917"/>
    <s v="PROD27"/>
    <d v="2024-03-02T00:00:00"/>
    <s v="CUST1276"/>
    <s v="Khan, Jones and Paul"/>
    <x v="1"/>
    <n v="2"/>
    <x v="1902"/>
    <n v="0.15"/>
    <x v="1917"/>
  </r>
  <r>
    <x v="19"/>
    <x v="1918"/>
    <s v="PROD27"/>
    <d v="2024-01-05T00:00:00"/>
    <s v="CUST1365"/>
    <s v="Khan, Jones and Paul"/>
    <x v="1"/>
    <n v="4"/>
    <x v="1903"/>
    <n v="0.01"/>
    <x v="1918"/>
  </r>
  <r>
    <x v="19"/>
    <x v="1919"/>
    <s v="PROD28"/>
    <d v="2024-01-10T00:00:00"/>
    <s v="CUST1499"/>
    <s v="Burns-Hansen"/>
    <x v="2"/>
    <n v="2"/>
    <x v="1904"/>
    <n v="0.03"/>
    <x v="1919"/>
  </r>
  <r>
    <x v="19"/>
    <x v="1920"/>
    <s v="PROD29"/>
    <d v="2024-12-23T00:00:00"/>
    <s v="CUST1335"/>
    <s v="Hoffman Group"/>
    <x v="1"/>
    <n v="2"/>
    <x v="1905"/>
    <n v="0.16"/>
    <x v="1920"/>
  </r>
  <r>
    <x v="19"/>
    <x v="1921"/>
    <s v="PROD3"/>
    <d v="2024-04-16T00:00:00"/>
    <s v="CUST1066"/>
    <s v="Pineda Ltd"/>
    <x v="3"/>
    <n v="4"/>
    <x v="1906"/>
    <n v="0.18"/>
    <x v="1921"/>
  </r>
  <r>
    <x v="19"/>
    <x v="1922"/>
    <s v="PROD3"/>
    <d v="2024-05-22T00:00:00"/>
    <s v="CUST1082"/>
    <s v="Pineda Ltd"/>
    <x v="3"/>
    <n v="3"/>
    <x v="1907"/>
    <n v="0.18"/>
    <x v="1922"/>
  </r>
  <r>
    <x v="19"/>
    <x v="1923"/>
    <s v="PROD3"/>
    <d v="2025-08-20T00:00:00"/>
    <s v="CUST1288"/>
    <s v="Pineda Ltd"/>
    <x v="3"/>
    <n v="4"/>
    <x v="1908"/>
    <n v="0.16"/>
    <x v="1923"/>
  </r>
  <r>
    <x v="19"/>
    <x v="1924"/>
    <s v="PROD3"/>
    <d v="2024-07-30T00:00:00"/>
    <s v="CUST1383"/>
    <s v="Pineda Ltd"/>
    <x v="3"/>
    <n v="3"/>
    <x v="1909"/>
    <n v="0.22"/>
    <x v="1924"/>
  </r>
  <r>
    <x v="19"/>
    <x v="1925"/>
    <s v="PROD30"/>
    <d v="2024-06-19T00:00:00"/>
    <s v="CUST1108"/>
    <s v="Stevens, Fernandez and Martin"/>
    <x v="1"/>
    <n v="1"/>
    <x v="1910"/>
    <n v="0.2"/>
    <x v="1925"/>
  </r>
  <r>
    <x v="19"/>
    <x v="1926"/>
    <s v="PROD31"/>
    <d v="2025-06-05T00:00:00"/>
    <s v="CUST1097"/>
    <s v="Nolan-Snow"/>
    <x v="2"/>
    <n v="2"/>
    <x v="1911"/>
    <n v="0.3"/>
    <x v="1926"/>
  </r>
  <r>
    <x v="19"/>
    <x v="1927"/>
    <s v="PROD32"/>
    <d v="2024-08-23T00:00:00"/>
    <s v="CUST1215"/>
    <s v="Griffin Ltd"/>
    <x v="0"/>
    <n v="4"/>
    <x v="1912"/>
    <n v="0.19"/>
    <x v="1927"/>
  </r>
  <r>
    <x v="19"/>
    <x v="1928"/>
    <s v="PROD33"/>
    <d v="2024-07-06T00:00:00"/>
    <s v="CUST1246"/>
    <s v="Weiss-Watson"/>
    <x v="1"/>
    <n v="1"/>
    <x v="1913"/>
    <n v="0.13"/>
    <x v="1928"/>
  </r>
  <r>
    <x v="19"/>
    <x v="1929"/>
    <s v="PROD33"/>
    <d v="2024-12-30T00:00:00"/>
    <s v="CUST1497"/>
    <s v="Weiss-Watson"/>
    <x v="1"/>
    <n v="2"/>
    <x v="1914"/>
    <n v="0.15"/>
    <x v="1929"/>
  </r>
  <r>
    <x v="19"/>
    <x v="1930"/>
    <s v="PROD34"/>
    <d v="2025-06-21T00:00:00"/>
    <s v="CUST1071"/>
    <s v="Lucero LLC"/>
    <x v="4"/>
    <n v="3"/>
    <x v="1915"/>
    <n v="0.06"/>
    <x v="1930"/>
  </r>
  <r>
    <x v="19"/>
    <x v="1931"/>
    <s v="PROD34"/>
    <d v="2024-08-26T00:00:00"/>
    <s v="CUST1209"/>
    <s v="Lucero LLC"/>
    <x v="4"/>
    <n v="2"/>
    <x v="1916"/>
    <n v="0.14000000000000001"/>
    <x v="1931"/>
  </r>
  <r>
    <x v="19"/>
    <x v="1932"/>
    <s v="PROD34"/>
    <d v="2024-02-05T00:00:00"/>
    <s v="CUST1472"/>
    <s v="Lucero LLC"/>
    <x v="4"/>
    <n v="2"/>
    <x v="1917"/>
    <n v="0.28000000000000003"/>
    <x v="1932"/>
  </r>
  <r>
    <x v="19"/>
    <x v="1933"/>
    <s v="PROD36"/>
    <d v="2024-09-02T00:00:00"/>
    <s v="CUST1177"/>
    <s v="Smith-Mills"/>
    <x v="3"/>
    <n v="2"/>
    <x v="1918"/>
    <n v="0.09"/>
    <x v="1933"/>
  </r>
  <r>
    <x v="19"/>
    <x v="1934"/>
    <s v="PROD36"/>
    <d v="2024-12-10T00:00:00"/>
    <s v="CUST1435"/>
    <s v="Smith-Mills"/>
    <x v="3"/>
    <n v="2.8801322162286236"/>
    <x v="1095"/>
    <n v="0.04"/>
    <x v="1934"/>
  </r>
  <r>
    <x v="19"/>
    <x v="1935"/>
    <s v="PROD37"/>
    <d v="2025-05-29T00:00:00"/>
    <s v="CUST1456"/>
    <s v="Hogan-Lee"/>
    <x v="3"/>
    <n v="3"/>
    <x v="1919"/>
    <n v="0.18"/>
    <x v="1935"/>
  </r>
  <r>
    <x v="19"/>
    <x v="1936"/>
    <s v="PROD38"/>
    <d v="2025-05-10T00:00:00"/>
    <s v="CUST1053"/>
    <s v="Sims-Smith"/>
    <x v="2"/>
    <n v="1"/>
    <x v="1920"/>
    <n v="0.14000000000000001"/>
    <x v="1936"/>
  </r>
  <r>
    <x v="19"/>
    <x v="1937"/>
    <s v="PROD38"/>
    <d v="2024-02-08T00:00:00"/>
    <s v="CUST1275"/>
    <s v="Sims-Smith"/>
    <x v="2"/>
    <n v="1"/>
    <x v="1921"/>
    <n v="0.1"/>
    <x v="1937"/>
  </r>
  <r>
    <x v="19"/>
    <x v="1938"/>
    <s v="PROD38"/>
    <d v="2024-03-16T00:00:00"/>
    <s v="CUST1486"/>
    <s v="Sims-Smith"/>
    <x v="2"/>
    <n v="2"/>
    <x v="1922"/>
    <n v="0.3"/>
    <x v="1938"/>
  </r>
  <r>
    <x v="19"/>
    <x v="1939"/>
    <s v="PROD39"/>
    <d v="2024-01-26T00:00:00"/>
    <s v="CUST1245"/>
    <s v="Cummings and Sons"/>
    <x v="4"/>
    <n v="2"/>
    <x v="1923"/>
    <n v="0.05"/>
    <x v="1939"/>
  </r>
  <r>
    <x v="19"/>
    <x v="1940"/>
    <s v="PROD4"/>
    <d v="2024-07-26T00:00:00"/>
    <s v="CUST1462"/>
    <s v="Gonzales-Davis"/>
    <x v="3"/>
    <n v="2"/>
    <x v="1924"/>
    <n v="0.1"/>
    <x v="1940"/>
  </r>
  <r>
    <x v="19"/>
    <x v="1941"/>
    <s v="PROD40"/>
    <d v="2024-05-12T00:00:00"/>
    <s v="CUST1030"/>
    <s v="Taylor-Hart"/>
    <x v="4"/>
    <n v="2"/>
    <x v="1925"/>
    <n v="0.03"/>
    <x v="1941"/>
  </r>
  <r>
    <x v="19"/>
    <x v="1942"/>
    <s v="PROD41"/>
    <d v="2025-02-13T00:00:00"/>
    <s v="CUST1013"/>
    <s v="Carroll, Long and Mendoza"/>
    <x v="2"/>
    <n v="4"/>
    <x v="1926"/>
    <n v="0.14000000000000001"/>
    <x v="1942"/>
  </r>
  <r>
    <x v="19"/>
    <x v="1943"/>
    <s v="PROD41"/>
    <d v="2024-07-07T00:00:00"/>
    <s v="CUST1417"/>
    <s v="Carroll, Long and Mendoza"/>
    <x v="2"/>
    <n v="3"/>
    <x v="1927"/>
    <n v="0.05"/>
    <x v="1943"/>
  </r>
  <r>
    <x v="19"/>
    <x v="1944"/>
    <s v="PROD42"/>
    <d v="2024-10-10T00:00:00"/>
    <s v="CUST1122"/>
    <s v="Holmes LLC"/>
    <x v="4"/>
    <n v="4"/>
    <x v="1928"/>
    <n v="0.18"/>
    <x v="1944"/>
  </r>
  <r>
    <x v="19"/>
    <x v="1945"/>
    <s v="PROD43"/>
    <d v="2025-05-02T00:00:00"/>
    <s v="CUST1159"/>
    <s v="Robinson Inc"/>
    <x v="4"/>
    <n v="2"/>
    <x v="1929"/>
    <n v="0.05"/>
    <x v="1945"/>
  </r>
  <r>
    <x v="19"/>
    <x v="1946"/>
    <s v="PROD43"/>
    <d v="2025-03-26T00:00:00"/>
    <s v="CUST1219"/>
    <s v="Robinson Inc"/>
    <x v="4"/>
    <n v="4"/>
    <x v="1930"/>
    <n v="0.12"/>
    <x v="1946"/>
  </r>
  <r>
    <x v="19"/>
    <x v="1947"/>
    <s v="PROD44"/>
    <d v="2025-07-05T00:00:00"/>
    <s v="CUST1321"/>
    <s v="Cox Inc"/>
    <x v="2"/>
    <n v="4"/>
    <x v="1931"/>
    <n v="0.06"/>
    <x v="1947"/>
  </r>
  <r>
    <x v="19"/>
    <x v="1948"/>
    <s v="PROD45"/>
    <d v="2025-04-21T00:00:00"/>
    <s v="CUST1083"/>
    <s v="Bridges, Banks and Cummings"/>
    <x v="2"/>
    <n v="3"/>
    <x v="1932"/>
    <n v="0.05"/>
    <x v="1948"/>
  </r>
  <r>
    <x v="19"/>
    <x v="1949"/>
    <s v="PROD46"/>
    <d v="2025-07-11T00:00:00"/>
    <s v="CUST1346"/>
    <s v="Kelly, Smith and Perez"/>
    <x v="3"/>
    <n v="2"/>
    <x v="1933"/>
    <n v="0.13"/>
    <x v="1949"/>
  </r>
  <r>
    <x v="19"/>
    <x v="1950"/>
    <s v="PROD46"/>
    <d v="2025-02-23T00:00:00"/>
    <s v="CUST1405"/>
    <s v="Kelly, Smith and Perez"/>
    <x v="3"/>
    <n v="1"/>
    <x v="1934"/>
    <n v="0.05"/>
    <x v="1950"/>
  </r>
  <r>
    <x v="19"/>
    <x v="1951"/>
    <s v="PROD48"/>
    <d v="2023-11-19T00:00:00"/>
    <s v="CUST1261"/>
    <s v="Byrd, Stewart and Valdez"/>
    <x v="4"/>
    <n v="2"/>
    <x v="1935"/>
    <n v="0.25"/>
    <x v="1951"/>
  </r>
  <r>
    <x v="19"/>
    <x v="1952"/>
    <s v="PROD48"/>
    <d v="2025-07-09T00:00:00"/>
    <s v="CUST1300"/>
    <s v="Byrd, Stewart and Valdez"/>
    <x v="4"/>
    <n v="1"/>
    <x v="1936"/>
    <n v="0.15"/>
    <x v="1952"/>
  </r>
  <r>
    <x v="19"/>
    <x v="1953"/>
    <s v="PROD5"/>
    <d v="2024-10-04T00:00:00"/>
    <s v="CUST1057"/>
    <s v="Baldwin, Garza and Gonzalez"/>
    <x v="3"/>
    <n v="3"/>
    <x v="1937"/>
    <n v="0.03"/>
    <x v="1953"/>
  </r>
  <r>
    <x v="19"/>
    <x v="1954"/>
    <s v="PROD5"/>
    <d v="2024-12-30T00:00:00"/>
    <s v="CUST1368"/>
    <s v="Baldwin, Garza and Gonzalez"/>
    <x v="3"/>
    <n v="1"/>
    <x v="1938"/>
    <n v="0.27"/>
    <x v="1954"/>
  </r>
  <r>
    <x v="19"/>
    <x v="1955"/>
    <s v="PROD52"/>
    <d v="2023-12-31T00:00:00"/>
    <s v="CUST1070"/>
    <s v="Harris Inc"/>
    <x v="2"/>
    <n v="3"/>
    <x v="1939"/>
    <n v="0.24"/>
    <x v="1955"/>
  </r>
  <r>
    <x v="19"/>
    <x v="1956"/>
    <s v="PROD52"/>
    <d v="2025-05-19T00:00:00"/>
    <s v="CUST1229"/>
    <s v="Harris Inc"/>
    <x v="2"/>
    <n v="2"/>
    <x v="1940"/>
    <n v="0.27"/>
    <x v="1956"/>
  </r>
  <r>
    <x v="19"/>
    <x v="1957"/>
    <s v="PROD54"/>
    <d v="2025-03-23T00:00:00"/>
    <s v="CUST1019"/>
    <s v="Thompson-French"/>
    <x v="2"/>
    <n v="1"/>
    <x v="1941"/>
    <n v="0.25"/>
    <x v="1957"/>
  </r>
  <r>
    <x v="19"/>
    <x v="1958"/>
    <s v="PROD56"/>
    <d v="2024-04-02T00:00:00"/>
    <s v="CUST1105"/>
    <s v="Hernandez, Kennedy and Porter"/>
    <x v="1"/>
    <n v="3"/>
    <x v="1942"/>
    <n v="0.28999999999999998"/>
    <x v="1958"/>
  </r>
  <r>
    <x v="19"/>
    <x v="1959"/>
    <s v="PROD56"/>
    <d v="2025-06-06T00:00:00"/>
    <s v="CUST1275"/>
    <s v="Hernandez, Kennedy and Porter"/>
    <x v="1"/>
    <n v="3"/>
    <x v="1943"/>
    <n v="0.15"/>
    <x v="1959"/>
  </r>
  <r>
    <x v="19"/>
    <x v="1960"/>
    <s v="PROD57"/>
    <d v="2025-05-06T00:00:00"/>
    <s v="CUST1165"/>
    <s v="Atkinson, Camacho and Oliver"/>
    <x v="2"/>
    <n v="4"/>
    <x v="1944"/>
    <n v="0.26"/>
    <x v="1960"/>
  </r>
  <r>
    <x v="19"/>
    <x v="1961"/>
    <s v="PROD57"/>
    <d v="2024-11-07T00:00:00"/>
    <s v="CUST1257"/>
    <s v="Atkinson, Camacho and Oliver"/>
    <x v="2"/>
    <n v="4"/>
    <x v="1945"/>
    <n v="0.26"/>
    <x v="1961"/>
  </r>
  <r>
    <x v="19"/>
    <x v="1962"/>
    <s v="PROD59"/>
    <d v="2025-01-24T00:00:00"/>
    <s v="CUST1408"/>
    <s v="Cline-Mccarthy"/>
    <x v="0"/>
    <n v="2"/>
    <x v="1946"/>
    <n v="0.06"/>
    <x v="1962"/>
  </r>
  <r>
    <x v="19"/>
    <x v="1963"/>
    <s v="PROD6"/>
    <d v="2024-06-29T00:00:00"/>
    <s v="CUST1095"/>
    <s v="Davidson PLC"/>
    <x v="0"/>
    <n v="4"/>
    <x v="1947"/>
    <n v="0.18"/>
    <x v="1963"/>
  </r>
  <r>
    <x v="19"/>
    <x v="1964"/>
    <s v="PROD60"/>
    <d v="2025-02-20T00:00:00"/>
    <s v="CUST1032"/>
    <s v="Gibson, Green and Lopez"/>
    <x v="0"/>
    <n v="2"/>
    <x v="1948"/>
    <n v="0.06"/>
    <x v="1964"/>
  </r>
  <r>
    <x v="19"/>
    <x v="1965"/>
    <s v="PROD63"/>
    <d v="2024-07-29T00:00:00"/>
    <s v="CUST1053"/>
    <s v="Anderson-Riley"/>
    <x v="0"/>
    <n v="2"/>
    <x v="1949"/>
    <n v="0.19"/>
    <x v="1965"/>
  </r>
  <r>
    <x v="19"/>
    <x v="1966"/>
    <s v="PROD66"/>
    <d v="2025-07-25T00:00:00"/>
    <s v="CUST1185"/>
    <s v="Torres, Spencer and Potter"/>
    <x v="0"/>
    <n v="1"/>
    <x v="1950"/>
    <n v="0.06"/>
    <x v="1966"/>
  </r>
  <r>
    <x v="19"/>
    <x v="1967"/>
    <s v="PROD66"/>
    <d v="2024-03-20T00:00:00"/>
    <s v="CUST1264"/>
    <s v="Torres, Spencer and Potter"/>
    <x v="0"/>
    <n v="2"/>
    <x v="1951"/>
    <n v="0.06"/>
    <x v="1967"/>
  </r>
  <r>
    <x v="19"/>
    <x v="1968"/>
    <s v="PROD67"/>
    <d v="2024-06-22T00:00:00"/>
    <s v="CUST1022"/>
    <s v="Flores-Davis"/>
    <x v="4"/>
    <n v="3"/>
    <x v="1952"/>
    <n v="0.12"/>
    <x v="1968"/>
  </r>
  <r>
    <x v="19"/>
    <x v="1969"/>
    <s v="PROD68"/>
    <d v="2025-08-21T00:00:00"/>
    <s v="CUST1257"/>
    <s v="Wolfe, Ross and Hester"/>
    <x v="1"/>
    <n v="1"/>
    <x v="1953"/>
    <n v="0.17"/>
    <x v="1969"/>
  </r>
  <r>
    <x v="19"/>
    <x v="1970"/>
    <s v="PROD70"/>
    <d v="2024-11-23T00:00:00"/>
    <s v="CUST1084"/>
    <s v="Duran Group"/>
    <x v="1"/>
    <n v="4"/>
    <x v="1954"/>
    <n v="0"/>
    <x v="1970"/>
  </r>
  <r>
    <x v="19"/>
    <x v="1971"/>
    <s v="PROD71"/>
    <d v="2024-11-20T00:00:00"/>
    <s v="CUST1253"/>
    <s v="Hopkins Ltd"/>
    <x v="0"/>
    <n v="1"/>
    <x v="1955"/>
    <n v="0.25"/>
    <x v="1971"/>
  </r>
  <r>
    <x v="19"/>
    <x v="1972"/>
    <s v="PROD71"/>
    <d v="2025-04-28T00:00:00"/>
    <s v="CUST1334"/>
    <s v="Hopkins Ltd"/>
    <x v="0"/>
    <n v="3"/>
    <x v="1956"/>
    <n v="0.14000000000000001"/>
    <x v="1972"/>
  </r>
  <r>
    <x v="19"/>
    <x v="1973"/>
    <s v="PROD71"/>
    <d v="2025-04-04T00:00:00"/>
    <s v="CUST1349"/>
    <s v="Hopkins Ltd"/>
    <x v="0"/>
    <n v="3"/>
    <x v="1957"/>
    <n v="0.03"/>
    <x v="1973"/>
  </r>
  <r>
    <x v="19"/>
    <x v="1974"/>
    <s v="PROD72"/>
    <d v="2025-01-30T00:00:00"/>
    <s v="CUST1205"/>
    <s v="Davis PLC"/>
    <x v="2"/>
    <n v="1"/>
    <x v="1958"/>
    <n v="0.15"/>
    <x v="1974"/>
  </r>
  <r>
    <x v="19"/>
    <x v="1975"/>
    <s v="PROD73"/>
    <d v="2024-11-11T00:00:00"/>
    <s v="CUST1069"/>
    <s v="French Ltd"/>
    <x v="2"/>
    <n v="3"/>
    <x v="1959"/>
    <n v="0.09"/>
    <x v="1975"/>
  </r>
  <r>
    <x v="19"/>
    <x v="1976"/>
    <s v="PROD74"/>
    <d v="2024-04-01T00:00:00"/>
    <s v="CUST1307"/>
    <s v="Bruce-Bowen"/>
    <x v="4"/>
    <n v="3"/>
    <x v="1960"/>
    <n v="0.27"/>
    <x v="1976"/>
  </r>
  <r>
    <x v="19"/>
    <x v="1977"/>
    <s v="PROD75"/>
    <d v="2024-08-09T00:00:00"/>
    <s v="CUST1131"/>
    <s v="Poole PLC"/>
    <x v="3"/>
    <n v="4"/>
    <x v="1961"/>
    <n v="0.01"/>
    <x v="1977"/>
  </r>
  <r>
    <x v="19"/>
    <x v="1978"/>
    <s v="PROD75"/>
    <d v="2024-05-16T00:00:00"/>
    <s v="CUST1363"/>
    <s v="Poole PLC"/>
    <x v="3"/>
    <n v="4"/>
    <x v="1962"/>
    <n v="0.03"/>
    <x v="1978"/>
  </r>
  <r>
    <x v="19"/>
    <x v="1979"/>
    <s v="PROD77"/>
    <d v="2024-01-20T00:00:00"/>
    <s v="CUST1027"/>
    <s v="White, Reeves and Woods"/>
    <x v="4"/>
    <n v="4"/>
    <x v="1963"/>
    <n v="0.2"/>
    <x v="1979"/>
  </r>
  <r>
    <x v="19"/>
    <x v="1980"/>
    <s v="PROD79"/>
    <d v="2025-09-08T00:00:00"/>
    <s v="CUST1209"/>
    <s v="Ramirez-Hanson"/>
    <x v="1"/>
    <n v="4"/>
    <x v="1964"/>
    <n v="0.06"/>
    <x v="1980"/>
  </r>
  <r>
    <x v="19"/>
    <x v="1981"/>
    <s v="PROD79"/>
    <d v="2025-01-30T00:00:00"/>
    <s v="CUST1470"/>
    <s v="Ramirez-Hanson"/>
    <x v="1"/>
    <n v="4"/>
    <x v="1965"/>
    <n v="0.21"/>
    <x v="1981"/>
  </r>
  <r>
    <x v="19"/>
    <x v="1982"/>
    <s v="PROD8"/>
    <d v="2025-09-21T00:00:00"/>
    <s v="CUST1087"/>
    <s v="Perez-Johnston"/>
    <x v="4"/>
    <n v="1"/>
    <x v="1966"/>
    <n v="0.23"/>
    <x v="1982"/>
  </r>
  <r>
    <x v="19"/>
    <x v="1983"/>
    <s v="PROD80"/>
    <d v="2023-12-28T00:00:00"/>
    <s v="CUST1053"/>
    <s v="Allison Ltd"/>
    <x v="1"/>
    <n v="1"/>
    <x v="1967"/>
    <n v="0.23"/>
    <x v="1983"/>
  </r>
  <r>
    <x v="19"/>
    <x v="1984"/>
    <s v="PROD81"/>
    <d v="2023-12-17T00:00:00"/>
    <s v="CUST1175"/>
    <s v="Robinson-Brown"/>
    <x v="2"/>
    <n v="3"/>
    <x v="1968"/>
    <n v="0.21"/>
    <x v="1984"/>
  </r>
  <r>
    <x v="19"/>
    <x v="1985"/>
    <s v="PROD82"/>
    <d v="2024-02-27T00:00:00"/>
    <s v="CUST1308"/>
    <s v="Reese-Watson"/>
    <x v="2"/>
    <n v="4"/>
    <x v="1969"/>
    <n v="0.23"/>
    <x v="1985"/>
  </r>
  <r>
    <x v="19"/>
    <x v="1986"/>
    <s v="PROD83"/>
    <d v="2024-02-03T00:00:00"/>
    <s v="CUST1113"/>
    <s v="Butler Group"/>
    <x v="0"/>
    <n v="3"/>
    <x v="1970"/>
    <n v="0.16"/>
    <x v="1986"/>
  </r>
  <r>
    <x v="19"/>
    <x v="1987"/>
    <s v="PROD86"/>
    <d v="2024-03-21T00:00:00"/>
    <s v="CUST1002"/>
    <s v="Taylor, Dodson and Johnston"/>
    <x v="1"/>
    <n v="1"/>
    <x v="1971"/>
    <n v="0.09"/>
    <x v="1987"/>
  </r>
  <r>
    <x v="19"/>
    <x v="1988"/>
    <s v="PROD87"/>
    <d v="2025-02-09T00:00:00"/>
    <s v="CUST1201"/>
    <s v="Aguilar, Horton and Lewis"/>
    <x v="1"/>
    <n v="1"/>
    <x v="1972"/>
    <n v="0.3"/>
    <x v="1988"/>
  </r>
  <r>
    <x v="19"/>
    <x v="1989"/>
    <s v="PROD87"/>
    <d v="2025-05-30T00:00:00"/>
    <s v="CUST1478"/>
    <s v="Aguilar, Horton and Lewis"/>
    <x v="1"/>
    <n v="2"/>
    <x v="1973"/>
    <n v="0"/>
    <x v="1989"/>
  </r>
  <r>
    <x v="19"/>
    <x v="1990"/>
    <s v="PROD89"/>
    <d v="2025-03-28T00:00:00"/>
    <s v="CUST1475"/>
    <s v="Taylor-Elliott"/>
    <x v="0"/>
    <n v="1"/>
    <x v="1974"/>
    <n v="0.24"/>
    <x v="1990"/>
  </r>
  <r>
    <x v="19"/>
    <x v="1991"/>
    <s v="PROD9"/>
    <d v="2024-07-05T00:00:00"/>
    <s v="CUST1251"/>
    <s v="Hill PLC"/>
    <x v="2"/>
    <n v="3"/>
    <x v="1975"/>
    <n v="7.0000000000000007E-2"/>
    <x v="1991"/>
  </r>
  <r>
    <x v="19"/>
    <x v="1992"/>
    <s v="PROD9"/>
    <d v="2024-03-28T00:00:00"/>
    <s v="CUST1334"/>
    <s v="Hill PLC"/>
    <x v="2"/>
    <n v="2"/>
    <x v="1976"/>
    <n v="0.03"/>
    <x v="1992"/>
  </r>
  <r>
    <x v="19"/>
    <x v="1993"/>
    <s v="PROD91"/>
    <d v="2025-10-12T00:00:00"/>
    <s v="CUST1265"/>
    <s v="Smith-Charles"/>
    <x v="3"/>
    <n v="4"/>
    <x v="1617"/>
    <n v="0.25"/>
    <x v="1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4">
  <r>
    <x v="0"/>
    <x v="0"/>
    <x v="0"/>
  </r>
  <r>
    <x v="0"/>
    <x v="0"/>
    <x v="0"/>
  </r>
  <r>
    <x v="0"/>
    <x v="0"/>
    <x v="1"/>
  </r>
  <r>
    <x v="1"/>
    <x v="1"/>
    <x v="2"/>
  </r>
  <r>
    <x v="1"/>
    <x v="1"/>
    <x v="1"/>
  </r>
  <r>
    <x v="2"/>
    <x v="0"/>
    <x v="0"/>
  </r>
  <r>
    <x v="2"/>
    <x v="0"/>
    <x v="3"/>
  </r>
  <r>
    <x v="3"/>
    <x v="2"/>
    <x v="2"/>
  </r>
  <r>
    <x v="3"/>
    <x v="2"/>
    <x v="0"/>
  </r>
  <r>
    <x v="4"/>
    <x v="3"/>
    <x v="0"/>
  </r>
  <r>
    <x v="5"/>
    <x v="2"/>
    <x v="0"/>
  </r>
  <r>
    <x v="6"/>
    <x v="2"/>
    <x v="2"/>
  </r>
  <r>
    <x v="7"/>
    <x v="1"/>
    <x v="0"/>
  </r>
  <r>
    <x v="7"/>
    <x v="1"/>
    <x v="2"/>
  </r>
  <r>
    <x v="7"/>
    <x v="1"/>
    <x v="1"/>
  </r>
  <r>
    <x v="8"/>
    <x v="2"/>
    <x v="0"/>
  </r>
  <r>
    <x v="9"/>
    <x v="3"/>
    <x v="1"/>
  </r>
  <r>
    <x v="10"/>
    <x v="4"/>
    <x v="1"/>
  </r>
  <r>
    <x v="11"/>
    <x v="1"/>
    <x v="3"/>
  </r>
  <r>
    <x v="11"/>
    <x v="1"/>
    <x v="0"/>
  </r>
  <r>
    <x v="12"/>
    <x v="2"/>
    <x v="0"/>
  </r>
  <r>
    <x v="13"/>
    <x v="3"/>
    <x v="3"/>
  </r>
  <r>
    <x v="14"/>
    <x v="1"/>
    <x v="1"/>
  </r>
  <r>
    <x v="15"/>
    <x v="4"/>
    <x v="2"/>
  </r>
  <r>
    <x v="15"/>
    <x v="4"/>
    <x v="0"/>
  </r>
  <r>
    <x v="16"/>
    <x v="1"/>
    <x v="1"/>
  </r>
  <r>
    <x v="17"/>
    <x v="3"/>
    <x v="1"/>
  </r>
  <r>
    <x v="17"/>
    <x v="3"/>
    <x v="0"/>
  </r>
  <r>
    <x v="18"/>
    <x v="3"/>
    <x v="3"/>
  </r>
  <r>
    <x v="18"/>
    <x v="3"/>
    <x v="2"/>
  </r>
  <r>
    <x v="19"/>
    <x v="2"/>
    <x v="1"/>
  </r>
  <r>
    <x v="20"/>
    <x v="4"/>
    <x v="3"/>
  </r>
  <r>
    <x v="20"/>
    <x v="4"/>
    <x v="0"/>
  </r>
  <r>
    <x v="21"/>
    <x v="4"/>
    <x v="0"/>
  </r>
  <r>
    <x v="22"/>
    <x v="4"/>
    <x v="3"/>
  </r>
  <r>
    <x v="22"/>
    <x v="4"/>
    <x v="1"/>
  </r>
  <r>
    <x v="22"/>
    <x v="4"/>
    <x v="0"/>
  </r>
  <r>
    <x v="23"/>
    <x v="2"/>
    <x v="1"/>
  </r>
  <r>
    <x v="23"/>
    <x v="2"/>
    <x v="1"/>
  </r>
  <r>
    <x v="23"/>
    <x v="2"/>
    <x v="3"/>
  </r>
  <r>
    <x v="24"/>
    <x v="3"/>
    <x v="1"/>
  </r>
  <r>
    <x v="25"/>
    <x v="0"/>
    <x v="0"/>
  </r>
  <r>
    <x v="25"/>
    <x v="0"/>
    <x v="2"/>
  </r>
  <r>
    <x v="26"/>
    <x v="0"/>
    <x v="1"/>
  </r>
  <r>
    <x v="27"/>
    <x v="3"/>
    <x v="2"/>
  </r>
  <r>
    <x v="28"/>
    <x v="2"/>
    <x v="1"/>
  </r>
  <r>
    <x v="29"/>
    <x v="2"/>
    <x v="0"/>
  </r>
  <r>
    <x v="30"/>
    <x v="1"/>
    <x v="1"/>
  </r>
  <r>
    <x v="31"/>
    <x v="1"/>
    <x v="2"/>
  </r>
  <r>
    <x v="31"/>
    <x v="1"/>
    <x v="3"/>
  </r>
  <r>
    <x v="32"/>
    <x v="3"/>
    <x v="3"/>
  </r>
  <r>
    <x v="33"/>
    <x v="0"/>
    <x v="2"/>
  </r>
  <r>
    <x v="34"/>
    <x v="4"/>
    <x v="0"/>
  </r>
  <r>
    <x v="34"/>
    <x v="4"/>
    <x v="2"/>
  </r>
  <r>
    <x v="35"/>
    <x v="0"/>
    <x v="2"/>
  </r>
  <r>
    <x v="36"/>
    <x v="0"/>
    <x v="1"/>
  </r>
  <r>
    <x v="36"/>
    <x v="0"/>
    <x v="3"/>
  </r>
  <r>
    <x v="36"/>
    <x v="0"/>
    <x v="2"/>
  </r>
  <r>
    <x v="37"/>
    <x v="0"/>
    <x v="0"/>
  </r>
  <r>
    <x v="38"/>
    <x v="4"/>
    <x v="0"/>
  </r>
  <r>
    <x v="38"/>
    <x v="4"/>
    <x v="0"/>
  </r>
  <r>
    <x v="39"/>
    <x v="3"/>
    <x v="2"/>
  </r>
  <r>
    <x v="40"/>
    <x v="1"/>
    <x v="0"/>
  </r>
  <r>
    <x v="40"/>
    <x v="1"/>
    <x v="0"/>
  </r>
  <r>
    <x v="41"/>
    <x v="2"/>
    <x v="0"/>
  </r>
  <r>
    <x v="41"/>
    <x v="2"/>
    <x v="1"/>
  </r>
  <r>
    <x v="42"/>
    <x v="2"/>
    <x v="0"/>
  </r>
  <r>
    <x v="42"/>
    <x v="2"/>
    <x v="3"/>
  </r>
  <r>
    <x v="43"/>
    <x v="4"/>
    <x v="0"/>
  </r>
  <r>
    <x v="44"/>
    <x v="3"/>
    <x v="3"/>
  </r>
  <r>
    <x v="44"/>
    <x v="3"/>
    <x v="0"/>
  </r>
  <r>
    <x v="45"/>
    <x v="2"/>
    <x v="1"/>
  </r>
  <r>
    <x v="46"/>
    <x v="2"/>
    <x v="2"/>
  </r>
  <r>
    <x v="47"/>
    <x v="0"/>
    <x v="0"/>
  </r>
  <r>
    <x v="47"/>
    <x v="0"/>
    <x v="3"/>
  </r>
  <r>
    <x v="47"/>
    <x v="0"/>
    <x v="0"/>
  </r>
  <r>
    <x v="48"/>
    <x v="3"/>
    <x v="1"/>
  </r>
  <r>
    <x v="48"/>
    <x v="3"/>
    <x v="3"/>
  </r>
  <r>
    <x v="49"/>
    <x v="1"/>
    <x v="0"/>
  </r>
  <r>
    <x v="50"/>
    <x v="1"/>
    <x v="3"/>
  </r>
  <r>
    <x v="50"/>
    <x v="1"/>
    <x v="0"/>
  </r>
  <r>
    <x v="51"/>
    <x v="2"/>
    <x v="2"/>
  </r>
  <r>
    <x v="52"/>
    <x v="0"/>
    <x v="1"/>
  </r>
  <r>
    <x v="53"/>
    <x v="4"/>
    <x v="3"/>
  </r>
  <r>
    <x v="54"/>
    <x v="3"/>
    <x v="3"/>
  </r>
  <r>
    <x v="54"/>
    <x v="3"/>
    <x v="1"/>
  </r>
  <r>
    <x v="54"/>
    <x v="3"/>
    <x v="2"/>
  </r>
  <r>
    <x v="55"/>
    <x v="1"/>
    <x v="0"/>
  </r>
  <r>
    <x v="55"/>
    <x v="1"/>
    <x v="0"/>
  </r>
  <r>
    <x v="56"/>
    <x v="0"/>
    <x v="1"/>
  </r>
  <r>
    <x v="57"/>
    <x v="2"/>
    <x v="1"/>
  </r>
  <r>
    <x v="58"/>
    <x v="3"/>
    <x v="3"/>
  </r>
  <r>
    <x v="59"/>
    <x v="1"/>
    <x v="0"/>
  </r>
  <r>
    <x v="60"/>
    <x v="4"/>
    <x v="2"/>
  </r>
  <r>
    <x v="0"/>
    <x v="0"/>
    <x v="0"/>
  </r>
  <r>
    <x v="61"/>
    <x v="4"/>
    <x v="1"/>
  </r>
  <r>
    <x v="1"/>
    <x v="1"/>
    <x v="1"/>
  </r>
  <r>
    <x v="62"/>
    <x v="4"/>
    <x v="0"/>
  </r>
  <r>
    <x v="62"/>
    <x v="4"/>
    <x v="2"/>
  </r>
  <r>
    <x v="2"/>
    <x v="0"/>
    <x v="2"/>
  </r>
  <r>
    <x v="3"/>
    <x v="2"/>
    <x v="3"/>
  </r>
  <r>
    <x v="3"/>
    <x v="2"/>
    <x v="2"/>
  </r>
  <r>
    <x v="3"/>
    <x v="2"/>
    <x v="2"/>
  </r>
  <r>
    <x v="3"/>
    <x v="2"/>
    <x v="3"/>
  </r>
  <r>
    <x v="4"/>
    <x v="3"/>
    <x v="0"/>
  </r>
  <r>
    <x v="5"/>
    <x v="2"/>
    <x v="3"/>
  </r>
  <r>
    <x v="6"/>
    <x v="2"/>
    <x v="3"/>
  </r>
  <r>
    <x v="7"/>
    <x v="1"/>
    <x v="0"/>
  </r>
  <r>
    <x v="7"/>
    <x v="1"/>
    <x v="3"/>
  </r>
  <r>
    <x v="63"/>
    <x v="3"/>
    <x v="1"/>
  </r>
  <r>
    <x v="63"/>
    <x v="3"/>
    <x v="3"/>
  </r>
  <r>
    <x v="64"/>
    <x v="2"/>
    <x v="1"/>
  </r>
  <r>
    <x v="64"/>
    <x v="2"/>
    <x v="2"/>
  </r>
  <r>
    <x v="10"/>
    <x v="4"/>
    <x v="2"/>
  </r>
  <r>
    <x v="12"/>
    <x v="2"/>
    <x v="3"/>
  </r>
  <r>
    <x v="12"/>
    <x v="2"/>
    <x v="0"/>
  </r>
  <r>
    <x v="13"/>
    <x v="3"/>
    <x v="1"/>
  </r>
  <r>
    <x v="65"/>
    <x v="1"/>
    <x v="2"/>
  </r>
  <r>
    <x v="66"/>
    <x v="2"/>
    <x v="1"/>
  </r>
  <r>
    <x v="67"/>
    <x v="0"/>
    <x v="0"/>
  </r>
  <r>
    <x v="14"/>
    <x v="1"/>
    <x v="0"/>
  </r>
  <r>
    <x v="15"/>
    <x v="4"/>
    <x v="3"/>
  </r>
  <r>
    <x v="16"/>
    <x v="1"/>
    <x v="1"/>
  </r>
  <r>
    <x v="18"/>
    <x v="3"/>
    <x v="0"/>
  </r>
  <r>
    <x v="20"/>
    <x v="4"/>
    <x v="2"/>
  </r>
  <r>
    <x v="20"/>
    <x v="4"/>
    <x v="2"/>
  </r>
  <r>
    <x v="21"/>
    <x v="4"/>
    <x v="1"/>
  </r>
  <r>
    <x v="21"/>
    <x v="4"/>
    <x v="3"/>
  </r>
  <r>
    <x v="68"/>
    <x v="4"/>
    <x v="0"/>
  </r>
  <r>
    <x v="69"/>
    <x v="2"/>
    <x v="2"/>
  </r>
  <r>
    <x v="23"/>
    <x v="2"/>
    <x v="3"/>
  </r>
  <r>
    <x v="24"/>
    <x v="3"/>
    <x v="1"/>
  </r>
  <r>
    <x v="24"/>
    <x v="3"/>
    <x v="2"/>
  </r>
  <r>
    <x v="26"/>
    <x v="0"/>
    <x v="3"/>
  </r>
  <r>
    <x v="28"/>
    <x v="2"/>
    <x v="3"/>
  </r>
  <r>
    <x v="70"/>
    <x v="3"/>
    <x v="3"/>
  </r>
  <r>
    <x v="29"/>
    <x v="2"/>
    <x v="1"/>
  </r>
  <r>
    <x v="29"/>
    <x v="2"/>
    <x v="0"/>
  </r>
  <r>
    <x v="30"/>
    <x v="1"/>
    <x v="0"/>
  </r>
  <r>
    <x v="31"/>
    <x v="1"/>
    <x v="2"/>
  </r>
  <r>
    <x v="71"/>
    <x v="0"/>
    <x v="1"/>
  </r>
  <r>
    <x v="34"/>
    <x v="4"/>
    <x v="2"/>
  </r>
  <r>
    <x v="34"/>
    <x v="4"/>
    <x v="3"/>
  </r>
  <r>
    <x v="72"/>
    <x v="2"/>
    <x v="1"/>
  </r>
  <r>
    <x v="37"/>
    <x v="0"/>
    <x v="0"/>
  </r>
  <r>
    <x v="37"/>
    <x v="0"/>
    <x v="0"/>
  </r>
  <r>
    <x v="38"/>
    <x v="4"/>
    <x v="2"/>
  </r>
  <r>
    <x v="73"/>
    <x v="0"/>
    <x v="0"/>
  </r>
  <r>
    <x v="73"/>
    <x v="0"/>
    <x v="0"/>
  </r>
  <r>
    <x v="41"/>
    <x v="2"/>
    <x v="1"/>
  </r>
  <r>
    <x v="41"/>
    <x v="2"/>
    <x v="2"/>
  </r>
  <r>
    <x v="42"/>
    <x v="2"/>
    <x v="0"/>
  </r>
  <r>
    <x v="43"/>
    <x v="4"/>
    <x v="0"/>
  </r>
  <r>
    <x v="43"/>
    <x v="4"/>
    <x v="2"/>
  </r>
  <r>
    <x v="74"/>
    <x v="4"/>
    <x v="1"/>
  </r>
  <r>
    <x v="75"/>
    <x v="1"/>
    <x v="3"/>
  </r>
  <r>
    <x v="75"/>
    <x v="1"/>
    <x v="3"/>
  </r>
  <r>
    <x v="76"/>
    <x v="1"/>
    <x v="4"/>
  </r>
  <r>
    <x v="77"/>
    <x v="4"/>
    <x v="3"/>
  </r>
  <r>
    <x v="77"/>
    <x v="4"/>
    <x v="1"/>
  </r>
  <r>
    <x v="77"/>
    <x v="4"/>
    <x v="2"/>
  </r>
  <r>
    <x v="45"/>
    <x v="2"/>
    <x v="0"/>
  </r>
  <r>
    <x v="45"/>
    <x v="2"/>
    <x v="3"/>
  </r>
  <r>
    <x v="46"/>
    <x v="2"/>
    <x v="2"/>
  </r>
  <r>
    <x v="47"/>
    <x v="0"/>
    <x v="3"/>
  </r>
  <r>
    <x v="78"/>
    <x v="1"/>
    <x v="3"/>
  </r>
  <r>
    <x v="48"/>
    <x v="3"/>
    <x v="0"/>
  </r>
  <r>
    <x v="49"/>
    <x v="1"/>
    <x v="0"/>
  </r>
  <r>
    <x v="50"/>
    <x v="1"/>
    <x v="1"/>
  </r>
  <r>
    <x v="50"/>
    <x v="1"/>
    <x v="2"/>
  </r>
  <r>
    <x v="51"/>
    <x v="2"/>
    <x v="0"/>
  </r>
  <r>
    <x v="51"/>
    <x v="2"/>
    <x v="2"/>
  </r>
  <r>
    <x v="51"/>
    <x v="2"/>
    <x v="3"/>
  </r>
  <r>
    <x v="52"/>
    <x v="0"/>
    <x v="0"/>
  </r>
  <r>
    <x v="53"/>
    <x v="4"/>
    <x v="2"/>
  </r>
  <r>
    <x v="53"/>
    <x v="4"/>
    <x v="3"/>
  </r>
  <r>
    <x v="53"/>
    <x v="4"/>
    <x v="1"/>
  </r>
  <r>
    <x v="53"/>
    <x v="4"/>
    <x v="3"/>
  </r>
  <r>
    <x v="55"/>
    <x v="1"/>
    <x v="3"/>
  </r>
  <r>
    <x v="55"/>
    <x v="1"/>
    <x v="1"/>
  </r>
  <r>
    <x v="55"/>
    <x v="1"/>
    <x v="1"/>
  </r>
  <r>
    <x v="56"/>
    <x v="0"/>
    <x v="0"/>
  </r>
  <r>
    <x v="57"/>
    <x v="2"/>
    <x v="0"/>
  </r>
  <r>
    <x v="57"/>
    <x v="2"/>
    <x v="0"/>
  </r>
  <r>
    <x v="79"/>
    <x v="2"/>
    <x v="3"/>
  </r>
  <r>
    <x v="80"/>
    <x v="1"/>
    <x v="1"/>
  </r>
  <r>
    <x v="81"/>
    <x v="3"/>
    <x v="3"/>
  </r>
  <r>
    <x v="0"/>
    <x v="0"/>
    <x v="3"/>
  </r>
  <r>
    <x v="61"/>
    <x v="4"/>
    <x v="0"/>
  </r>
  <r>
    <x v="1"/>
    <x v="1"/>
    <x v="3"/>
  </r>
  <r>
    <x v="1"/>
    <x v="1"/>
    <x v="0"/>
  </r>
  <r>
    <x v="1"/>
    <x v="1"/>
    <x v="1"/>
  </r>
  <r>
    <x v="2"/>
    <x v="0"/>
    <x v="1"/>
  </r>
  <r>
    <x v="3"/>
    <x v="2"/>
    <x v="1"/>
  </r>
  <r>
    <x v="5"/>
    <x v="2"/>
    <x v="1"/>
  </r>
  <r>
    <x v="5"/>
    <x v="2"/>
    <x v="3"/>
  </r>
  <r>
    <x v="82"/>
    <x v="3"/>
    <x v="2"/>
  </r>
  <r>
    <x v="82"/>
    <x v="3"/>
    <x v="0"/>
  </r>
  <r>
    <x v="7"/>
    <x v="1"/>
    <x v="0"/>
  </r>
  <r>
    <x v="7"/>
    <x v="1"/>
    <x v="0"/>
  </r>
  <r>
    <x v="7"/>
    <x v="1"/>
    <x v="1"/>
  </r>
  <r>
    <x v="8"/>
    <x v="2"/>
    <x v="3"/>
  </r>
  <r>
    <x v="8"/>
    <x v="2"/>
    <x v="1"/>
  </r>
  <r>
    <x v="64"/>
    <x v="2"/>
    <x v="0"/>
  </r>
  <r>
    <x v="10"/>
    <x v="4"/>
    <x v="2"/>
  </r>
  <r>
    <x v="11"/>
    <x v="1"/>
    <x v="0"/>
  </r>
  <r>
    <x v="12"/>
    <x v="2"/>
    <x v="3"/>
  </r>
  <r>
    <x v="65"/>
    <x v="1"/>
    <x v="1"/>
  </r>
  <r>
    <x v="66"/>
    <x v="2"/>
    <x v="1"/>
  </r>
  <r>
    <x v="66"/>
    <x v="2"/>
    <x v="3"/>
  </r>
  <r>
    <x v="66"/>
    <x v="2"/>
    <x v="1"/>
  </r>
  <r>
    <x v="66"/>
    <x v="2"/>
    <x v="0"/>
  </r>
  <r>
    <x v="14"/>
    <x v="1"/>
    <x v="1"/>
  </r>
  <r>
    <x v="18"/>
    <x v="3"/>
    <x v="3"/>
  </r>
  <r>
    <x v="21"/>
    <x v="4"/>
    <x v="2"/>
  </r>
  <r>
    <x v="23"/>
    <x v="2"/>
    <x v="2"/>
  </r>
  <r>
    <x v="24"/>
    <x v="3"/>
    <x v="0"/>
  </r>
  <r>
    <x v="83"/>
    <x v="4"/>
    <x v="2"/>
  </r>
  <r>
    <x v="26"/>
    <x v="0"/>
    <x v="3"/>
  </r>
  <r>
    <x v="27"/>
    <x v="3"/>
    <x v="1"/>
  </r>
  <r>
    <x v="27"/>
    <x v="3"/>
    <x v="1"/>
  </r>
  <r>
    <x v="28"/>
    <x v="2"/>
    <x v="0"/>
  </r>
  <r>
    <x v="84"/>
    <x v="4"/>
    <x v="3"/>
  </r>
  <r>
    <x v="85"/>
    <x v="2"/>
    <x v="3"/>
  </r>
  <r>
    <x v="85"/>
    <x v="2"/>
    <x v="1"/>
  </r>
  <r>
    <x v="70"/>
    <x v="3"/>
    <x v="3"/>
  </r>
  <r>
    <x v="70"/>
    <x v="3"/>
    <x v="0"/>
  </r>
  <r>
    <x v="29"/>
    <x v="2"/>
    <x v="3"/>
  </r>
  <r>
    <x v="29"/>
    <x v="2"/>
    <x v="2"/>
  </r>
  <r>
    <x v="86"/>
    <x v="2"/>
    <x v="2"/>
  </r>
  <r>
    <x v="32"/>
    <x v="3"/>
    <x v="2"/>
  </r>
  <r>
    <x v="32"/>
    <x v="3"/>
    <x v="0"/>
  </r>
  <r>
    <x v="32"/>
    <x v="3"/>
    <x v="1"/>
  </r>
  <r>
    <x v="33"/>
    <x v="0"/>
    <x v="3"/>
  </r>
  <r>
    <x v="33"/>
    <x v="0"/>
    <x v="2"/>
  </r>
  <r>
    <x v="71"/>
    <x v="0"/>
    <x v="3"/>
  </r>
  <r>
    <x v="71"/>
    <x v="0"/>
    <x v="2"/>
  </r>
  <r>
    <x v="87"/>
    <x v="2"/>
    <x v="3"/>
  </r>
  <r>
    <x v="35"/>
    <x v="0"/>
    <x v="0"/>
  </r>
  <r>
    <x v="72"/>
    <x v="2"/>
    <x v="2"/>
  </r>
  <r>
    <x v="38"/>
    <x v="4"/>
    <x v="2"/>
  </r>
  <r>
    <x v="38"/>
    <x v="4"/>
    <x v="2"/>
  </r>
  <r>
    <x v="88"/>
    <x v="1"/>
    <x v="1"/>
  </r>
  <r>
    <x v="39"/>
    <x v="3"/>
    <x v="3"/>
  </r>
  <r>
    <x v="89"/>
    <x v="1"/>
    <x v="2"/>
  </r>
  <r>
    <x v="73"/>
    <x v="0"/>
    <x v="1"/>
  </r>
  <r>
    <x v="41"/>
    <x v="2"/>
    <x v="2"/>
  </r>
  <r>
    <x v="42"/>
    <x v="2"/>
    <x v="3"/>
  </r>
  <r>
    <x v="42"/>
    <x v="2"/>
    <x v="2"/>
  </r>
  <r>
    <x v="43"/>
    <x v="4"/>
    <x v="1"/>
  </r>
  <r>
    <x v="43"/>
    <x v="4"/>
    <x v="0"/>
  </r>
  <r>
    <x v="44"/>
    <x v="3"/>
    <x v="2"/>
  </r>
  <r>
    <x v="44"/>
    <x v="3"/>
    <x v="2"/>
  </r>
  <r>
    <x v="90"/>
    <x v="4"/>
    <x v="1"/>
  </r>
  <r>
    <x v="90"/>
    <x v="4"/>
    <x v="2"/>
  </r>
  <r>
    <x v="90"/>
    <x v="4"/>
    <x v="3"/>
  </r>
  <r>
    <x v="91"/>
    <x v="1"/>
    <x v="2"/>
  </r>
  <r>
    <x v="91"/>
    <x v="1"/>
    <x v="1"/>
  </r>
  <r>
    <x v="91"/>
    <x v="1"/>
    <x v="2"/>
  </r>
  <r>
    <x v="45"/>
    <x v="2"/>
    <x v="1"/>
  </r>
  <r>
    <x v="45"/>
    <x v="2"/>
    <x v="1"/>
  </r>
  <r>
    <x v="46"/>
    <x v="2"/>
    <x v="1"/>
  </r>
  <r>
    <x v="47"/>
    <x v="0"/>
    <x v="0"/>
  </r>
  <r>
    <x v="47"/>
    <x v="0"/>
    <x v="0"/>
  </r>
  <r>
    <x v="49"/>
    <x v="1"/>
    <x v="1"/>
  </r>
  <r>
    <x v="51"/>
    <x v="2"/>
    <x v="0"/>
  </r>
  <r>
    <x v="51"/>
    <x v="2"/>
    <x v="2"/>
  </r>
  <r>
    <x v="52"/>
    <x v="0"/>
    <x v="3"/>
  </r>
  <r>
    <x v="52"/>
    <x v="0"/>
    <x v="1"/>
  </r>
  <r>
    <x v="52"/>
    <x v="0"/>
    <x v="1"/>
  </r>
  <r>
    <x v="92"/>
    <x v="2"/>
    <x v="2"/>
  </r>
  <r>
    <x v="93"/>
    <x v="4"/>
    <x v="2"/>
  </r>
  <r>
    <x v="56"/>
    <x v="0"/>
    <x v="2"/>
  </r>
  <r>
    <x v="56"/>
    <x v="0"/>
    <x v="1"/>
  </r>
  <r>
    <x v="56"/>
    <x v="0"/>
    <x v="2"/>
  </r>
  <r>
    <x v="56"/>
    <x v="0"/>
    <x v="2"/>
  </r>
  <r>
    <x v="57"/>
    <x v="2"/>
    <x v="0"/>
  </r>
  <r>
    <x v="58"/>
    <x v="3"/>
    <x v="3"/>
  </r>
  <r>
    <x v="79"/>
    <x v="2"/>
    <x v="3"/>
  </r>
  <r>
    <x v="79"/>
    <x v="2"/>
    <x v="3"/>
  </r>
  <r>
    <x v="94"/>
    <x v="4"/>
    <x v="1"/>
  </r>
  <r>
    <x v="80"/>
    <x v="1"/>
    <x v="3"/>
  </r>
  <r>
    <x v="80"/>
    <x v="1"/>
    <x v="3"/>
  </r>
  <r>
    <x v="81"/>
    <x v="3"/>
    <x v="2"/>
  </r>
  <r>
    <x v="81"/>
    <x v="3"/>
    <x v="3"/>
  </r>
  <r>
    <x v="59"/>
    <x v="1"/>
    <x v="0"/>
  </r>
  <r>
    <x v="2"/>
    <x v="0"/>
    <x v="1"/>
  </r>
  <r>
    <x v="2"/>
    <x v="0"/>
    <x v="2"/>
  </r>
  <r>
    <x v="2"/>
    <x v="0"/>
    <x v="0"/>
  </r>
  <r>
    <x v="4"/>
    <x v="3"/>
    <x v="0"/>
  </r>
  <r>
    <x v="5"/>
    <x v="2"/>
    <x v="3"/>
  </r>
  <r>
    <x v="6"/>
    <x v="2"/>
    <x v="0"/>
  </r>
  <r>
    <x v="63"/>
    <x v="3"/>
    <x v="0"/>
  </r>
  <r>
    <x v="9"/>
    <x v="3"/>
    <x v="1"/>
  </r>
  <r>
    <x v="12"/>
    <x v="2"/>
    <x v="1"/>
  </r>
  <r>
    <x v="65"/>
    <x v="1"/>
    <x v="0"/>
  </r>
  <r>
    <x v="65"/>
    <x v="1"/>
    <x v="1"/>
  </r>
  <r>
    <x v="66"/>
    <x v="2"/>
    <x v="2"/>
  </r>
  <r>
    <x v="14"/>
    <x v="1"/>
    <x v="0"/>
  </r>
  <r>
    <x v="15"/>
    <x v="4"/>
    <x v="0"/>
  </r>
  <r>
    <x v="15"/>
    <x v="4"/>
    <x v="1"/>
  </r>
  <r>
    <x v="15"/>
    <x v="4"/>
    <x v="0"/>
  </r>
  <r>
    <x v="17"/>
    <x v="3"/>
    <x v="3"/>
  </r>
  <r>
    <x v="18"/>
    <x v="3"/>
    <x v="3"/>
  </r>
  <r>
    <x v="18"/>
    <x v="3"/>
    <x v="3"/>
  </r>
  <r>
    <x v="19"/>
    <x v="2"/>
    <x v="3"/>
  </r>
  <r>
    <x v="20"/>
    <x v="4"/>
    <x v="0"/>
  </r>
  <r>
    <x v="20"/>
    <x v="4"/>
    <x v="3"/>
  </r>
  <r>
    <x v="20"/>
    <x v="4"/>
    <x v="2"/>
  </r>
  <r>
    <x v="95"/>
    <x v="3"/>
    <x v="0"/>
  </r>
  <r>
    <x v="21"/>
    <x v="4"/>
    <x v="1"/>
  </r>
  <r>
    <x v="96"/>
    <x v="2"/>
    <x v="3"/>
  </r>
  <r>
    <x v="22"/>
    <x v="4"/>
    <x v="1"/>
  </r>
  <r>
    <x v="22"/>
    <x v="4"/>
    <x v="1"/>
  </r>
  <r>
    <x v="68"/>
    <x v="4"/>
    <x v="1"/>
  </r>
  <r>
    <x v="69"/>
    <x v="2"/>
    <x v="0"/>
  </r>
  <r>
    <x v="23"/>
    <x v="2"/>
    <x v="1"/>
  </r>
  <r>
    <x v="23"/>
    <x v="2"/>
    <x v="0"/>
  </r>
  <r>
    <x v="24"/>
    <x v="3"/>
    <x v="1"/>
  </r>
  <r>
    <x v="25"/>
    <x v="0"/>
    <x v="0"/>
  </r>
  <r>
    <x v="83"/>
    <x v="4"/>
    <x v="1"/>
  </r>
  <r>
    <x v="26"/>
    <x v="0"/>
    <x v="0"/>
  </r>
  <r>
    <x v="26"/>
    <x v="0"/>
    <x v="2"/>
  </r>
  <r>
    <x v="26"/>
    <x v="0"/>
    <x v="1"/>
  </r>
  <r>
    <x v="84"/>
    <x v="4"/>
    <x v="3"/>
  </r>
  <r>
    <x v="84"/>
    <x v="4"/>
    <x v="3"/>
  </r>
  <r>
    <x v="70"/>
    <x v="3"/>
    <x v="3"/>
  </r>
  <r>
    <x v="30"/>
    <x v="1"/>
    <x v="2"/>
  </r>
  <r>
    <x v="97"/>
    <x v="0"/>
    <x v="1"/>
  </r>
  <r>
    <x v="97"/>
    <x v="0"/>
    <x v="1"/>
  </r>
  <r>
    <x v="97"/>
    <x v="0"/>
    <x v="2"/>
  </r>
  <r>
    <x v="97"/>
    <x v="0"/>
    <x v="1"/>
  </r>
  <r>
    <x v="97"/>
    <x v="0"/>
    <x v="1"/>
  </r>
  <r>
    <x v="71"/>
    <x v="0"/>
    <x v="0"/>
  </r>
  <r>
    <x v="71"/>
    <x v="0"/>
    <x v="3"/>
  </r>
  <r>
    <x v="71"/>
    <x v="0"/>
    <x v="2"/>
  </r>
  <r>
    <x v="87"/>
    <x v="2"/>
    <x v="3"/>
  </r>
  <r>
    <x v="34"/>
    <x v="4"/>
    <x v="1"/>
  </r>
  <r>
    <x v="34"/>
    <x v="4"/>
    <x v="2"/>
  </r>
  <r>
    <x v="35"/>
    <x v="0"/>
    <x v="0"/>
  </r>
  <r>
    <x v="35"/>
    <x v="0"/>
    <x v="2"/>
  </r>
  <r>
    <x v="36"/>
    <x v="0"/>
    <x v="3"/>
  </r>
  <r>
    <x v="72"/>
    <x v="2"/>
    <x v="1"/>
  </r>
  <r>
    <x v="37"/>
    <x v="0"/>
    <x v="0"/>
  </r>
  <r>
    <x v="38"/>
    <x v="4"/>
    <x v="2"/>
  </r>
  <r>
    <x v="38"/>
    <x v="4"/>
    <x v="1"/>
  </r>
  <r>
    <x v="88"/>
    <x v="1"/>
    <x v="0"/>
  </r>
  <r>
    <x v="39"/>
    <x v="3"/>
    <x v="1"/>
  </r>
  <r>
    <x v="39"/>
    <x v="3"/>
    <x v="2"/>
  </r>
  <r>
    <x v="41"/>
    <x v="2"/>
    <x v="1"/>
  </r>
  <r>
    <x v="42"/>
    <x v="2"/>
    <x v="2"/>
  </r>
  <r>
    <x v="42"/>
    <x v="2"/>
    <x v="3"/>
  </r>
  <r>
    <x v="43"/>
    <x v="4"/>
    <x v="3"/>
  </r>
  <r>
    <x v="49"/>
    <x v="1"/>
    <x v="1"/>
  </r>
  <r>
    <x v="49"/>
    <x v="1"/>
    <x v="1"/>
  </r>
  <r>
    <x v="50"/>
    <x v="1"/>
    <x v="2"/>
  </r>
  <r>
    <x v="52"/>
    <x v="0"/>
    <x v="3"/>
  </r>
  <r>
    <x v="52"/>
    <x v="0"/>
    <x v="0"/>
  </r>
  <r>
    <x v="53"/>
    <x v="4"/>
    <x v="0"/>
  </r>
  <r>
    <x v="54"/>
    <x v="3"/>
    <x v="2"/>
  </r>
  <r>
    <x v="55"/>
    <x v="1"/>
    <x v="3"/>
  </r>
  <r>
    <x v="55"/>
    <x v="1"/>
    <x v="2"/>
  </r>
  <r>
    <x v="55"/>
    <x v="1"/>
    <x v="0"/>
  </r>
  <r>
    <x v="56"/>
    <x v="0"/>
    <x v="3"/>
  </r>
  <r>
    <x v="56"/>
    <x v="0"/>
    <x v="0"/>
  </r>
  <r>
    <x v="56"/>
    <x v="0"/>
    <x v="3"/>
  </r>
  <r>
    <x v="56"/>
    <x v="0"/>
    <x v="3"/>
  </r>
  <r>
    <x v="79"/>
    <x v="2"/>
    <x v="1"/>
  </r>
  <r>
    <x v="94"/>
    <x v="4"/>
    <x v="2"/>
  </r>
  <r>
    <x v="94"/>
    <x v="4"/>
    <x v="0"/>
  </r>
  <r>
    <x v="80"/>
    <x v="1"/>
    <x v="0"/>
  </r>
  <r>
    <x v="81"/>
    <x v="3"/>
    <x v="1"/>
  </r>
  <r>
    <x v="59"/>
    <x v="1"/>
    <x v="3"/>
  </r>
  <r>
    <x v="59"/>
    <x v="1"/>
    <x v="2"/>
  </r>
  <r>
    <x v="60"/>
    <x v="4"/>
    <x v="0"/>
  </r>
  <r>
    <x v="1"/>
    <x v="1"/>
    <x v="0"/>
  </r>
  <r>
    <x v="1"/>
    <x v="1"/>
    <x v="1"/>
  </r>
  <r>
    <x v="62"/>
    <x v="4"/>
    <x v="2"/>
  </r>
  <r>
    <x v="3"/>
    <x v="2"/>
    <x v="1"/>
  </r>
  <r>
    <x v="4"/>
    <x v="3"/>
    <x v="2"/>
  </r>
  <r>
    <x v="4"/>
    <x v="3"/>
    <x v="3"/>
  </r>
  <r>
    <x v="82"/>
    <x v="3"/>
    <x v="3"/>
  </r>
  <r>
    <x v="6"/>
    <x v="2"/>
    <x v="2"/>
  </r>
  <r>
    <x v="6"/>
    <x v="2"/>
    <x v="0"/>
  </r>
  <r>
    <x v="7"/>
    <x v="1"/>
    <x v="3"/>
  </r>
  <r>
    <x v="7"/>
    <x v="1"/>
    <x v="0"/>
  </r>
  <r>
    <x v="7"/>
    <x v="1"/>
    <x v="3"/>
  </r>
  <r>
    <x v="8"/>
    <x v="2"/>
    <x v="0"/>
  </r>
  <r>
    <x v="8"/>
    <x v="2"/>
    <x v="2"/>
  </r>
  <r>
    <x v="64"/>
    <x v="2"/>
    <x v="1"/>
  </r>
  <r>
    <x v="64"/>
    <x v="2"/>
    <x v="3"/>
  </r>
  <r>
    <x v="9"/>
    <x v="3"/>
    <x v="2"/>
  </r>
  <r>
    <x v="9"/>
    <x v="3"/>
    <x v="1"/>
  </r>
  <r>
    <x v="67"/>
    <x v="0"/>
    <x v="3"/>
  </r>
  <r>
    <x v="67"/>
    <x v="0"/>
    <x v="2"/>
  </r>
  <r>
    <x v="15"/>
    <x v="4"/>
    <x v="2"/>
  </r>
  <r>
    <x v="16"/>
    <x v="1"/>
    <x v="0"/>
  </r>
  <r>
    <x v="16"/>
    <x v="1"/>
    <x v="1"/>
  </r>
  <r>
    <x v="16"/>
    <x v="1"/>
    <x v="3"/>
  </r>
  <r>
    <x v="18"/>
    <x v="3"/>
    <x v="2"/>
  </r>
  <r>
    <x v="18"/>
    <x v="3"/>
    <x v="2"/>
  </r>
  <r>
    <x v="19"/>
    <x v="2"/>
    <x v="2"/>
  </r>
  <r>
    <x v="19"/>
    <x v="2"/>
    <x v="0"/>
  </r>
  <r>
    <x v="19"/>
    <x v="2"/>
    <x v="1"/>
  </r>
  <r>
    <x v="20"/>
    <x v="4"/>
    <x v="0"/>
  </r>
  <r>
    <x v="20"/>
    <x v="4"/>
    <x v="2"/>
  </r>
  <r>
    <x v="20"/>
    <x v="4"/>
    <x v="3"/>
  </r>
  <r>
    <x v="95"/>
    <x v="3"/>
    <x v="0"/>
  </r>
  <r>
    <x v="21"/>
    <x v="4"/>
    <x v="2"/>
  </r>
  <r>
    <x v="96"/>
    <x v="2"/>
    <x v="1"/>
  </r>
  <r>
    <x v="22"/>
    <x v="4"/>
    <x v="3"/>
  </r>
  <r>
    <x v="68"/>
    <x v="4"/>
    <x v="1"/>
  </r>
  <r>
    <x v="25"/>
    <x v="0"/>
    <x v="1"/>
  </r>
  <r>
    <x v="83"/>
    <x v="4"/>
    <x v="2"/>
  </r>
  <r>
    <x v="27"/>
    <x v="3"/>
    <x v="3"/>
  </r>
  <r>
    <x v="28"/>
    <x v="2"/>
    <x v="1"/>
  </r>
  <r>
    <x v="84"/>
    <x v="4"/>
    <x v="3"/>
  </r>
  <r>
    <x v="84"/>
    <x v="4"/>
    <x v="0"/>
  </r>
  <r>
    <x v="70"/>
    <x v="3"/>
    <x v="1"/>
  </r>
  <r>
    <x v="29"/>
    <x v="2"/>
    <x v="2"/>
  </r>
  <r>
    <x v="29"/>
    <x v="2"/>
    <x v="2"/>
  </r>
  <r>
    <x v="30"/>
    <x v="1"/>
    <x v="0"/>
  </r>
  <r>
    <x v="30"/>
    <x v="1"/>
    <x v="0"/>
  </r>
  <r>
    <x v="31"/>
    <x v="1"/>
    <x v="3"/>
  </r>
  <r>
    <x v="32"/>
    <x v="3"/>
    <x v="1"/>
  </r>
  <r>
    <x v="97"/>
    <x v="0"/>
    <x v="0"/>
  </r>
  <r>
    <x v="71"/>
    <x v="0"/>
    <x v="1"/>
  </r>
  <r>
    <x v="71"/>
    <x v="0"/>
    <x v="2"/>
  </r>
  <r>
    <x v="87"/>
    <x v="2"/>
    <x v="2"/>
  </r>
  <r>
    <x v="34"/>
    <x v="4"/>
    <x v="3"/>
  </r>
  <r>
    <x v="35"/>
    <x v="0"/>
    <x v="0"/>
  </r>
  <r>
    <x v="72"/>
    <x v="2"/>
    <x v="0"/>
  </r>
  <r>
    <x v="37"/>
    <x v="0"/>
    <x v="3"/>
  </r>
  <r>
    <x v="37"/>
    <x v="0"/>
    <x v="1"/>
  </r>
  <r>
    <x v="39"/>
    <x v="3"/>
    <x v="2"/>
  </r>
  <r>
    <x v="40"/>
    <x v="1"/>
    <x v="3"/>
  </r>
  <r>
    <x v="73"/>
    <x v="0"/>
    <x v="2"/>
  </r>
  <r>
    <x v="43"/>
    <x v="4"/>
    <x v="3"/>
  </r>
  <r>
    <x v="43"/>
    <x v="4"/>
    <x v="3"/>
  </r>
  <r>
    <x v="44"/>
    <x v="3"/>
    <x v="0"/>
  </r>
  <r>
    <x v="74"/>
    <x v="4"/>
    <x v="2"/>
  </r>
  <r>
    <x v="75"/>
    <x v="1"/>
    <x v="0"/>
  </r>
  <r>
    <x v="75"/>
    <x v="1"/>
    <x v="1"/>
  </r>
  <r>
    <x v="75"/>
    <x v="1"/>
    <x v="1"/>
  </r>
  <r>
    <x v="76"/>
    <x v="1"/>
    <x v="2"/>
  </r>
  <r>
    <x v="91"/>
    <x v="1"/>
    <x v="1"/>
  </r>
  <r>
    <x v="45"/>
    <x v="2"/>
    <x v="1"/>
  </r>
  <r>
    <x v="45"/>
    <x v="2"/>
    <x v="0"/>
  </r>
  <r>
    <x v="47"/>
    <x v="0"/>
    <x v="3"/>
  </r>
  <r>
    <x v="47"/>
    <x v="0"/>
    <x v="2"/>
  </r>
  <r>
    <x v="47"/>
    <x v="0"/>
    <x v="0"/>
  </r>
  <r>
    <x v="50"/>
    <x v="1"/>
    <x v="1"/>
  </r>
  <r>
    <x v="52"/>
    <x v="0"/>
    <x v="2"/>
  </r>
  <r>
    <x v="52"/>
    <x v="0"/>
    <x v="1"/>
  </r>
  <r>
    <x v="52"/>
    <x v="0"/>
    <x v="2"/>
  </r>
  <r>
    <x v="92"/>
    <x v="2"/>
    <x v="0"/>
  </r>
  <r>
    <x v="92"/>
    <x v="2"/>
    <x v="0"/>
  </r>
  <r>
    <x v="92"/>
    <x v="2"/>
    <x v="1"/>
  </r>
  <r>
    <x v="53"/>
    <x v="4"/>
    <x v="0"/>
  </r>
  <r>
    <x v="54"/>
    <x v="3"/>
    <x v="1"/>
  </r>
  <r>
    <x v="55"/>
    <x v="1"/>
    <x v="2"/>
  </r>
  <r>
    <x v="93"/>
    <x v="4"/>
    <x v="2"/>
  </r>
  <r>
    <x v="93"/>
    <x v="4"/>
    <x v="2"/>
  </r>
  <r>
    <x v="93"/>
    <x v="4"/>
    <x v="1"/>
  </r>
  <r>
    <x v="56"/>
    <x v="0"/>
    <x v="1"/>
  </r>
  <r>
    <x v="56"/>
    <x v="0"/>
    <x v="0"/>
  </r>
  <r>
    <x v="56"/>
    <x v="0"/>
    <x v="1"/>
  </r>
  <r>
    <x v="57"/>
    <x v="2"/>
    <x v="2"/>
  </r>
  <r>
    <x v="79"/>
    <x v="2"/>
    <x v="2"/>
  </r>
  <r>
    <x v="79"/>
    <x v="2"/>
    <x v="2"/>
  </r>
  <r>
    <x v="80"/>
    <x v="1"/>
    <x v="3"/>
  </r>
  <r>
    <x v="60"/>
    <x v="4"/>
    <x v="2"/>
  </r>
  <r>
    <x v="60"/>
    <x v="4"/>
    <x v="3"/>
  </r>
  <r>
    <x v="61"/>
    <x v="4"/>
    <x v="2"/>
  </r>
  <r>
    <x v="2"/>
    <x v="0"/>
    <x v="3"/>
  </r>
  <r>
    <x v="2"/>
    <x v="0"/>
    <x v="2"/>
  </r>
  <r>
    <x v="4"/>
    <x v="3"/>
    <x v="3"/>
  </r>
  <r>
    <x v="5"/>
    <x v="2"/>
    <x v="3"/>
  </r>
  <r>
    <x v="5"/>
    <x v="2"/>
    <x v="3"/>
  </r>
  <r>
    <x v="6"/>
    <x v="2"/>
    <x v="0"/>
  </r>
  <r>
    <x v="7"/>
    <x v="1"/>
    <x v="1"/>
  </r>
  <r>
    <x v="7"/>
    <x v="1"/>
    <x v="3"/>
  </r>
  <r>
    <x v="8"/>
    <x v="2"/>
    <x v="3"/>
  </r>
  <r>
    <x v="9"/>
    <x v="3"/>
    <x v="0"/>
  </r>
  <r>
    <x v="9"/>
    <x v="3"/>
    <x v="3"/>
  </r>
  <r>
    <x v="9"/>
    <x v="3"/>
    <x v="1"/>
  </r>
  <r>
    <x v="9"/>
    <x v="3"/>
    <x v="0"/>
  </r>
  <r>
    <x v="11"/>
    <x v="1"/>
    <x v="1"/>
  </r>
  <r>
    <x v="12"/>
    <x v="2"/>
    <x v="2"/>
  </r>
  <r>
    <x v="12"/>
    <x v="2"/>
    <x v="0"/>
  </r>
  <r>
    <x v="13"/>
    <x v="3"/>
    <x v="0"/>
  </r>
  <r>
    <x v="13"/>
    <x v="3"/>
    <x v="2"/>
  </r>
  <r>
    <x v="14"/>
    <x v="1"/>
    <x v="2"/>
  </r>
  <r>
    <x v="14"/>
    <x v="1"/>
    <x v="3"/>
  </r>
  <r>
    <x v="16"/>
    <x v="1"/>
    <x v="1"/>
  </r>
  <r>
    <x v="17"/>
    <x v="3"/>
    <x v="1"/>
  </r>
  <r>
    <x v="18"/>
    <x v="3"/>
    <x v="3"/>
  </r>
  <r>
    <x v="18"/>
    <x v="3"/>
    <x v="0"/>
  </r>
  <r>
    <x v="20"/>
    <x v="4"/>
    <x v="1"/>
  </r>
  <r>
    <x v="20"/>
    <x v="4"/>
    <x v="0"/>
  </r>
  <r>
    <x v="95"/>
    <x v="3"/>
    <x v="3"/>
  </r>
  <r>
    <x v="96"/>
    <x v="2"/>
    <x v="1"/>
  </r>
  <r>
    <x v="96"/>
    <x v="2"/>
    <x v="0"/>
  </r>
  <r>
    <x v="24"/>
    <x v="3"/>
    <x v="1"/>
  </r>
  <r>
    <x v="24"/>
    <x v="3"/>
    <x v="2"/>
  </r>
  <r>
    <x v="83"/>
    <x v="4"/>
    <x v="3"/>
  </r>
  <r>
    <x v="83"/>
    <x v="4"/>
    <x v="0"/>
  </r>
  <r>
    <x v="83"/>
    <x v="4"/>
    <x v="3"/>
  </r>
  <r>
    <x v="26"/>
    <x v="0"/>
    <x v="1"/>
  </r>
  <r>
    <x v="26"/>
    <x v="0"/>
    <x v="2"/>
  </r>
  <r>
    <x v="85"/>
    <x v="2"/>
    <x v="1"/>
  </r>
  <r>
    <x v="30"/>
    <x v="1"/>
    <x v="0"/>
  </r>
  <r>
    <x v="31"/>
    <x v="1"/>
    <x v="3"/>
  </r>
  <r>
    <x v="86"/>
    <x v="2"/>
    <x v="3"/>
  </r>
  <r>
    <x v="86"/>
    <x v="2"/>
    <x v="1"/>
  </r>
  <r>
    <x v="86"/>
    <x v="2"/>
    <x v="2"/>
  </r>
  <r>
    <x v="97"/>
    <x v="0"/>
    <x v="0"/>
  </r>
  <r>
    <x v="71"/>
    <x v="0"/>
    <x v="2"/>
  </r>
  <r>
    <x v="71"/>
    <x v="0"/>
    <x v="1"/>
  </r>
  <r>
    <x v="71"/>
    <x v="0"/>
    <x v="2"/>
  </r>
  <r>
    <x v="34"/>
    <x v="4"/>
    <x v="2"/>
  </r>
  <r>
    <x v="34"/>
    <x v="4"/>
    <x v="2"/>
  </r>
  <r>
    <x v="34"/>
    <x v="4"/>
    <x v="0"/>
  </r>
  <r>
    <x v="35"/>
    <x v="0"/>
    <x v="3"/>
  </r>
  <r>
    <x v="35"/>
    <x v="0"/>
    <x v="3"/>
  </r>
  <r>
    <x v="38"/>
    <x v="4"/>
    <x v="3"/>
  </r>
  <r>
    <x v="38"/>
    <x v="4"/>
    <x v="0"/>
  </r>
  <r>
    <x v="88"/>
    <x v="1"/>
    <x v="2"/>
  </r>
  <r>
    <x v="88"/>
    <x v="1"/>
    <x v="0"/>
  </r>
  <r>
    <x v="88"/>
    <x v="1"/>
    <x v="2"/>
  </r>
  <r>
    <x v="73"/>
    <x v="0"/>
    <x v="1"/>
  </r>
  <r>
    <x v="41"/>
    <x v="2"/>
    <x v="0"/>
  </r>
  <r>
    <x v="42"/>
    <x v="2"/>
    <x v="3"/>
  </r>
  <r>
    <x v="42"/>
    <x v="2"/>
    <x v="2"/>
  </r>
  <r>
    <x v="42"/>
    <x v="2"/>
    <x v="2"/>
  </r>
  <r>
    <x v="42"/>
    <x v="2"/>
    <x v="3"/>
  </r>
  <r>
    <x v="42"/>
    <x v="2"/>
    <x v="2"/>
  </r>
  <r>
    <x v="90"/>
    <x v="4"/>
    <x v="2"/>
  </r>
  <r>
    <x v="90"/>
    <x v="4"/>
    <x v="3"/>
  </r>
  <r>
    <x v="74"/>
    <x v="4"/>
    <x v="3"/>
  </r>
  <r>
    <x v="75"/>
    <x v="1"/>
    <x v="1"/>
  </r>
  <r>
    <x v="76"/>
    <x v="1"/>
    <x v="0"/>
  </r>
  <r>
    <x v="77"/>
    <x v="4"/>
    <x v="1"/>
  </r>
  <r>
    <x v="45"/>
    <x v="2"/>
    <x v="0"/>
  </r>
  <r>
    <x v="78"/>
    <x v="1"/>
    <x v="2"/>
  </r>
  <r>
    <x v="78"/>
    <x v="1"/>
    <x v="3"/>
  </r>
  <r>
    <x v="78"/>
    <x v="1"/>
    <x v="0"/>
  </r>
  <r>
    <x v="78"/>
    <x v="1"/>
    <x v="1"/>
  </r>
  <r>
    <x v="48"/>
    <x v="3"/>
    <x v="1"/>
  </r>
  <r>
    <x v="49"/>
    <x v="1"/>
    <x v="2"/>
  </r>
  <r>
    <x v="49"/>
    <x v="1"/>
    <x v="2"/>
  </r>
  <r>
    <x v="50"/>
    <x v="1"/>
    <x v="3"/>
  </r>
  <r>
    <x v="50"/>
    <x v="1"/>
    <x v="0"/>
  </r>
  <r>
    <x v="51"/>
    <x v="2"/>
    <x v="2"/>
  </r>
  <r>
    <x v="92"/>
    <x v="2"/>
    <x v="2"/>
  </r>
  <r>
    <x v="53"/>
    <x v="4"/>
    <x v="0"/>
  </r>
  <r>
    <x v="53"/>
    <x v="4"/>
    <x v="0"/>
  </r>
  <r>
    <x v="54"/>
    <x v="3"/>
    <x v="2"/>
  </r>
  <r>
    <x v="93"/>
    <x v="4"/>
    <x v="1"/>
  </r>
  <r>
    <x v="56"/>
    <x v="0"/>
    <x v="1"/>
  </r>
  <r>
    <x v="56"/>
    <x v="0"/>
    <x v="1"/>
  </r>
  <r>
    <x v="58"/>
    <x v="3"/>
    <x v="1"/>
  </r>
  <r>
    <x v="79"/>
    <x v="2"/>
    <x v="0"/>
  </r>
  <r>
    <x v="79"/>
    <x v="2"/>
    <x v="1"/>
  </r>
  <r>
    <x v="94"/>
    <x v="4"/>
    <x v="3"/>
  </r>
  <r>
    <x v="80"/>
    <x v="1"/>
    <x v="1"/>
  </r>
  <r>
    <x v="98"/>
    <x v="4"/>
    <x v="0"/>
  </r>
  <r>
    <x v="81"/>
    <x v="3"/>
    <x v="2"/>
  </r>
  <r>
    <x v="59"/>
    <x v="1"/>
    <x v="0"/>
  </r>
  <r>
    <x v="0"/>
    <x v="0"/>
    <x v="0"/>
  </r>
  <r>
    <x v="61"/>
    <x v="4"/>
    <x v="1"/>
  </r>
  <r>
    <x v="1"/>
    <x v="1"/>
    <x v="3"/>
  </r>
  <r>
    <x v="62"/>
    <x v="4"/>
    <x v="0"/>
  </r>
  <r>
    <x v="2"/>
    <x v="0"/>
    <x v="2"/>
  </r>
  <r>
    <x v="3"/>
    <x v="2"/>
    <x v="0"/>
  </r>
  <r>
    <x v="3"/>
    <x v="2"/>
    <x v="1"/>
  </r>
  <r>
    <x v="3"/>
    <x v="2"/>
    <x v="0"/>
  </r>
  <r>
    <x v="3"/>
    <x v="2"/>
    <x v="2"/>
  </r>
  <r>
    <x v="3"/>
    <x v="2"/>
    <x v="2"/>
  </r>
  <r>
    <x v="4"/>
    <x v="3"/>
    <x v="3"/>
  </r>
  <r>
    <x v="4"/>
    <x v="3"/>
    <x v="2"/>
  </r>
  <r>
    <x v="5"/>
    <x v="2"/>
    <x v="1"/>
  </r>
  <r>
    <x v="5"/>
    <x v="2"/>
    <x v="0"/>
  </r>
  <r>
    <x v="82"/>
    <x v="3"/>
    <x v="2"/>
  </r>
  <r>
    <x v="6"/>
    <x v="2"/>
    <x v="1"/>
  </r>
  <r>
    <x v="7"/>
    <x v="1"/>
    <x v="0"/>
  </r>
  <r>
    <x v="8"/>
    <x v="2"/>
    <x v="0"/>
  </r>
  <r>
    <x v="8"/>
    <x v="2"/>
    <x v="1"/>
  </r>
  <r>
    <x v="8"/>
    <x v="2"/>
    <x v="0"/>
  </r>
  <r>
    <x v="64"/>
    <x v="2"/>
    <x v="0"/>
  </r>
  <r>
    <x v="9"/>
    <x v="3"/>
    <x v="1"/>
  </r>
  <r>
    <x v="10"/>
    <x v="4"/>
    <x v="2"/>
  </r>
  <r>
    <x v="11"/>
    <x v="1"/>
    <x v="3"/>
  </r>
  <r>
    <x v="11"/>
    <x v="1"/>
    <x v="2"/>
  </r>
  <r>
    <x v="11"/>
    <x v="1"/>
    <x v="2"/>
  </r>
  <r>
    <x v="99"/>
    <x v="1"/>
    <x v="1"/>
  </r>
  <r>
    <x v="66"/>
    <x v="2"/>
    <x v="2"/>
  </r>
  <r>
    <x v="14"/>
    <x v="1"/>
    <x v="0"/>
  </r>
  <r>
    <x v="17"/>
    <x v="3"/>
    <x v="0"/>
  </r>
  <r>
    <x v="18"/>
    <x v="3"/>
    <x v="2"/>
  </r>
  <r>
    <x v="19"/>
    <x v="2"/>
    <x v="1"/>
  </r>
  <r>
    <x v="19"/>
    <x v="2"/>
    <x v="1"/>
  </r>
  <r>
    <x v="19"/>
    <x v="2"/>
    <x v="2"/>
  </r>
  <r>
    <x v="20"/>
    <x v="4"/>
    <x v="0"/>
  </r>
  <r>
    <x v="20"/>
    <x v="4"/>
    <x v="3"/>
  </r>
  <r>
    <x v="21"/>
    <x v="4"/>
    <x v="3"/>
  </r>
  <r>
    <x v="96"/>
    <x v="2"/>
    <x v="2"/>
  </r>
  <r>
    <x v="22"/>
    <x v="4"/>
    <x v="1"/>
  </r>
  <r>
    <x v="23"/>
    <x v="2"/>
    <x v="1"/>
  </r>
  <r>
    <x v="24"/>
    <x v="3"/>
    <x v="0"/>
  </r>
  <r>
    <x v="25"/>
    <x v="0"/>
    <x v="1"/>
  </r>
  <r>
    <x v="83"/>
    <x v="4"/>
    <x v="0"/>
  </r>
  <r>
    <x v="27"/>
    <x v="3"/>
    <x v="0"/>
  </r>
  <r>
    <x v="84"/>
    <x v="4"/>
    <x v="3"/>
  </r>
  <r>
    <x v="84"/>
    <x v="4"/>
    <x v="2"/>
  </r>
  <r>
    <x v="29"/>
    <x v="2"/>
    <x v="0"/>
  </r>
  <r>
    <x v="31"/>
    <x v="1"/>
    <x v="3"/>
  </r>
  <r>
    <x v="97"/>
    <x v="0"/>
    <x v="1"/>
  </r>
  <r>
    <x v="97"/>
    <x v="0"/>
    <x v="0"/>
  </r>
  <r>
    <x v="97"/>
    <x v="0"/>
    <x v="1"/>
  </r>
  <r>
    <x v="71"/>
    <x v="0"/>
    <x v="3"/>
  </r>
  <r>
    <x v="34"/>
    <x v="4"/>
    <x v="1"/>
  </r>
  <r>
    <x v="34"/>
    <x v="4"/>
    <x v="0"/>
  </r>
  <r>
    <x v="34"/>
    <x v="4"/>
    <x v="3"/>
  </r>
  <r>
    <x v="34"/>
    <x v="4"/>
    <x v="1"/>
  </r>
  <r>
    <x v="36"/>
    <x v="0"/>
    <x v="1"/>
  </r>
  <r>
    <x v="72"/>
    <x v="2"/>
    <x v="1"/>
  </r>
  <r>
    <x v="72"/>
    <x v="2"/>
    <x v="2"/>
  </r>
  <r>
    <x v="88"/>
    <x v="1"/>
    <x v="2"/>
  </r>
  <r>
    <x v="88"/>
    <x v="1"/>
    <x v="0"/>
  </r>
  <r>
    <x v="39"/>
    <x v="3"/>
    <x v="2"/>
  </r>
  <r>
    <x v="39"/>
    <x v="3"/>
    <x v="1"/>
  </r>
  <r>
    <x v="39"/>
    <x v="3"/>
    <x v="1"/>
  </r>
  <r>
    <x v="40"/>
    <x v="1"/>
    <x v="0"/>
  </r>
  <r>
    <x v="40"/>
    <x v="1"/>
    <x v="1"/>
  </r>
  <r>
    <x v="40"/>
    <x v="1"/>
    <x v="1"/>
  </r>
  <r>
    <x v="40"/>
    <x v="1"/>
    <x v="1"/>
  </r>
  <r>
    <x v="73"/>
    <x v="0"/>
    <x v="2"/>
  </r>
  <r>
    <x v="41"/>
    <x v="2"/>
    <x v="3"/>
  </r>
  <r>
    <x v="42"/>
    <x v="2"/>
    <x v="1"/>
  </r>
  <r>
    <x v="43"/>
    <x v="4"/>
    <x v="1"/>
  </r>
  <r>
    <x v="90"/>
    <x v="4"/>
    <x v="3"/>
  </r>
  <r>
    <x v="90"/>
    <x v="4"/>
    <x v="1"/>
  </r>
  <r>
    <x v="74"/>
    <x v="4"/>
    <x v="3"/>
  </r>
  <r>
    <x v="75"/>
    <x v="1"/>
    <x v="3"/>
  </r>
  <r>
    <x v="47"/>
    <x v="0"/>
    <x v="1"/>
  </r>
  <r>
    <x v="78"/>
    <x v="1"/>
    <x v="0"/>
  </r>
  <r>
    <x v="51"/>
    <x v="2"/>
    <x v="0"/>
  </r>
  <r>
    <x v="51"/>
    <x v="2"/>
    <x v="2"/>
  </r>
  <r>
    <x v="52"/>
    <x v="0"/>
    <x v="0"/>
  </r>
  <r>
    <x v="52"/>
    <x v="0"/>
    <x v="2"/>
  </r>
  <r>
    <x v="54"/>
    <x v="3"/>
    <x v="3"/>
  </r>
  <r>
    <x v="55"/>
    <x v="1"/>
    <x v="3"/>
  </r>
  <r>
    <x v="55"/>
    <x v="1"/>
    <x v="3"/>
  </r>
  <r>
    <x v="93"/>
    <x v="4"/>
    <x v="0"/>
  </r>
  <r>
    <x v="56"/>
    <x v="0"/>
    <x v="0"/>
  </r>
  <r>
    <x v="57"/>
    <x v="2"/>
    <x v="1"/>
  </r>
  <r>
    <x v="57"/>
    <x v="2"/>
    <x v="2"/>
  </r>
  <r>
    <x v="57"/>
    <x v="2"/>
    <x v="1"/>
  </r>
  <r>
    <x v="58"/>
    <x v="3"/>
    <x v="3"/>
  </r>
  <r>
    <x v="94"/>
    <x v="4"/>
    <x v="2"/>
  </r>
  <r>
    <x v="98"/>
    <x v="4"/>
    <x v="3"/>
  </r>
  <r>
    <x v="81"/>
    <x v="3"/>
    <x v="1"/>
  </r>
  <r>
    <x v="81"/>
    <x v="3"/>
    <x v="3"/>
  </r>
  <r>
    <x v="59"/>
    <x v="1"/>
    <x v="1"/>
  </r>
  <r>
    <x v="59"/>
    <x v="1"/>
    <x v="2"/>
  </r>
  <r>
    <x v="60"/>
    <x v="4"/>
    <x v="3"/>
  </r>
  <r>
    <x v="60"/>
    <x v="4"/>
    <x v="2"/>
  </r>
  <r>
    <x v="60"/>
    <x v="4"/>
    <x v="1"/>
  </r>
  <r>
    <x v="60"/>
    <x v="4"/>
    <x v="2"/>
  </r>
  <r>
    <x v="0"/>
    <x v="0"/>
    <x v="1"/>
  </r>
  <r>
    <x v="0"/>
    <x v="0"/>
    <x v="2"/>
  </r>
  <r>
    <x v="61"/>
    <x v="4"/>
    <x v="1"/>
  </r>
  <r>
    <x v="61"/>
    <x v="4"/>
    <x v="0"/>
  </r>
  <r>
    <x v="1"/>
    <x v="1"/>
    <x v="2"/>
  </r>
  <r>
    <x v="62"/>
    <x v="4"/>
    <x v="1"/>
  </r>
  <r>
    <x v="62"/>
    <x v="4"/>
    <x v="1"/>
  </r>
  <r>
    <x v="62"/>
    <x v="4"/>
    <x v="3"/>
  </r>
  <r>
    <x v="3"/>
    <x v="2"/>
    <x v="2"/>
  </r>
  <r>
    <x v="4"/>
    <x v="3"/>
    <x v="0"/>
  </r>
  <r>
    <x v="5"/>
    <x v="2"/>
    <x v="3"/>
  </r>
  <r>
    <x v="5"/>
    <x v="2"/>
    <x v="0"/>
  </r>
  <r>
    <x v="82"/>
    <x v="3"/>
    <x v="2"/>
  </r>
  <r>
    <x v="63"/>
    <x v="3"/>
    <x v="0"/>
  </r>
  <r>
    <x v="63"/>
    <x v="3"/>
    <x v="0"/>
  </r>
  <r>
    <x v="64"/>
    <x v="2"/>
    <x v="2"/>
  </r>
  <r>
    <x v="9"/>
    <x v="3"/>
    <x v="2"/>
  </r>
  <r>
    <x v="9"/>
    <x v="3"/>
    <x v="1"/>
  </r>
  <r>
    <x v="9"/>
    <x v="3"/>
    <x v="0"/>
  </r>
  <r>
    <x v="9"/>
    <x v="3"/>
    <x v="3"/>
  </r>
  <r>
    <x v="13"/>
    <x v="3"/>
    <x v="0"/>
  </r>
  <r>
    <x v="66"/>
    <x v="2"/>
    <x v="3"/>
  </r>
  <r>
    <x v="66"/>
    <x v="2"/>
    <x v="1"/>
  </r>
  <r>
    <x v="67"/>
    <x v="0"/>
    <x v="0"/>
  </r>
  <r>
    <x v="14"/>
    <x v="1"/>
    <x v="1"/>
  </r>
  <r>
    <x v="14"/>
    <x v="1"/>
    <x v="0"/>
  </r>
  <r>
    <x v="15"/>
    <x v="4"/>
    <x v="1"/>
  </r>
  <r>
    <x v="15"/>
    <x v="4"/>
    <x v="1"/>
  </r>
  <r>
    <x v="16"/>
    <x v="1"/>
    <x v="2"/>
  </r>
  <r>
    <x v="18"/>
    <x v="3"/>
    <x v="3"/>
  </r>
  <r>
    <x v="18"/>
    <x v="3"/>
    <x v="2"/>
  </r>
  <r>
    <x v="19"/>
    <x v="2"/>
    <x v="1"/>
  </r>
  <r>
    <x v="19"/>
    <x v="2"/>
    <x v="2"/>
  </r>
  <r>
    <x v="20"/>
    <x v="4"/>
    <x v="1"/>
  </r>
  <r>
    <x v="20"/>
    <x v="4"/>
    <x v="3"/>
  </r>
  <r>
    <x v="21"/>
    <x v="4"/>
    <x v="0"/>
  </r>
  <r>
    <x v="68"/>
    <x v="4"/>
    <x v="3"/>
  </r>
  <r>
    <x v="23"/>
    <x v="2"/>
    <x v="3"/>
  </r>
  <r>
    <x v="23"/>
    <x v="2"/>
    <x v="0"/>
  </r>
  <r>
    <x v="24"/>
    <x v="3"/>
    <x v="2"/>
  </r>
  <r>
    <x v="83"/>
    <x v="4"/>
    <x v="0"/>
  </r>
  <r>
    <x v="26"/>
    <x v="0"/>
    <x v="3"/>
  </r>
  <r>
    <x v="29"/>
    <x v="2"/>
    <x v="3"/>
  </r>
  <r>
    <x v="29"/>
    <x v="2"/>
    <x v="1"/>
  </r>
  <r>
    <x v="97"/>
    <x v="0"/>
    <x v="3"/>
  </r>
  <r>
    <x v="97"/>
    <x v="0"/>
    <x v="0"/>
  </r>
  <r>
    <x v="71"/>
    <x v="0"/>
    <x v="0"/>
  </r>
  <r>
    <x v="87"/>
    <x v="2"/>
    <x v="3"/>
  </r>
  <r>
    <x v="87"/>
    <x v="2"/>
    <x v="2"/>
  </r>
  <r>
    <x v="34"/>
    <x v="4"/>
    <x v="3"/>
  </r>
  <r>
    <x v="34"/>
    <x v="4"/>
    <x v="3"/>
  </r>
  <r>
    <x v="36"/>
    <x v="0"/>
    <x v="3"/>
  </r>
  <r>
    <x v="36"/>
    <x v="0"/>
    <x v="1"/>
  </r>
  <r>
    <x v="72"/>
    <x v="2"/>
    <x v="0"/>
  </r>
  <r>
    <x v="38"/>
    <x v="4"/>
    <x v="0"/>
  </r>
  <r>
    <x v="89"/>
    <x v="1"/>
    <x v="3"/>
  </r>
  <r>
    <x v="89"/>
    <x v="1"/>
    <x v="0"/>
  </r>
  <r>
    <x v="40"/>
    <x v="1"/>
    <x v="3"/>
  </r>
  <r>
    <x v="73"/>
    <x v="0"/>
    <x v="1"/>
  </r>
  <r>
    <x v="43"/>
    <x v="4"/>
    <x v="1"/>
  </r>
  <r>
    <x v="43"/>
    <x v="4"/>
    <x v="2"/>
  </r>
  <r>
    <x v="75"/>
    <x v="1"/>
    <x v="3"/>
  </r>
  <r>
    <x v="77"/>
    <x v="4"/>
    <x v="0"/>
  </r>
  <r>
    <x v="91"/>
    <x v="1"/>
    <x v="1"/>
  </r>
  <r>
    <x v="91"/>
    <x v="1"/>
    <x v="2"/>
  </r>
  <r>
    <x v="45"/>
    <x v="2"/>
    <x v="1"/>
  </r>
  <r>
    <x v="47"/>
    <x v="0"/>
    <x v="3"/>
  </r>
  <r>
    <x v="47"/>
    <x v="0"/>
    <x v="0"/>
  </r>
  <r>
    <x v="47"/>
    <x v="0"/>
    <x v="0"/>
  </r>
  <r>
    <x v="78"/>
    <x v="1"/>
    <x v="0"/>
  </r>
  <r>
    <x v="49"/>
    <x v="1"/>
    <x v="1"/>
  </r>
  <r>
    <x v="50"/>
    <x v="1"/>
    <x v="2"/>
  </r>
  <r>
    <x v="51"/>
    <x v="2"/>
    <x v="1"/>
  </r>
  <r>
    <x v="51"/>
    <x v="2"/>
    <x v="3"/>
  </r>
  <r>
    <x v="52"/>
    <x v="0"/>
    <x v="2"/>
  </r>
  <r>
    <x v="52"/>
    <x v="0"/>
    <x v="3"/>
  </r>
  <r>
    <x v="52"/>
    <x v="0"/>
    <x v="2"/>
  </r>
  <r>
    <x v="92"/>
    <x v="2"/>
    <x v="2"/>
  </r>
  <r>
    <x v="53"/>
    <x v="4"/>
    <x v="2"/>
  </r>
  <r>
    <x v="93"/>
    <x v="4"/>
    <x v="3"/>
  </r>
  <r>
    <x v="56"/>
    <x v="0"/>
    <x v="2"/>
  </r>
  <r>
    <x v="56"/>
    <x v="0"/>
    <x v="0"/>
  </r>
  <r>
    <x v="57"/>
    <x v="2"/>
    <x v="1"/>
  </r>
  <r>
    <x v="57"/>
    <x v="2"/>
    <x v="2"/>
  </r>
  <r>
    <x v="57"/>
    <x v="2"/>
    <x v="2"/>
  </r>
  <r>
    <x v="79"/>
    <x v="2"/>
    <x v="2"/>
  </r>
  <r>
    <x v="98"/>
    <x v="4"/>
    <x v="3"/>
  </r>
  <r>
    <x v="98"/>
    <x v="4"/>
    <x v="2"/>
  </r>
  <r>
    <x v="98"/>
    <x v="4"/>
    <x v="3"/>
  </r>
  <r>
    <x v="81"/>
    <x v="3"/>
    <x v="1"/>
  </r>
  <r>
    <x v="81"/>
    <x v="3"/>
    <x v="0"/>
  </r>
  <r>
    <x v="59"/>
    <x v="1"/>
    <x v="1"/>
  </r>
  <r>
    <x v="59"/>
    <x v="1"/>
    <x v="1"/>
  </r>
  <r>
    <x v="60"/>
    <x v="4"/>
    <x v="3"/>
  </r>
  <r>
    <x v="61"/>
    <x v="4"/>
    <x v="1"/>
  </r>
  <r>
    <x v="61"/>
    <x v="4"/>
    <x v="2"/>
  </r>
  <r>
    <x v="62"/>
    <x v="4"/>
    <x v="3"/>
  </r>
  <r>
    <x v="62"/>
    <x v="4"/>
    <x v="2"/>
  </r>
  <r>
    <x v="2"/>
    <x v="0"/>
    <x v="1"/>
  </r>
  <r>
    <x v="2"/>
    <x v="0"/>
    <x v="1"/>
  </r>
  <r>
    <x v="3"/>
    <x v="2"/>
    <x v="0"/>
  </r>
  <r>
    <x v="3"/>
    <x v="2"/>
    <x v="3"/>
  </r>
  <r>
    <x v="5"/>
    <x v="2"/>
    <x v="1"/>
  </r>
  <r>
    <x v="82"/>
    <x v="3"/>
    <x v="0"/>
  </r>
  <r>
    <x v="7"/>
    <x v="1"/>
    <x v="2"/>
  </r>
  <r>
    <x v="7"/>
    <x v="1"/>
    <x v="1"/>
  </r>
  <r>
    <x v="8"/>
    <x v="2"/>
    <x v="2"/>
  </r>
  <r>
    <x v="63"/>
    <x v="3"/>
    <x v="1"/>
  </r>
  <r>
    <x v="64"/>
    <x v="2"/>
    <x v="1"/>
  </r>
  <r>
    <x v="9"/>
    <x v="3"/>
    <x v="2"/>
  </r>
  <r>
    <x v="11"/>
    <x v="1"/>
    <x v="1"/>
  </r>
  <r>
    <x v="11"/>
    <x v="1"/>
    <x v="2"/>
  </r>
  <r>
    <x v="12"/>
    <x v="2"/>
    <x v="1"/>
  </r>
  <r>
    <x v="99"/>
    <x v="1"/>
    <x v="0"/>
  </r>
  <r>
    <x v="13"/>
    <x v="3"/>
    <x v="0"/>
  </r>
  <r>
    <x v="65"/>
    <x v="1"/>
    <x v="0"/>
  </r>
  <r>
    <x v="65"/>
    <x v="1"/>
    <x v="0"/>
  </r>
  <r>
    <x v="66"/>
    <x v="2"/>
    <x v="3"/>
  </r>
  <r>
    <x v="15"/>
    <x v="4"/>
    <x v="2"/>
  </r>
  <r>
    <x v="15"/>
    <x v="4"/>
    <x v="1"/>
  </r>
  <r>
    <x v="15"/>
    <x v="4"/>
    <x v="2"/>
  </r>
  <r>
    <x v="15"/>
    <x v="4"/>
    <x v="2"/>
  </r>
  <r>
    <x v="15"/>
    <x v="4"/>
    <x v="1"/>
  </r>
  <r>
    <x v="18"/>
    <x v="3"/>
    <x v="2"/>
  </r>
  <r>
    <x v="18"/>
    <x v="3"/>
    <x v="1"/>
  </r>
  <r>
    <x v="18"/>
    <x v="3"/>
    <x v="0"/>
  </r>
  <r>
    <x v="22"/>
    <x v="4"/>
    <x v="0"/>
  </r>
  <r>
    <x v="69"/>
    <x v="2"/>
    <x v="0"/>
  </r>
  <r>
    <x v="23"/>
    <x v="2"/>
    <x v="0"/>
  </r>
  <r>
    <x v="24"/>
    <x v="3"/>
    <x v="1"/>
  </r>
  <r>
    <x v="25"/>
    <x v="0"/>
    <x v="3"/>
  </r>
  <r>
    <x v="83"/>
    <x v="4"/>
    <x v="0"/>
  </r>
  <r>
    <x v="27"/>
    <x v="3"/>
    <x v="1"/>
  </r>
  <r>
    <x v="84"/>
    <x v="4"/>
    <x v="0"/>
  </r>
  <r>
    <x v="84"/>
    <x v="4"/>
    <x v="0"/>
  </r>
  <r>
    <x v="29"/>
    <x v="2"/>
    <x v="3"/>
  </r>
  <r>
    <x v="30"/>
    <x v="1"/>
    <x v="2"/>
  </r>
  <r>
    <x v="30"/>
    <x v="1"/>
    <x v="2"/>
  </r>
  <r>
    <x v="30"/>
    <x v="1"/>
    <x v="2"/>
  </r>
  <r>
    <x v="31"/>
    <x v="1"/>
    <x v="3"/>
  </r>
  <r>
    <x v="31"/>
    <x v="1"/>
    <x v="1"/>
  </r>
  <r>
    <x v="86"/>
    <x v="2"/>
    <x v="2"/>
  </r>
  <r>
    <x v="32"/>
    <x v="3"/>
    <x v="3"/>
  </r>
  <r>
    <x v="33"/>
    <x v="0"/>
    <x v="1"/>
  </r>
  <r>
    <x v="33"/>
    <x v="0"/>
    <x v="1"/>
  </r>
  <r>
    <x v="71"/>
    <x v="0"/>
    <x v="2"/>
  </r>
  <r>
    <x v="87"/>
    <x v="2"/>
    <x v="0"/>
  </r>
  <r>
    <x v="87"/>
    <x v="2"/>
    <x v="1"/>
  </r>
  <r>
    <x v="34"/>
    <x v="4"/>
    <x v="3"/>
  </r>
  <r>
    <x v="35"/>
    <x v="0"/>
    <x v="0"/>
  </r>
  <r>
    <x v="35"/>
    <x v="0"/>
    <x v="3"/>
  </r>
  <r>
    <x v="36"/>
    <x v="0"/>
    <x v="0"/>
  </r>
  <r>
    <x v="72"/>
    <x v="2"/>
    <x v="3"/>
  </r>
  <r>
    <x v="37"/>
    <x v="0"/>
    <x v="2"/>
  </r>
  <r>
    <x v="88"/>
    <x v="1"/>
    <x v="0"/>
  </r>
  <r>
    <x v="39"/>
    <x v="3"/>
    <x v="0"/>
  </r>
  <r>
    <x v="39"/>
    <x v="3"/>
    <x v="3"/>
  </r>
  <r>
    <x v="89"/>
    <x v="1"/>
    <x v="1"/>
  </r>
  <r>
    <x v="40"/>
    <x v="1"/>
    <x v="2"/>
  </r>
  <r>
    <x v="40"/>
    <x v="1"/>
    <x v="0"/>
  </r>
  <r>
    <x v="73"/>
    <x v="0"/>
    <x v="3"/>
  </r>
  <r>
    <x v="44"/>
    <x v="3"/>
    <x v="0"/>
  </r>
  <r>
    <x v="90"/>
    <x v="4"/>
    <x v="1"/>
  </r>
  <r>
    <x v="90"/>
    <x v="4"/>
    <x v="3"/>
  </r>
  <r>
    <x v="90"/>
    <x v="4"/>
    <x v="0"/>
  </r>
  <r>
    <x v="75"/>
    <x v="1"/>
    <x v="0"/>
  </r>
  <r>
    <x v="75"/>
    <x v="1"/>
    <x v="3"/>
  </r>
  <r>
    <x v="76"/>
    <x v="1"/>
    <x v="0"/>
  </r>
  <r>
    <x v="77"/>
    <x v="4"/>
    <x v="3"/>
  </r>
  <r>
    <x v="77"/>
    <x v="4"/>
    <x v="0"/>
  </r>
  <r>
    <x v="91"/>
    <x v="1"/>
    <x v="3"/>
  </r>
  <r>
    <x v="46"/>
    <x v="2"/>
    <x v="0"/>
  </r>
  <r>
    <x v="78"/>
    <x v="1"/>
    <x v="3"/>
  </r>
  <r>
    <x v="48"/>
    <x v="3"/>
    <x v="3"/>
  </r>
  <r>
    <x v="48"/>
    <x v="3"/>
    <x v="3"/>
  </r>
  <r>
    <x v="49"/>
    <x v="1"/>
    <x v="1"/>
  </r>
  <r>
    <x v="49"/>
    <x v="1"/>
    <x v="3"/>
  </r>
  <r>
    <x v="49"/>
    <x v="1"/>
    <x v="2"/>
  </r>
  <r>
    <x v="51"/>
    <x v="2"/>
    <x v="3"/>
  </r>
  <r>
    <x v="52"/>
    <x v="0"/>
    <x v="1"/>
  </r>
  <r>
    <x v="52"/>
    <x v="0"/>
    <x v="1"/>
  </r>
  <r>
    <x v="92"/>
    <x v="2"/>
    <x v="1"/>
  </r>
  <r>
    <x v="92"/>
    <x v="2"/>
    <x v="2"/>
  </r>
  <r>
    <x v="53"/>
    <x v="4"/>
    <x v="0"/>
  </r>
  <r>
    <x v="54"/>
    <x v="3"/>
    <x v="2"/>
  </r>
  <r>
    <x v="54"/>
    <x v="3"/>
    <x v="0"/>
  </r>
  <r>
    <x v="55"/>
    <x v="1"/>
    <x v="0"/>
  </r>
  <r>
    <x v="93"/>
    <x v="4"/>
    <x v="0"/>
  </r>
  <r>
    <x v="56"/>
    <x v="0"/>
    <x v="3"/>
  </r>
  <r>
    <x v="58"/>
    <x v="3"/>
    <x v="0"/>
  </r>
  <r>
    <x v="58"/>
    <x v="3"/>
    <x v="0"/>
  </r>
  <r>
    <x v="80"/>
    <x v="1"/>
    <x v="2"/>
  </r>
  <r>
    <x v="98"/>
    <x v="4"/>
    <x v="1"/>
  </r>
  <r>
    <x v="98"/>
    <x v="4"/>
    <x v="0"/>
  </r>
  <r>
    <x v="98"/>
    <x v="4"/>
    <x v="3"/>
  </r>
  <r>
    <x v="59"/>
    <x v="1"/>
    <x v="3"/>
  </r>
  <r>
    <x v="59"/>
    <x v="1"/>
    <x v="3"/>
  </r>
  <r>
    <x v="60"/>
    <x v="4"/>
    <x v="2"/>
  </r>
  <r>
    <x v="60"/>
    <x v="4"/>
    <x v="1"/>
  </r>
  <r>
    <x v="1"/>
    <x v="1"/>
    <x v="2"/>
  </r>
  <r>
    <x v="2"/>
    <x v="0"/>
    <x v="3"/>
  </r>
  <r>
    <x v="3"/>
    <x v="2"/>
    <x v="0"/>
  </r>
  <r>
    <x v="82"/>
    <x v="3"/>
    <x v="2"/>
  </r>
  <r>
    <x v="63"/>
    <x v="3"/>
    <x v="3"/>
  </r>
  <r>
    <x v="63"/>
    <x v="3"/>
    <x v="3"/>
  </r>
  <r>
    <x v="9"/>
    <x v="3"/>
    <x v="3"/>
  </r>
  <r>
    <x v="9"/>
    <x v="3"/>
    <x v="3"/>
  </r>
  <r>
    <x v="10"/>
    <x v="4"/>
    <x v="3"/>
  </r>
  <r>
    <x v="10"/>
    <x v="4"/>
    <x v="1"/>
  </r>
  <r>
    <x v="12"/>
    <x v="2"/>
    <x v="2"/>
  </r>
  <r>
    <x v="12"/>
    <x v="2"/>
    <x v="1"/>
  </r>
  <r>
    <x v="12"/>
    <x v="2"/>
    <x v="2"/>
  </r>
  <r>
    <x v="65"/>
    <x v="1"/>
    <x v="0"/>
  </r>
  <r>
    <x v="66"/>
    <x v="2"/>
    <x v="0"/>
  </r>
  <r>
    <x v="66"/>
    <x v="2"/>
    <x v="1"/>
  </r>
  <r>
    <x v="67"/>
    <x v="0"/>
    <x v="3"/>
  </r>
  <r>
    <x v="14"/>
    <x v="1"/>
    <x v="3"/>
  </r>
  <r>
    <x v="14"/>
    <x v="1"/>
    <x v="5"/>
  </r>
  <r>
    <x v="14"/>
    <x v="1"/>
    <x v="3"/>
  </r>
  <r>
    <x v="15"/>
    <x v="4"/>
    <x v="2"/>
  </r>
  <r>
    <x v="15"/>
    <x v="4"/>
    <x v="3"/>
  </r>
  <r>
    <x v="16"/>
    <x v="1"/>
    <x v="0"/>
  </r>
  <r>
    <x v="17"/>
    <x v="3"/>
    <x v="1"/>
  </r>
  <r>
    <x v="19"/>
    <x v="2"/>
    <x v="3"/>
  </r>
  <r>
    <x v="19"/>
    <x v="2"/>
    <x v="1"/>
  </r>
  <r>
    <x v="19"/>
    <x v="2"/>
    <x v="2"/>
  </r>
  <r>
    <x v="20"/>
    <x v="4"/>
    <x v="0"/>
  </r>
  <r>
    <x v="95"/>
    <x v="3"/>
    <x v="1"/>
  </r>
  <r>
    <x v="95"/>
    <x v="3"/>
    <x v="0"/>
  </r>
  <r>
    <x v="21"/>
    <x v="4"/>
    <x v="3"/>
  </r>
  <r>
    <x v="21"/>
    <x v="4"/>
    <x v="2"/>
  </r>
  <r>
    <x v="96"/>
    <x v="2"/>
    <x v="0"/>
  </r>
  <r>
    <x v="96"/>
    <x v="2"/>
    <x v="2"/>
  </r>
  <r>
    <x v="22"/>
    <x v="4"/>
    <x v="0"/>
  </r>
  <r>
    <x v="69"/>
    <x v="2"/>
    <x v="0"/>
  </r>
  <r>
    <x v="23"/>
    <x v="2"/>
    <x v="3"/>
  </r>
  <r>
    <x v="24"/>
    <x v="3"/>
    <x v="2"/>
  </r>
  <r>
    <x v="24"/>
    <x v="3"/>
    <x v="0"/>
  </r>
  <r>
    <x v="24"/>
    <x v="3"/>
    <x v="0"/>
  </r>
  <r>
    <x v="25"/>
    <x v="0"/>
    <x v="1"/>
  </r>
  <r>
    <x v="83"/>
    <x v="4"/>
    <x v="1"/>
  </r>
  <r>
    <x v="26"/>
    <x v="0"/>
    <x v="1"/>
  </r>
  <r>
    <x v="26"/>
    <x v="0"/>
    <x v="0"/>
  </r>
  <r>
    <x v="28"/>
    <x v="2"/>
    <x v="0"/>
  </r>
  <r>
    <x v="29"/>
    <x v="2"/>
    <x v="1"/>
  </r>
  <r>
    <x v="29"/>
    <x v="2"/>
    <x v="3"/>
  </r>
  <r>
    <x v="31"/>
    <x v="1"/>
    <x v="1"/>
  </r>
  <r>
    <x v="86"/>
    <x v="2"/>
    <x v="1"/>
  </r>
  <r>
    <x v="32"/>
    <x v="3"/>
    <x v="2"/>
  </r>
  <r>
    <x v="32"/>
    <x v="3"/>
    <x v="3"/>
  </r>
  <r>
    <x v="32"/>
    <x v="3"/>
    <x v="0"/>
  </r>
  <r>
    <x v="97"/>
    <x v="0"/>
    <x v="1"/>
  </r>
  <r>
    <x v="33"/>
    <x v="0"/>
    <x v="0"/>
  </r>
  <r>
    <x v="71"/>
    <x v="0"/>
    <x v="0"/>
  </r>
  <r>
    <x v="87"/>
    <x v="2"/>
    <x v="1"/>
  </r>
  <r>
    <x v="35"/>
    <x v="0"/>
    <x v="2"/>
  </r>
  <r>
    <x v="72"/>
    <x v="2"/>
    <x v="3"/>
  </r>
  <r>
    <x v="37"/>
    <x v="0"/>
    <x v="0"/>
  </r>
  <r>
    <x v="38"/>
    <x v="4"/>
    <x v="0"/>
  </r>
  <r>
    <x v="88"/>
    <x v="1"/>
    <x v="2"/>
  </r>
  <r>
    <x v="39"/>
    <x v="3"/>
    <x v="2"/>
  </r>
  <r>
    <x v="89"/>
    <x v="1"/>
    <x v="2"/>
  </r>
  <r>
    <x v="89"/>
    <x v="1"/>
    <x v="2"/>
  </r>
  <r>
    <x v="40"/>
    <x v="1"/>
    <x v="3"/>
  </r>
  <r>
    <x v="73"/>
    <x v="0"/>
    <x v="0"/>
  </r>
  <r>
    <x v="41"/>
    <x v="2"/>
    <x v="3"/>
  </r>
  <r>
    <x v="41"/>
    <x v="2"/>
    <x v="0"/>
  </r>
  <r>
    <x v="41"/>
    <x v="2"/>
    <x v="1"/>
  </r>
  <r>
    <x v="43"/>
    <x v="4"/>
    <x v="2"/>
  </r>
  <r>
    <x v="43"/>
    <x v="4"/>
    <x v="3"/>
  </r>
  <r>
    <x v="44"/>
    <x v="3"/>
    <x v="3"/>
  </r>
  <r>
    <x v="90"/>
    <x v="4"/>
    <x v="2"/>
  </r>
  <r>
    <x v="90"/>
    <x v="4"/>
    <x v="3"/>
  </r>
  <r>
    <x v="90"/>
    <x v="4"/>
    <x v="1"/>
  </r>
  <r>
    <x v="90"/>
    <x v="4"/>
    <x v="3"/>
  </r>
  <r>
    <x v="74"/>
    <x v="4"/>
    <x v="0"/>
  </r>
  <r>
    <x v="76"/>
    <x v="1"/>
    <x v="1"/>
  </r>
  <r>
    <x v="77"/>
    <x v="4"/>
    <x v="3"/>
  </r>
  <r>
    <x v="91"/>
    <x v="1"/>
    <x v="0"/>
  </r>
  <r>
    <x v="91"/>
    <x v="1"/>
    <x v="1"/>
  </r>
  <r>
    <x v="91"/>
    <x v="1"/>
    <x v="2"/>
  </r>
  <r>
    <x v="46"/>
    <x v="2"/>
    <x v="2"/>
  </r>
  <r>
    <x v="46"/>
    <x v="2"/>
    <x v="1"/>
  </r>
  <r>
    <x v="47"/>
    <x v="0"/>
    <x v="3"/>
  </r>
  <r>
    <x v="47"/>
    <x v="0"/>
    <x v="3"/>
  </r>
  <r>
    <x v="78"/>
    <x v="1"/>
    <x v="2"/>
  </r>
  <r>
    <x v="78"/>
    <x v="1"/>
    <x v="0"/>
  </r>
  <r>
    <x v="78"/>
    <x v="1"/>
    <x v="3"/>
  </r>
  <r>
    <x v="48"/>
    <x v="3"/>
    <x v="2"/>
  </r>
  <r>
    <x v="49"/>
    <x v="1"/>
    <x v="2"/>
  </r>
  <r>
    <x v="52"/>
    <x v="0"/>
    <x v="1"/>
  </r>
  <r>
    <x v="54"/>
    <x v="3"/>
    <x v="0"/>
  </r>
  <r>
    <x v="54"/>
    <x v="3"/>
    <x v="1"/>
  </r>
  <r>
    <x v="55"/>
    <x v="1"/>
    <x v="3"/>
  </r>
  <r>
    <x v="93"/>
    <x v="4"/>
    <x v="2"/>
  </r>
  <r>
    <x v="56"/>
    <x v="0"/>
    <x v="2"/>
  </r>
  <r>
    <x v="56"/>
    <x v="0"/>
    <x v="0"/>
  </r>
  <r>
    <x v="57"/>
    <x v="2"/>
    <x v="0"/>
  </r>
  <r>
    <x v="57"/>
    <x v="2"/>
    <x v="2"/>
  </r>
  <r>
    <x v="58"/>
    <x v="3"/>
    <x v="1"/>
  </r>
  <r>
    <x v="80"/>
    <x v="1"/>
    <x v="1"/>
  </r>
  <r>
    <x v="80"/>
    <x v="1"/>
    <x v="3"/>
  </r>
  <r>
    <x v="59"/>
    <x v="1"/>
    <x v="1"/>
  </r>
  <r>
    <x v="0"/>
    <x v="0"/>
    <x v="3"/>
  </r>
  <r>
    <x v="0"/>
    <x v="0"/>
    <x v="2"/>
  </r>
  <r>
    <x v="0"/>
    <x v="0"/>
    <x v="2"/>
  </r>
  <r>
    <x v="0"/>
    <x v="0"/>
    <x v="0"/>
  </r>
  <r>
    <x v="61"/>
    <x v="4"/>
    <x v="0"/>
  </r>
  <r>
    <x v="61"/>
    <x v="4"/>
    <x v="2"/>
  </r>
  <r>
    <x v="62"/>
    <x v="4"/>
    <x v="1"/>
  </r>
  <r>
    <x v="62"/>
    <x v="4"/>
    <x v="3"/>
  </r>
  <r>
    <x v="2"/>
    <x v="0"/>
    <x v="3"/>
  </r>
  <r>
    <x v="3"/>
    <x v="2"/>
    <x v="2"/>
  </r>
  <r>
    <x v="4"/>
    <x v="3"/>
    <x v="0"/>
  </r>
  <r>
    <x v="5"/>
    <x v="2"/>
    <x v="2"/>
  </r>
  <r>
    <x v="5"/>
    <x v="2"/>
    <x v="3"/>
  </r>
  <r>
    <x v="5"/>
    <x v="2"/>
    <x v="3"/>
  </r>
  <r>
    <x v="6"/>
    <x v="2"/>
    <x v="0"/>
  </r>
  <r>
    <x v="6"/>
    <x v="2"/>
    <x v="3"/>
  </r>
  <r>
    <x v="6"/>
    <x v="2"/>
    <x v="2"/>
  </r>
  <r>
    <x v="8"/>
    <x v="2"/>
    <x v="1"/>
  </r>
  <r>
    <x v="8"/>
    <x v="2"/>
    <x v="0"/>
  </r>
  <r>
    <x v="63"/>
    <x v="3"/>
    <x v="0"/>
  </r>
  <r>
    <x v="64"/>
    <x v="2"/>
    <x v="2"/>
  </r>
  <r>
    <x v="64"/>
    <x v="2"/>
    <x v="2"/>
  </r>
  <r>
    <x v="9"/>
    <x v="3"/>
    <x v="0"/>
  </r>
  <r>
    <x v="9"/>
    <x v="3"/>
    <x v="3"/>
  </r>
  <r>
    <x v="10"/>
    <x v="4"/>
    <x v="0"/>
  </r>
  <r>
    <x v="12"/>
    <x v="2"/>
    <x v="0"/>
  </r>
  <r>
    <x v="99"/>
    <x v="1"/>
    <x v="0"/>
  </r>
  <r>
    <x v="66"/>
    <x v="2"/>
    <x v="1"/>
  </r>
  <r>
    <x v="66"/>
    <x v="2"/>
    <x v="1"/>
  </r>
  <r>
    <x v="66"/>
    <x v="2"/>
    <x v="1"/>
  </r>
  <r>
    <x v="14"/>
    <x v="1"/>
    <x v="1"/>
  </r>
  <r>
    <x v="15"/>
    <x v="4"/>
    <x v="2"/>
  </r>
  <r>
    <x v="16"/>
    <x v="1"/>
    <x v="3"/>
  </r>
  <r>
    <x v="16"/>
    <x v="1"/>
    <x v="0"/>
  </r>
  <r>
    <x v="18"/>
    <x v="3"/>
    <x v="2"/>
  </r>
  <r>
    <x v="20"/>
    <x v="4"/>
    <x v="1"/>
  </r>
  <r>
    <x v="20"/>
    <x v="4"/>
    <x v="3"/>
  </r>
  <r>
    <x v="95"/>
    <x v="3"/>
    <x v="3"/>
  </r>
  <r>
    <x v="95"/>
    <x v="3"/>
    <x v="2"/>
  </r>
  <r>
    <x v="21"/>
    <x v="4"/>
    <x v="2"/>
  </r>
  <r>
    <x v="21"/>
    <x v="4"/>
    <x v="1"/>
  </r>
  <r>
    <x v="21"/>
    <x v="4"/>
    <x v="0"/>
  </r>
  <r>
    <x v="96"/>
    <x v="2"/>
    <x v="1"/>
  </r>
  <r>
    <x v="22"/>
    <x v="4"/>
    <x v="1"/>
  </r>
  <r>
    <x v="68"/>
    <x v="4"/>
    <x v="2"/>
  </r>
  <r>
    <x v="68"/>
    <x v="4"/>
    <x v="3"/>
  </r>
  <r>
    <x v="68"/>
    <x v="4"/>
    <x v="0"/>
  </r>
  <r>
    <x v="69"/>
    <x v="2"/>
    <x v="0"/>
  </r>
  <r>
    <x v="23"/>
    <x v="2"/>
    <x v="0"/>
  </r>
  <r>
    <x v="24"/>
    <x v="3"/>
    <x v="0"/>
  </r>
  <r>
    <x v="83"/>
    <x v="4"/>
    <x v="2"/>
  </r>
  <r>
    <x v="84"/>
    <x v="4"/>
    <x v="1"/>
  </r>
  <r>
    <x v="85"/>
    <x v="2"/>
    <x v="3"/>
  </r>
  <r>
    <x v="85"/>
    <x v="2"/>
    <x v="0"/>
  </r>
  <r>
    <x v="29"/>
    <x v="2"/>
    <x v="1"/>
  </r>
  <r>
    <x v="29"/>
    <x v="2"/>
    <x v="1"/>
  </r>
  <r>
    <x v="30"/>
    <x v="1"/>
    <x v="3"/>
  </r>
  <r>
    <x v="31"/>
    <x v="1"/>
    <x v="0"/>
  </r>
  <r>
    <x v="31"/>
    <x v="1"/>
    <x v="3"/>
  </r>
  <r>
    <x v="31"/>
    <x v="1"/>
    <x v="0"/>
  </r>
  <r>
    <x v="32"/>
    <x v="3"/>
    <x v="3"/>
  </r>
  <r>
    <x v="97"/>
    <x v="0"/>
    <x v="3"/>
  </r>
  <r>
    <x v="97"/>
    <x v="0"/>
    <x v="2"/>
  </r>
  <r>
    <x v="33"/>
    <x v="0"/>
    <x v="2"/>
  </r>
  <r>
    <x v="71"/>
    <x v="0"/>
    <x v="0"/>
  </r>
  <r>
    <x v="71"/>
    <x v="0"/>
    <x v="3"/>
  </r>
  <r>
    <x v="36"/>
    <x v="0"/>
    <x v="0"/>
  </r>
  <r>
    <x v="37"/>
    <x v="0"/>
    <x v="1"/>
  </r>
  <r>
    <x v="37"/>
    <x v="0"/>
    <x v="2"/>
  </r>
  <r>
    <x v="38"/>
    <x v="4"/>
    <x v="1"/>
  </r>
  <r>
    <x v="38"/>
    <x v="4"/>
    <x v="0"/>
  </r>
  <r>
    <x v="89"/>
    <x v="1"/>
    <x v="2"/>
  </r>
  <r>
    <x v="40"/>
    <x v="1"/>
    <x v="1"/>
  </r>
  <r>
    <x v="40"/>
    <x v="1"/>
    <x v="0"/>
  </r>
  <r>
    <x v="40"/>
    <x v="1"/>
    <x v="2"/>
  </r>
  <r>
    <x v="73"/>
    <x v="0"/>
    <x v="0"/>
  </r>
  <r>
    <x v="73"/>
    <x v="0"/>
    <x v="2"/>
  </r>
  <r>
    <x v="73"/>
    <x v="0"/>
    <x v="3"/>
  </r>
  <r>
    <x v="43"/>
    <x v="4"/>
    <x v="0"/>
  </r>
  <r>
    <x v="43"/>
    <x v="4"/>
    <x v="1"/>
  </r>
  <r>
    <x v="43"/>
    <x v="4"/>
    <x v="2"/>
  </r>
  <r>
    <x v="44"/>
    <x v="3"/>
    <x v="3"/>
  </r>
  <r>
    <x v="90"/>
    <x v="4"/>
    <x v="0"/>
  </r>
  <r>
    <x v="74"/>
    <x v="4"/>
    <x v="1"/>
  </r>
  <r>
    <x v="74"/>
    <x v="4"/>
    <x v="2"/>
  </r>
  <r>
    <x v="76"/>
    <x v="1"/>
    <x v="1"/>
  </r>
  <r>
    <x v="91"/>
    <x v="1"/>
    <x v="1"/>
  </r>
  <r>
    <x v="91"/>
    <x v="1"/>
    <x v="0"/>
  </r>
  <r>
    <x v="45"/>
    <x v="2"/>
    <x v="1"/>
  </r>
  <r>
    <x v="46"/>
    <x v="2"/>
    <x v="3"/>
  </r>
  <r>
    <x v="47"/>
    <x v="0"/>
    <x v="1"/>
  </r>
  <r>
    <x v="48"/>
    <x v="3"/>
    <x v="1"/>
  </r>
  <r>
    <x v="49"/>
    <x v="1"/>
    <x v="0"/>
  </r>
  <r>
    <x v="52"/>
    <x v="0"/>
    <x v="0"/>
  </r>
  <r>
    <x v="53"/>
    <x v="4"/>
    <x v="3"/>
  </r>
  <r>
    <x v="53"/>
    <x v="4"/>
    <x v="3"/>
  </r>
  <r>
    <x v="54"/>
    <x v="3"/>
    <x v="3"/>
  </r>
  <r>
    <x v="55"/>
    <x v="1"/>
    <x v="1"/>
  </r>
  <r>
    <x v="55"/>
    <x v="1"/>
    <x v="1"/>
  </r>
  <r>
    <x v="55"/>
    <x v="1"/>
    <x v="1"/>
  </r>
  <r>
    <x v="55"/>
    <x v="1"/>
    <x v="0"/>
  </r>
  <r>
    <x v="58"/>
    <x v="3"/>
    <x v="1"/>
  </r>
  <r>
    <x v="94"/>
    <x v="4"/>
    <x v="3"/>
  </r>
  <r>
    <x v="80"/>
    <x v="1"/>
    <x v="0"/>
  </r>
  <r>
    <x v="98"/>
    <x v="4"/>
    <x v="0"/>
  </r>
  <r>
    <x v="60"/>
    <x v="4"/>
    <x v="3"/>
  </r>
  <r>
    <x v="61"/>
    <x v="4"/>
    <x v="1"/>
  </r>
  <r>
    <x v="62"/>
    <x v="4"/>
    <x v="3"/>
  </r>
  <r>
    <x v="62"/>
    <x v="4"/>
    <x v="0"/>
  </r>
  <r>
    <x v="62"/>
    <x v="4"/>
    <x v="0"/>
  </r>
  <r>
    <x v="62"/>
    <x v="4"/>
    <x v="0"/>
  </r>
  <r>
    <x v="62"/>
    <x v="4"/>
    <x v="0"/>
  </r>
  <r>
    <x v="2"/>
    <x v="0"/>
    <x v="1"/>
  </r>
  <r>
    <x v="2"/>
    <x v="0"/>
    <x v="2"/>
  </r>
  <r>
    <x v="2"/>
    <x v="0"/>
    <x v="0"/>
  </r>
  <r>
    <x v="3"/>
    <x v="2"/>
    <x v="3"/>
  </r>
  <r>
    <x v="3"/>
    <x v="2"/>
    <x v="0"/>
  </r>
  <r>
    <x v="3"/>
    <x v="2"/>
    <x v="0"/>
  </r>
  <r>
    <x v="5"/>
    <x v="2"/>
    <x v="2"/>
  </r>
  <r>
    <x v="82"/>
    <x v="3"/>
    <x v="0"/>
  </r>
  <r>
    <x v="7"/>
    <x v="1"/>
    <x v="1"/>
  </r>
  <r>
    <x v="8"/>
    <x v="2"/>
    <x v="1"/>
  </r>
  <r>
    <x v="63"/>
    <x v="3"/>
    <x v="3"/>
  </r>
  <r>
    <x v="64"/>
    <x v="2"/>
    <x v="3"/>
  </r>
  <r>
    <x v="64"/>
    <x v="2"/>
    <x v="3"/>
  </r>
  <r>
    <x v="10"/>
    <x v="4"/>
    <x v="1"/>
  </r>
  <r>
    <x v="10"/>
    <x v="4"/>
    <x v="1"/>
  </r>
  <r>
    <x v="11"/>
    <x v="1"/>
    <x v="2"/>
  </r>
  <r>
    <x v="11"/>
    <x v="1"/>
    <x v="3"/>
  </r>
  <r>
    <x v="99"/>
    <x v="1"/>
    <x v="0"/>
  </r>
  <r>
    <x v="99"/>
    <x v="1"/>
    <x v="2"/>
  </r>
  <r>
    <x v="66"/>
    <x v="2"/>
    <x v="3"/>
  </r>
  <r>
    <x v="66"/>
    <x v="2"/>
    <x v="2"/>
  </r>
  <r>
    <x v="14"/>
    <x v="1"/>
    <x v="1"/>
  </r>
  <r>
    <x v="14"/>
    <x v="1"/>
    <x v="2"/>
  </r>
  <r>
    <x v="14"/>
    <x v="1"/>
    <x v="2"/>
  </r>
  <r>
    <x v="17"/>
    <x v="3"/>
    <x v="3"/>
  </r>
  <r>
    <x v="18"/>
    <x v="3"/>
    <x v="2"/>
  </r>
  <r>
    <x v="18"/>
    <x v="3"/>
    <x v="2"/>
  </r>
  <r>
    <x v="19"/>
    <x v="2"/>
    <x v="3"/>
  </r>
  <r>
    <x v="95"/>
    <x v="3"/>
    <x v="2"/>
  </r>
  <r>
    <x v="96"/>
    <x v="2"/>
    <x v="1"/>
  </r>
  <r>
    <x v="96"/>
    <x v="2"/>
    <x v="1"/>
  </r>
  <r>
    <x v="22"/>
    <x v="4"/>
    <x v="2"/>
  </r>
  <r>
    <x v="68"/>
    <x v="4"/>
    <x v="0"/>
  </r>
  <r>
    <x v="69"/>
    <x v="2"/>
    <x v="1"/>
  </r>
  <r>
    <x v="25"/>
    <x v="0"/>
    <x v="2"/>
  </r>
  <r>
    <x v="83"/>
    <x v="4"/>
    <x v="3"/>
  </r>
  <r>
    <x v="27"/>
    <x v="3"/>
    <x v="0"/>
  </r>
  <r>
    <x v="28"/>
    <x v="2"/>
    <x v="2"/>
  </r>
  <r>
    <x v="85"/>
    <x v="2"/>
    <x v="1"/>
  </r>
  <r>
    <x v="70"/>
    <x v="3"/>
    <x v="1"/>
  </r>
  <r>
    <x v="30"/>
    <x v="1"/>
    <x v="0"/>
  </r>
  <r>
    <x v="31"/>
    <x v="1"/>
    <x v="1"/>
  </r>
  <r>
    <x v="31"/>
    <x v="1"/>
    <x v="2"/>
  </r>
  <r>
    <x v="86"/>
    <x v="2"/>
    <x v="3"/>
  </r>
  <r>
    <x v="86"/>
    <x v="2"/>
    <x v="0"/>
  </r>
  <r>
    <x v="97"/>
    <x v="0"/>
    <x v="2"/>
  </r>
  <r>
    <x v="35"/>
    <x v="0"/>
    <x v="2"/>
  </r>
  <r>
    <x v="36"/>
    <x v="0"/>
    <x v="3"/>
  </r>
  <r>
    <x v="72"/>
    <x v="2"/>
    <x v="1"/>
  </r>
  <r>
    <x v="72"/>
    <x v="2"/>
    <x v="1"/>
  </r>
  <r>
    <x v="37"/>
    <x v="0"/>
    <x v="3"/>
  </r>
  <r>
    <x v="38"/>
    <x v="4"/>
    <x v="1"/>
  </r>
  <r>
    <x v="38"/>
    <x v="4"/>
    <x v="3"/>
  </r>
  <r>
    <x v="88"/>
    <x v="1"/>
    <x v="0"/>
  </r>
  <r>
    <x v="39"/>
    <x v="3"/>
    <x v="3"/>
  </r>
  <r>
    <x v="39"/>
    <x v="3"/>
    <x v="1"/>
  </r>
  <r>
    <x v="39"/>
    <x v="3"/>
    <x v="2"/>
  </r>
  <r>
    <x v="41"/>
    <x v="2"/>
    <x v="0"/>
  </r>
  <r>
    <x v="42"/>
    <x v="2"/>
    <x v="2"/>
  </r>
  <r>
    <x v="42"/>
    <x v="2"/>
    <x v="3"/>
  </r>
  <r>
    <x v="42"/>
    <x v="2"/>
    <x v="0"/>
  </r>
  <r>
    <x v="90"/>
    <x v="4"/>
    <x v="3"/>
  </r>
  <r>
    <x v="90"/>
    <x v="4"/>
    <x v="2"/>
  </r>
  <r>
    <x v="74"/>
    <x v="4"/>
    <x v="3"/>
  </r>
  <r>
    <x v="75"/>
    <x v="1"/>
    <x v="1"/>
  </r>
  <r>
    <x v="76"/>
    <x v="1"/>
    <x v="1"/>
  </r>
  <r>
    <x v="77"/>
    <x v="4"/>
    <x v="2"/>
  </r>
  <r>
    <x v="45"/>
    <x v="2"/>
    <x v="3"/>
  </r>
  <r>
    <x v="46"/>
    <x v="2"/>
    <x v="0"/>
  </r>
  <r>
    <x v="48"/>
    <x v="3"/>
    <x v="3"/>
  </r>
  <r>
    <x v="52"/>
    <x v="0"/>
    <x v="2"/>
  </r>
  <r>
    <x v="54"/>
    <x v="3"/>
    <x v="1"/>
  </r>
  <r>
    <x v="54"/>
    <x v="3"/>
    <x v="1"/>
  </r>
  <r>
    <x v="54"/>
    <x v="3"/>
    <x v="3"/>
  </r>
  <r>
    <x v="55"/>
    <x v="1"/>
    <x v="1"/>
  </r>
  <r>
    <x v="55"/>
    <x v="1"/>
    <x v="1"/>
  </r>
  <r>
    <x v="56"/>
    <x v="0"/>
    <x v="1"/>
  </r>
  <r>
    <x v="57"/>
    <x v="2"/>
    <x v="0"/>
  </r>
  <r>
    <x v="58"/>
    <x v="3"/>
    <x v="2"/>
  </r>
  <r>
    <x v="79"/>
    <x v="2"/>
    <x v="1"/>
  </r>
  <r>
    <x v="79"/>
    <x v="2"/>
    <x v="2"/>
  </r>
  <r>
    <x v="79"/>
    <x v="2"/>
    <x v="1"/>
  </r>
  <r>
    <x v="94"/>
    <x v="4"/>
    <x v="3"/>
  </r>
  <r>
    <x v="94"/>
    <x v="4"/>
    <x v="2"/>
  </r>
  <r>
    <x v="94"/>
    <x v="4"/>
    <x v="0"/>
  </r>
  <r>
    <x v="80"/>
    <x v="1"/>
    <x v="3"/>
  </r>
  <r>
    <x v="81"/>
    <x v="3"/>
    <x v="2"/>
  </r>
  <r>
    <x v="81"/>
    <x v="3"/>
    <x v="3"/>
  </r>
  <r>
    <x v="0"/>
    <x v="0"/>
    <x v="0"/>
  </r>
  <r>
    <x v="61"/>
    <x v="4"/>
    <x v="0"/>
  </r>
  <r>
    <x v="61"/>
    <x v="4"/>
    <x v="1"/>
  </r>
  <r>
    <x v="61"/>
    <x v="4"/>
    <x v="2"/>
  </r>
  <r>
    <x v="1"/>
    <x v="1"/>
    <x v="1"/>
  </r>
  <r>
    <x v="2"/>
    <x v="0"/>
    <x v="2"/>
  </r>
  <r>
    <x v="3"/>
    <x v="2"/>
    <x v="3"/>
  </r>
  <r>
    <x v="82"/>
    <x v="3"/>
    <x v="0"/>
  </r>
  <r>
    <x v="7"/>
    <x v="1"/>
    <x v="0"/>
  </r>
  <r>
    <x v="8"/>
    <x v="2"/>
    <x v="1"/>
  </r>
  <r>
    <x v="63"/>
    <x v="3"/>
    <x v="3"/>
  </r>
  <r>
    <x v="9"/>
    <x v="3"/>
    <x v="3"/>
  </r>
  <r>
    <x v="10"/>
    <x v="4"/>
    <x v="1"/>
  </r>
  <r>
    <x v="10"/>
    <x v="4"/>
    <x v="1"/>
  </r>
  <r>
    <x v="12"/>
    <x v="2"/>
    <x v="0"/>
  </r>
  <r>
    <x v="99"/>
    <x v="1"/>
    <x v="0"/>
  </r>
  <r>
    <x v="13"/>
    <x v="3"/>
    <x v="1"/>
  </r>
  <r>
    <x v="65"/>
    <x v="1"/>
    <x v="0"/>
  </r>
  <r>
    <x v="65"/>
    <x v="1"/>
    <x v="0"/>
  </r>
  <r>
    <x v="66"/>
    <x v="2"/>
    <x v="3"/>
  </r>
  <r>
    <x v="16"/>
    <x v="1"/>
    <x v="1"/>
  </r>
  <r>
    <x v="19"/>
    <x v="2"/>
    <x v="3"/>
  </r>
  <r>
    <x v="20"/>
    <x v="4"/>
    <x v="3"/>
  </r>
  <r>
    <x v="20"/>
    <x v="4"/>
    <x v="1"/>
  </r>
  <r>
    <x v="95"/>
    <x v="3"/>
    <x v="1"/>
  </r>
  <r>
    <x v="21"/>
    <x v="4"/>
    <x v="2"/>
  </r>
  <r>
    <x v="21"/>
    <x v="4"/>
    <x v="3"/>
  </r>
  <r>
    <x v="22"/>
    <x v="4"/>
    <x v="1"/>
  </r>
  <r>
    <x v="68"/>
    <x v="4"/>
    <x v="3"/>
  </r>
  <r>
    <x v="69"/>
    <x v="2"/>
    <x v="0"/>
  </r>
  <r>
    <x v="24"/>
    <x v="3"/>
    <x v="0"/>
  </r>
  <r>
    <x v="24"/>
    <x v="3"/>
    <x v="1"/>
  </r>
  <r>
    <x v="24"/>
    <x v="3"/>
    <x v="0"/>
  </r>
  <r>
    <x v="25"/>
    <x v="0"/>
    <x v="3"/>
  </r>
  <r>
    <x v="25"/>
    <x v="0"/>
    <x v="3"/>
  </r>
  <r>
    <x v="83"/>
    <x v="4"/>
    <x v="0"/>
  </r>
  <r>
    <x v="83"/>
    <x v="4"/>
    <x v="2"/>
  </r>
  <r>
    <x v="83"/>
    <x v="4"/>
    <x v="0"/>
  </r>
  <r>
    <x v="26"/>
    <x v="0"/>
    <x v="2"/>
  </r>
  <r>
    <x v="27"/>
    <x v="3"/>
    <x v="2"/>
  </r>
  <r>
    <x v="28"/>
    <x v="2"/>
    <x v="0"/>
  </r>
  <r>
    <x v="28"/>
    <x v="2"/>
    <x v="2"/>
  </r>
  <r>
    <x v="28"/>
    <x v="2"/>
    <x v="0"/>
  </r>
  <r>
    <x v="70"/>
    <x v="3"/>
    <x v="2"/>
  </r>
  <r>
    <x v="86"/>
    <x v="2"/>
    <x v="3"/>
  </r>
  <r>
    <x v="97"/>
    <x v="0"/>
    <x v="1"/>
  </r>
  <r>
    <x v="97"/>
    <x v="0"/>
    <x v="1"/>
  </r>
  <r>
    <x v="33"/>
    <x v="0"/>
    <x v="2"/>
  </r>
  <r>
    <x v="34"/>
    <x v="4"/>
    <x v="2"/>
  </r>
  <r>
    <x v="34"/>
    <x v="4"/>
    <x v="0"/>
  </r>
  <r>
    <x v="35"/>
    <x v="0"/>
    <x v="2"/>
  </r>
  <r>
    <x v="36"/>
    <x v="0"/>
    <x v="1"/>
  </r>
  <r>
    <x v="36"/>
    <x v="0"/>
    <x v="2"/>
  </r>
  <r>
    <x v="36"/>
    <x v="0"/>
    <x v="2"/>
  </r>
  <r>
    <x v="36"/>
    <x v="0"/>
    <x v="0"/>
  </r>
  <r>
    <x v="36"/>
    <x v="0"/>
    <x v="1"/>
  </r>
  <r>
    <x v="37"/>
    <x v="0"/>
    <x v="0"/>
  </r>
  <r>
    <x v="88"/>
    <x v="1"/>
    <x v="3"/>
  </r>
  <r>
    <x v="88"/>
    <x v="1"/>
    <x v="3"/>
  </r>
  <r>
    <x v="39"/>
    <x v="3"/>
    <x v="0"/>
  </r>
  <r>
    <x v="73"/>
    <x v="0"/>
    <x v="3"/>
  </r>
  <r>
    <x v="41"/>
    <x v="2"/>
    <x v="3"/>
  </r>
  <r>
    <x v="41"/>
    <x v="2"/>
    <x v="1"/>
  </r>
  <r>
    <x v="42"/>
    <x v="2"/>
    <x v="1"/>
  </r>
  <r>
    <x v="44"/>
    <x v="3"/>
    <x v="1"/>
  </r>
  <r>
    <x v="90"/>
    <x v="4"/>
    <x v="2"/>
  </r>
  <r>
    <x v="90"/>
    <x v="4"/>
    <x v="2"/>
  </r>
  <r>
    <x v="74"/>
    <x v="4"/>
    <x v="1"/>
  </r>
  <r>
    <x v="74"/>
    <x v="4"/>
    <x v="2"/>
  </r>
  <r>
    <x v="75"/>
    <x v="1"/>
    <x v="0"/>
  </r>
  <r>
    <x v="76"/>
    <x v="1"/>
    <x v="3"/>
  </r>
  <r>
    <x v="76"/>
    <x v="1"/>
    <x v="0"/>
  </r>
  <r>
    <x v="91"/>
    <x v="1"/>
    <x v="2"/>
  </r>
  <r>
    <x v="91"/>
    <x v="1"/>
    <x v="1"/>
  </r>
  <r>
    <x v="91"/>
    <x v="1"/>
    <x v="2"/>
  </r>
  <r>
    <x v="50"/>
    <x v="1"/>
    <x v="1"/>
  </r>
  <r>
    <x v="51"/>
    <x v="2"/>
    <x v="1"/>
  </r>
  <r>
    <x v="51"/>
    <x v="2"/>
    <x v="1"/>
  </r>
  <r>
    <x v="51"/>
    <x v="2"/>
    <x v="3"/>
  </r>
  <r>
    <x v="52"/>
    <x v="0"/>
    <x v="3"/>
  </r>
  <r>
    <x v="52"/>
    <x v="0"/>
    <x v="2"/>
  </r>
  <r>
    <x v="92"/>
    <x v="2"/>
    <x v="1"/>
  </r>
  <r>
    <x v="92"/>
    <x v="2"/>
    <x v="0"/>
  </r>
  <r>
    <x v="58"/>
    <x v="3"/>
    <x v="1"/>
  </r>
  <r>
    <x v="58"/>
    <x v="3"/>
    <x v="3"/>
  </r>
  <r>
    <x v="58"/>
    <x v="3"/>
    <x v="2"/>
  </r>
  <r>
    <x v="94"/>
    <x v="4"/>
    <x v="0"/>
  </r>
  <r>
    <x v="80"/>
    <x v="1"/>
    <x v="0"/>
  </r>
  <r>
    <x v="80"/>
    <x v="1"/>
    <x v="0"/>
  </r>
  <r>
    <x v="80"/>
    <x v="1"/>
    <x v="0"/>
  </r>
  <r>
    <x v="98"/>
    <x v="4"/>
    <x v="1"/>
  </r>
  <r>
    <x v="98"/>
    <x v="4"/>
    <x v="0"/>
  </r>
  <r>
    <x v="81"/>
    <x v="3"/>
    <x v="0"/>
  </r>
  <r>
    <x v="81"/>
    <x v="3"/>
    <x v="1"/>
  </r>
  <r>
    <x v="59"/>
    <x v="1"/>
    <x v="3"/>
  </r>
  <r>
    <x v="60"/>
    <x v="4"/>
    <x v="0"/>
  </r>
  <r>
    <x v="60"/>
    <x v="4"/>
    <x v="3"/>
  </r>
  <r>
    <x v="61"/>
    <x v="4"/>
    <x v="3"/>
  </r>
  <r>
    <x v="61"/>
    <x v="4"/>
    <x v="3"/>
  </r>
  <r>
    <x v="61"/>
    <x v="4"/>
    <x v="1"/>
  </r>
  <r>
    <x v="1"/>
    <x v="1"/>
    <x v="1"/>
  </r>
  <r>
    <x v="62"/>
    <x v="4"/>
    <x v="2"/>
  </r>
  <r>
    <x v="62"/>
    <x v="4"/>
    <x v="2"/>
  </r>
  <r>
    <x v="2"/>
    <x v="0"/>
    <x v="2"/>
  </r>
  <r>
    <x v="3"/>
    <x v="2"/>
    <x v="0"/>
  </r>
  <r>
    <x v="4"/>
    <x v="3"/>
    <x v="1"/>
  </r>
  <r>
    <x v="4"/>
    <x v="3"/>
    <x v="1"/>
  </r>
  <r>
    <x v="5"/>
    <x v="2"/>
    <x v="0"/>
  </r>
  <r>
    <x v="82"/>
    <x v="3"/>
    <x v="2"/>
  </r>
  <r>
    <x v="6"/>
    <x v="2"/>
    <x v="3"/>
  </r>
  <r>
    <x v="6"/>
    <x v="2"/>
    <x v="2"/>
  </r>
  <r>
    <x v="63"/>
    <x v="3"/>
    <x v="3"/>
  </r>
  <r>
    <x v="64"/>
    <x v="2"/>
    <x v="0"/>
  </r>
  <r>
    <x v="9"/>
    <x v="3"/>
    <x v="3"/>
  </r>
  <r>
    <x v="11"/>
    <x v="1"/>
    <x v="3"/>
  </r>
  <r>
    <x v="11"/>
    <x v="1"/>
    <x v="3"/>
  </r>
  <r>
    <x v="12"/>
    <x v="2"/>
    <x v="2"/>
  </r>
  <r>
    <x v="13"/>
    <x v="3"/>
    <x v="3"/>
  </r>
  <r>
    <x v="13"/>
    <x v="3"/>
    <x v="3"/>
  </r>
  <r>
    <x v="65"/>
    <x v="1"/>
    <x v="1"/>
  </r>
  <r>
    <x v="66"/>
    <x v="2"/>
    <x v="0"/>
  </r>
  <r>
    <x v="67"/>
    <x v="0"/>
    <x v="1"/>
  </r>
  <r>
    <x v="14"/>
    <x v="1"/>
    <x v="2"/>
  </r>
  <r>
    <x v="15"/>
    <x v="4"/>
    <x v="3"/>
  </r>
  <r>
    <x v="18"/>
    <x v="3"/>
    <x v="3"/>
  </r>
  <r>
    <x v="19"/>
    <x v="2"/>
    <x v="2"/>
  </r>
  <r>
    <x v="20"/>
    <x v="4"/>
    <x v="3"/>
  </r>
  <r>
    <x v="95"/>
    <x v="3"/>
    <x v="0"/>
  </r>
  <r>
    <x v="95"/>
    <x v="3"/>
    <x v="3"/>
  </r>
  <r>
    <x v="95"/>
    <x v="3"/>
    <x v="3"/>
  </r>
  <r>
    <x v="96"/>
    <x v="2"/>
    <x v="3"/>
  </r>
  <r>
    <x v="96"/>
    <x v="2"/>
    <x v="3"/>
  </r>
  <r>
    <x v="22"/>
    <x v="4"/>
    <x v="3"/>
  </r>
  <r>
    <x v="68"/>
    <x v="4"/>
    <x v="1"/>
  </r>
  <r>
    <x v="69"/>
    <x v="2"/>
    <x v="2"/>
  </r>
  <r>
    <x v="69"/>
    <x v="2"/>
    <x v="0"/>
  </r>
  <r>
    <x v="24"/>
    <x v="3"/>
    <x v="0"/>
  </r>
  <r>
    <x v="24"/>
    <x v="3"/>
    <x v="2"/>
  </r>
  <r>
    <x v="24"/>
    <x v="3"/>
    <x v="0"/>
  </r>
  <r>
    <x v="25"/>
    <x v="0"/>
    <x v="0"/>
  </r>
  <r>
    <x v="27"/>
    <x v="3"/>
    <x v="2"/>
  </r>
  <r>
    <x v="28"/>
    <x v="2"/>
    <x v="3"/>
  </r>
  <r>
    <x v="28"/>
    <x v="2"/>
    <x v="1"/>
  </r>
  <r>
    <x v="85"/>
    <x v="2"/>
    <x v="2"/>
  </r>
  <r>
    <x v="29"/>
    <x v="2"/>
    <x v="3"/>
  </r>
  <r>
    <x v="29"/>
    <x v="2"/>
    <x v="3"/>
  </r>
  <r>
    <x v="29"/>
    <x v="2"/>
    <x v="3"/>
  </r>
  <r>
    <x v="29"/>
    <x v="2"/>
    <x v="3"/>
  </r>
  <r>
    <x v="31"/>
    <x v="1"/>
    <x v="3"/>
  </r>
  <r>
    <x v="31"/>
    <x v="1"/>
    <x v="0"/>
  </r>
  <r>
    <x v="86"/>
    <x v="2"/>
    <x v="2"/>
  </r>
  <r>
    <x v="86"/>
    <x v="2"/>
    <x v="0"/>
  </r>
  <r>
    <x v="86"/>
    <x v="2"/>
    <x v="1"/>
  </r>
  <r>
    <x v="32"/>
    <x v="3"/>
    <x v="1"/>
  </r>
  <r>
    <x v="32"/>
    <x v="3"/>
    <x v="2"/>
  </r>
  <r>
    <x v="97"/>
    <x v="0"/>
    <x v="0"/>
  </r>
  <r>
    <x v="33"/>
    <x v="0"/>
    <x v="1"/>
  </r>
  <r>
    <x v="87"/>
    <x v="2"/>
    <x v="2"/>
  </r>
  <r>
    <x v="35"/>
    <x v="0"/>
    <x v="3"/>
  </r>
  <r>
    <x v="35"/>
    <x v="0"/>
    <x v="1"/>
  </r>
  <r>
    <x v="35"/>
    <x v="0"/>
    <x v="3"/>
  </r>
  <r>
    <x v="36"/>
    <x v="0"/>
    <x v="1"/>
  </r>
  <r>
    <x v="72"/>
    <x v="2"/>
    <x v="2"/>
  </r>
  <r>
    <x v="72"/>
    <x v="2"/>
    <x v="3"/>
  </r>
  <r>
    <x v="72"/>
    <x v="2"/>
    <x v="3"/>
  </r>
  <r>
    <x v="37"/>
    <x v="0"/>
    <x v="0"/>
  </r>
  <r>
    <x v="37"/>
    <x v="0"/>
    <x v="0"/>
  </r>
  <r>
    <x v="88"/>
    <x v="1"/>
    <x v="1"/>
  </r>
  <r>
    <x v="73"/>
    <x v="0"/>
    <x v="2"/>
  </r>
  <r>
    <x v="42"/>
    <x v="2"/>
    <x v="0"/>
  </r>
  <r>
    <x v="43"/>
    <x v="4"/>
    <x v="3"/>
  </r>
  <r>
    <x v="43"/>
    <x v="4"/>
    <x v="0"/>
  </r>
  <r>
    <x v="44"/>
    <x v="3"/>
    <x v="1"/>
  </r>
  <r>
    <x v="90"/>
    <x v="4"/>
    <x v="2"/>
  </r>
  <r>
    <x v="74"/>
    <x v="4"/>
    <x v="1"/>
  </r>
  <r>
    <x v="75"/>
    <x v="1"/>
    <x v="2"/>
  </r>
  <r>
    <x v="75"/>
    <x v="1"/>
    <x v="3"/>
  </r>
  <r>
    <x v="75"/>
    <x v="1"/>
    <x v="1"/>
  </r>
  <r>
    <x v="76"/>
    <x v="1"/>
    <x v="3"/>
  </r>
  <r>
    <x v="76"/>
    <x v="1"/>
    <x v="0"/>
  </r>
  <r>
    <x v="77"/>
    <x v="4"/>
    <x v="2"/>
  </r>
  <r>
    <x v="77"/>
    <x v="4"/>
    <x v="2"/>
  </r>
  <r>
    <x v="91"/>
    <x v="1"/>
    <x v="2"/>
  </r>
  <r>
    <x v="46"/>
    <x v="2"/>
    <x v="0"/>
  </r>
  <r>
    <x v="46"/>
    <x v="2"/>
    <x v="3"/>
  </r>
  <r>
    <x v="47"/>
    <x v="0"/>
    <x v="0"/>
  </r>
  <r>
    <x v="48"/>
    <x v="3"/>
    <x v="2"/>
  </r>
  <r>
    <x v="49"/>
    <x v="1"/>
    <x v="3"/>
  </r>
  <r>
    <x v="51"/>
    <x v="2"/>
    <x v="1"/>
  </r>
  <r>
    <x v="52"/>
    <x v="0"/>
    <x v="0"/>
  </r>
  <r>
    <x v="53"/>
    <x v="4"/>
    <x v="1"/>
  </r>
  <r>
    <x v="54"/>
    <x v="3"/>
    <x v="1"/>
  </r>
  <r>
    <x v="55"/>
    <x v="1"/>
    <x v="0"/>
  </r>
  <r>
    <x v="56"/>
    <x v="0"/>
    <x v="1"/>
  </r>
  <r>
    <x v="58"/>
    <x v="3"/>
    <x v="2"/>
  </r>
  <r>
    <x v="58"/>
    <x v="3"/>
    <x v="1"/>
  </r>
  <r>
    <x v="58"/>
    <x v="3"/>
    <x v="2"/>
  </r>
  <r>
    <x v="79"/>
    <x v="2"/>
    <x v="2"/>
  </r>
  <r>
    <x v="79"/>
    <x v="2"/>
    <x v="2"/>
  </r>
  <r>
    <x v="79"/>
    <x v="2"/>
    <x v="0"/>
  </r>
  <r>
    <x v="94"/>
    <x v="4"/>
    <x v="1"/>
  </r>
  <r>
    <x v="94"/>
    <x v="4"/>
    <x v="3"/>
  </r>
  <r>
    <x v="80"/>
    <x v="1"/>
    <x v="3"/>
  </r>
  <r>
    <x v="80"/>
    <x v="1"/>
    <x v="6"/>
  </r>
  <r>
    <x v="98"/>
    <x v="4"/>
    <x v="3"/>
  </r>
  <r>
    <x v="59"/>
    <x v="1"/>
    <x v="0"/>
  </r>
  <r>
    <x v="60"/>
    <x v="4"/>
    <x v="2"/>
  </r>
  <r>
    <x v="0"/>
    <x v="0"/>
    <x v="2"/>
  </r>
  <r>
    <x v="1"/>
    <x v="1"/>
    <x v="1"/>
  </r>
  <r>
    <x v="62"/>
    <x v="4"/>
    <x v="3"/>
  </r>
  <r>
    <x v="62"/>
    <x v="4"/>
    <x v="3"/>
  </r>
  <r>
    <x v="3"/>
    <x v="2"/>
    <x v="0"/>
  </r>
  <r>
    <x v="5"/>
    <x v="2"/>
    <x v="1"/>
  </r>
  <r>
    <x v="82"/>
    <x v="3"/>
    <x v="1"/>
  </r>
  <r>
    <x v="82"/>
    <x v="3"/>
    <x v="1"/>
  </r>
  <r>
    <x v="82"/>
    <x v="3"/>
    <x v="1"/>
  </r>
  <r>
    <x v="82"/>
    <x v="3"/>
    <x v="2"/>
  </r>
  <r>
    <x v="6"/>
    <x v="2"/>
    <x v="3"/>
  </r>
  <r>
    <x v="7"/>
    <x v="1"/>
    <x v="1"/>
  </r>
  <r>
    <x v="63"/>
    <x v="3"/>
    <x v="3"/>
  </r>
  <r>
    <x v="64"/>
    <x v="2"/>
    <x v="1"/>
  </r>
  <r>
    <x v="11"/>
    <x v="1"/>
    <x v="1"/>
  </r>
  <r>
    <x v="11"/>
    <x v="1"/>
    <x v="0"/>
  </r>
  <r>
    <x v="11"/>
    <x v="1"/>
    <x v="1"/>
  </r>
  <r>
    <x v="12"/>
    <x v="2"/>
    <x v="1"/>
  </r>
  <r>
    <x v="12"/>
    <x v="2"/>
    <x v="3"/>
  </r>
  <r>
    <x v="99"/>
    <x v="1"/>
    <x v="1"/>
  </r>
  <r>
    <x v="99"/>
    <x v="1"/>
    <x v="1"/>
  </r>
  <r>
    <x v="99"/>
    <x v="1"/>
    <x v="1"/>
  </r>
  <r>
    <x v="99"/>
    <x v="1"/>
    <x v="2"/>
  </r>
  <r>
    <x v="65"/>
    <x v="1"/>
    <x v="2"/>
  </r>
  <r>
    <x v="65"/>
    <x v="1"/>
    <x v="3"/>
  </r>
  <r>
    <x v="66"/>
    <x v="2"/>
    <x v="2"/>
  </r>
  <r>
    <x v="67"/>
    <x v="0"/>
    <x v="3"/>
  </r>
  <r>
    <x v="67"/>
    <x v="0"/>
    <x v="3"/>
  </r>
  <r>
    <x v="14"/>
    <x v="1"/>
    <x v="0"/>
  </r>
  <r>
    <x v="15"/>
    <x v="4"/>
    <x v="2"/>
  </r>
  <r>
    <x v="15"/>
    <x v="4"/>
    <x v="1"/>
  </r>
  <r>
    <x v="15"/>
    <x v="4"/>
    <x v="1"/>
  </r>
  <r>
    <x v="16"/>
    <x v="1"/>
    <x v="1"/>
  </r>
  <r>
    <x v="17"/>
    <x v="3"/>
    <x v="3"/>
  </r>
  <r>
    <x v="17"/>
    <x v="3"/>
    <x v="3"/>
  </r>
  <r>
    <x v="20"/>
    <x v="4"/>
    <x v="1"/>
  </r>
  <r>
    <x v="20"/>
    <x v="4"/>
    <x v="2"/>
  </r>
  <r>
    <x v="20"/>
    <x v="4"/>
    <x v="2"/>
  </r>
  <r>
    <x v="21"/>
    <x v="4"/>
    <x v="2"/>
  </r>
  <r>
    <x v="22"/>
    <x v="4"/>
    <x v="0"/>
  </r>
  <r>
    <x v="68"/>
    <x v="4"/>
    <x v="0"/>
  </r>
  <r>
    <x v="68"/>
    <x v="4"/>
    <x v="3"/>
  </r>
  <r>
    <x v="68"/>
    <x v="4"/>
    <x v="3"/>
  </r>
  <r>
    <x v="69"/>
    <x v="2"/>
    <x v="0"/>
  </r>
  <r>
    <x v="23"/>
    <x v="2"/>
    <x v="1"/>
  </r>
  <r>
    <x v="24"/>
    <x v="3"/>
    <x v="3"/>
  </r>
  <r>
    <x v="24"/>
    <x v="3"/>
    <x v="0"/>
  </r>
  <r>
    <x v="27"/>
    <x v="3"/>
    <x v="1"/>
  </r>
  <r>
    <x v="27"/>
    <x v="3"/>
    <x v="0"/>
  </r>
  <r>
    <x v="28"/>
    <x v="2"/>
    <x v="2"/>
  </r>
  <r>
    <x v="28"/>
    <x v="2"/>
    <x v="3"/>
  </r>
  <r>
    <x v="28"/>
    <x v="2"/>
    <x v="2"/>
  </r>
  <r>
    <x v="70"/>
    <x v="3"/>
    <x v="3"/>
  </r>
  <r>
    <x v="29"/>
    <x v="2"/>
    <x v="0"/>
  </r>
  <r>
    <x v="31"/>
    <x v="1"/>
    <x v="1"/>
  </r>
  <r>
    <x v="86"/>
    <x v="2"/>
    <x v="1"/>
  </r>
  <r>
    <x v="71"/>
    <x v="0"/>
    <x v="3"/>
  </r>
  <r>
    <x v="71"/>
    <x v="0"/>
    <x v="0"/>
  </r>
  <r>
    <x v="87"/>
    <x v="2"/>
    <x v="0"/>
  </r>
  <r>
    <x v="34"/>
    <x v="4"/>
    <x v="2"/>
  </r>
  <r>
    <x v="34"/>
    <x v="4"/>
    <x v="3"/>
  </r>
  <r>
    <x v="36"/>
    <x v="0"/>
    <x v="2"/>
  </r>
  <r>
    <x v="72"/>
    <x v="2"/>
    <x v="2"/>
  </r>
  <r>
    <x v="38"/>
    <x v="4"/>
    <x v="1"/>
  </r>
  <r>
    <x v="88"/>
    <x v="1"/>
    <x v="1"/>
  </r>
  <r>
    <x v="89"/>
    <x v="1"/>
    <x v="0"/>
  </r>
  <r>
    <x v="89"/>
    <x v="1"/>
    <x v="2"/>
  </r>
  <r>
    <x v="40"/>
    <x v="1"/>
    <x v="2"/>
  </r>
  <r>
    <x v="40"/>
    <x v="1"/>
    <x v="2"/>
  </r>
  <r>
    <x v="40"/>
    <x v="1"/>
    <x v="3"/>
  </r>
  <r>
    <x v="41"/>
    <x v="2"/>
    <x v="0"/>
  </r>
  <r>
    <x v="42"/>
    <x v="2"/>
    <x v="2"/>
  </r>
  <r>
    <x v="42"/>
    <x v="2"/>
    <x v="2"/>
  </r>
  <r>
    <x v="42"/>
    <x v="2"/>
    <x v="2"/>
  </r>
  <r>
    <x v="43"/>
    <x v="4"/>
    <x v="0"/>
  </r>
  <r>
    <x v="44"/>
    <x v="3"/>
    <x v="1"/>
  </r>
  <r>
    <x v="90"/>
    <x v="4"/>
    <x v="0"/>
  </r>
  <r>
    <x v="74"/>
    <x v="4"/>
    <x v="2"/>
  </r>
  <r>
    <x v="75"/>
    <x v="1"/>
    <x v="2"/>
  </r>
  <r>
    <x v="75"/>
    <x v="1"/>
    <x v="0"/>
  </r>
  <r>
    <x v="76"/>
    <x v="1"/>
    <x v="1"/>
  </r>
  <r>
    <x v="45"/>
    <x v="2"/>
    <x v="2"/>
  </r>
  <r>
    <x v="45"/>
    <x v="2"/>
    <x v="0"/>
  </r>
  <r>
    <x v="47"/>
    <x v="0"/>
    <x v="1"/>
  </r>
  <r>
    <x v="78"/>
    <x v="1"/>
    <x v="3"/>
  </r>
  <r>
    <x v="78"/>
    <x v="1"/>
    <x v="3"/>
  </r>
  <r>
    <x v="49"/>
    <x v="1"/>
    <x v="0"/>
  </r>
  <r>
    <x v="50"/>
    <x v="1"/>
    <x v="0"/>
  </r>
  <r>
    <x v="51"/>
    <x v="2"/>
    <x v="2"/>
  </r>
  <r>
    <x v="52"/>
    <x v="0"/>
    <x v="0"/>
  </r>
  <r>
    <x v="92"/>
    <x v="2"/>
    <x v="1"/>
  </r>
  <r>
    <x v="53"/>
    <x v="4"/>
    <x v="0"/>
  </r>
  <r>
    <x v="54"/>
    <x v="3"/>
    <x v="1"/>
  </r>
  <r>
    <x v="55"/>
    <x v="1"/>
    <x v="3"/>
  </r>
  <r>
    <x v="93"/>
    <x v="4"/>
    <x v="1"/>
  </r>
  <r>
    <x v="93"/>
    <x v="4"/>
    <x v="3"/>
  </r>
  <r>
    <x v="56"/>
    <x v="0"/>
    <x v="0"/>
  </r>
  <r>
    <x v="58"/>
    <x v="3"/>
    <x v="1"/>
  </r>
  <r>
    <x v="94"/>
    <x v="4"/>
    <x v="3"/>
  </r>
  <r>
    <x v="59"/>
    <x v="1"/>
    <x v="2"/>
  </r>
  <r>
    <x v="60"/>
    <x v="4"/>
    <x v="3"/>
  </r>
  <r>
    <x v="1"/>
    <x v="1"/>
    <x v="2"/>
  </r>
  <r>
    <x v="62"/>
    <x v="4"/>
    <x v="0"/>
  </r>
  <r>
    <x v="62"/>
    <x v="4"/>
    <x v="0"/>
  </r>
  <r>
    <x v="3"/>
    <x v="2"/>
    <x v="2"/>
  </r>
  <r>
    <x v="3"/>
    <x v="2"/>
    <x v="2"/>
  </r>
  <r>
    <x v="4"/>
    <x v="3"/>
    <x v="3"/>
  </r>
  <r>
    <x v="5"/>
    <x v="2"/>
    <x v="3"/>
  </r>
  <r>
    <x v="10"/>
    <x v="4"/>
    <x v="2"/>
  </r>
  <r>
    <x v="10"/>
    <x v="4"/>
    <x v="0"/>
  </r>
  <r>
    <x v="10"/>
    <x v="4"/>
    <x v="2"/>
  </r>
  <r>
    <x v="11"/>
    <x v="1"/>
    <x v="1"/>
  </r>
  <r>
    <x v="65"/>
    <x v="1"/>
    <x v="0"/>
  </r>
  <r>
    <x v="66"/>
    <x v="2"/>
    <x v="2"/>
  </r>
  <r>
    <x v="14"/>
    <x v="1"/>
    <x v="1"/>
  </r>
  <r>
    <x v="15"/>
    <x v="4"/>
    <x v="2"/>
  </r>
  <r>
    <x v="16"/>
    <x v="1"/>
    <x v="3"/>
  </r>
  <r>
    <x v="19"/>
    <x v="2"/>
    <x v="0"/>
  </r>
  <r>
    <x v="20"/>
    <x v="4"/>
    <x v="0"/>
  </r>
  <r>
    <x v="21"/>
    <x v="4"/>
    <x v="3"/>
  </r>
  <r>
    <x v="96"/>
    <x v="2"/>
    <x v="1"/>
  </r>
  <r>
    <x v="68"/>
    <x v="4"/>
    <x v="1"/>
  </r>
  <r>
    <x v="68"/>
    <x v="4"/>
    <x v="3"/>
  </r>
  <r>
    <x v="23"/>
    <x v="2"/>
    <x v="1"/>
  </r>
  <r>
    <x v="83"/>
    <x v="4"/>
    <x v="0"/>
  </r>
  <r>
    <x v="26"/>
    <x v="0"/>
    <x v="0"/>
  </r>
  <r>
    <x v="27"/>
    <x v="3"/>
    <x v="3"/>
  </r>
  <r>
    <x v="27"/>
    <x v="3"/>
    <x v="1"/>
  </r>
  <r>
    <x v="27"/>
    <x v="3"/>
    <x v="1"/>
  </r>
  <r>
    <x v="28"/>
    <x v="2"/>
    <x v="1"/>
  </r>
  <r>
    <x v="28"/>
    <x v="2"/>
    <x v="1"/>
  </r>
  <r>
    <x v="85"/>
    <x v="2"/>
    <x v="2"/>
  </r>
  <r>
    <x v="85"/>
    <x v="2"/>
    <x v="1"/>
  </r>
  <r>
    <x v="70"/>
    <x v="3"/>
    <x v="3"/>
  </r>
  <r>
    <x v="70"/>
    <x v="3"/>
    <x v="3"/>
  </r>
  <r>
    <x v="29"/>
    <x v="2"/>
    <x v="0"/>
  </r>
  <r>
    <x v="29"/>
    <x v="2"/>
    <x v="1"/>
  </r>
  <r>
    <x v="30"/>
    <x v="1"/>
    <x v="0"/>
  </r>
  <r>
    <x v="86"/>
    <x v="2"/>
    <x v="3"/>
  </r>
  <r>
    <x v="97"/>
    <x v="0"/>
    <x v="3"/>
  </r>
  <r>
    <x v="97"/>
    <x v="0"/>
    <x v="3"/>
  </r>
  <r>
    <x v="71"/>
    <x v="0"/>
    <x v="3"/>
  </r>
  <r>
    <x v="87"/>
    <x v="2"/>
    <x v="3"/>
  </r>
  <r>
    <x v="87"/>
    <x v="2"/>
    <x v="2"/>
  </r>
  <r>
    <x v="87"/>
    <x v="2"/>
    <x v="0"/>
  </r>
  <r>
    <x v="34"/>
    <x v="4"/>
    <x v="2"/>
  </r>
  <r>
    <x v="35"/>
    <x v="0"/>
    <x v="2"/>
  </r>
  <r>
    <x v="36"/>
    <x v="0"/>
    <x v="2"/>
  </r>
  <r>
    <x v="37"/>
    <x v="0"/>
    <x v="1"/>
  </r>
  <r>
    <x v="37"/>
    <x v="0"/>
    <x v="1"/>
  </r>
  <r>
    <x v="38"/>
    <x v="4"/>
    <x v="1"/>
  </r>
  <r>
    <x v="88"/>
    <x v="1"/>
    <x v="3"/>
  </r>
  <r>
    <x v="39"/>
    <x v="3"/>
    <x v="0"/>
  </r>
  <r>
    <x v="73"/>
    <x v="0"/>
    <x v="1"/>
  </r>
  <r>
    <x v="42"/>
    <x v="2"/>
    <x v="1"/>
  </r>
  <r>
    <x v="43"/>
    <x v="4"/>
    <x v="0"/>
  </r>
  <r>
    <x v="44"/>
    <x v="3"/>
    <x v="0"/>
  </r>
  <r>
    <x v="44"/>
    <x v="3"/>
    <x v="1"/>
  </r>
  <r>
    <x v="75"/>
    <x v="1"/>
    <x v="1"/>
  </r>
  <r>
    <x v="76"/>
    <x v="1"/>
    <x v="0"/>
  </r>
  <r>
    <x v="76"/>
    <x v="1"/>
    <x v="1"/>
  </r>
  <r>
    <x v="77"/>
    <x v="4"/>
    <x v="1"/>
  </r>
  <r>
    <x v="91"/>
    <x v="1"/>
    <x v="0"/>
  </r>
  <r>
    <x v="45"/>
    <x v="2"/>
    <x v="1"/>
  </r>
  <r>
    <x v="47"/>
    <x v="0"/>
    <x v="3"/>
  </r>
  <r>
    <x v="47"/>
    <x v="0"/>
    <x v="1"/>
  </r>
  <r>
    <x v="78"/>
    <x v="1"/>
    <x v="3"/>
  </r>
  <r>
    <x v="48"/>
    <x v="3"/>
    <x v="1"/>
  </r>
  <r>
    <x v="51"/>
    <x v="2"/>
    <x v="2"/>
  </r>
  <r>
    <x v="51"/>
    <x v="2"/>
    <x v="0"/>
  </r>
  <r>
    <x v="92"/>
    <x v="2"/>
    <x v="3"/>
  </r>
  <r>
    <x v="92"/>
    <x v="2"/>
    <x v="1"/>
  </r>
  <r>
    <x v="53"/>
    <x v="4"/>
    <x v="1"/>
  </r>
  <r>
    <x v="53"/>
    <x v="4"/>
    <x v="1"/>
  </r>
  <r>
    <x v="54"/>
    <x v="3"/>
    <x v="3"/>
  </r>
  <r>
    <x v="54"/>
    <x v="3"/>
    <x v="3"/>
  </r>
  <r>
    <x v="54"/>
    <x v="3"/>
    <x v="2"/>
  </r>
  <r>
    <x v="56"/>
    <x v="0"/>
    <x v="2"/>
  </r>
  <r>
    <x v="56"/>
    <x v="0"/>
    <x v="0"/>
  </r>
  <r>
    <x v="58"/>
    <x v="3"/>
    <x v="3"/>
  </r>
  <r>
    <x v="79"/>
    <x v="2"/>
    <x v="1"/>
  </r>
  <r>
    <x v="80"/>
    <x v="1"/>
    <x v="7"/>
  </r>
  <r>
    <x v="81"/>
    <x v="3"/>
    <x v="2"/>
  </r>
  <r>
    <x v="59"/>
    <x v="1"/>
    <x v="3"/>
  </r>
  <r>
    <x v="59"/>
    <x v="1"/>
    <x v="2"/>
  </r>
  <r>
    <x v="60"/>
    <x v="4"/>
    <x v="0"/>
  </r>
  <r>
    <x v="0"/>
    <x v="0"/>
    <x v="1"/>
  </r>
  <r>
    <x v="0"/>
    <x v="0"/>
    <x v="1"/>
  </r>
  <r>
    <x v="1"/>
    <x v="1"/>
    <x v="1"/>
  </r>
  <r>
    <x v="62"/>
    <x v="4"/>
    <x v="1"/>
  </r>
  <r>
    <x v="62"/>
    <x v="4"/>
    <x v="2"/>
  </r>
  <r>
    <x v="3"/>
    <x v="2"/>
    <x v="0"/>
  </r>
  <r>
    <x v="4"/>
    <x v="3"/>
    <x v="2"/>
  </r>
  <r>
    <x v="5"/>
    <x v="2"/>
    <x v="1"/>
  </r>
  <r>
    <x v="5"/>
    <x v="2"/>
    <x v="1"/>
  </r>
  <r>
    <x v="6"/>
    <x v="2"/>
    <x v="1"/>
  </r>
  <r>
    <x v="7"/>
    <x v="1"/>
    <x v="0"/>
  </r>
  <r>
    <x v="7"/>
    <x v="1"/>
    <x v="0"/>
  </r>
  <r>
    <x v="8"/>
    <x v="2"/>
    <x v="0"/>
  </r>
  <r>
    <x v="8"/>
    <x v="2"/>
    <x v="1"/>
  </r>
  <r>
    <x v="64"/>
    <x v="2"/>
    <x v="2"/>
  </r>
  <r>
    <x v="64"/>
    <x v="2"/>
    <x v="3"/>
  </r>
  <r>
    <x v="64"/>
    <x v="2"/>
    <x v="3"/>
  </r>
  <r>
    <x v="9"/>
    <x v="3"/>
    <x v="2"/>
  </r>
  <r>
    <x v="99"/>
    <x v="1"/>
    <x v="1"/>
  </r>
  <r>
    <x v="13"/>
    <x v="3"/>
    <x v="1"/>
  </r>
  <r>
    <x v="65"/>
    <x v="1"/>
    <x v="0"/>
  </r>
  <r>
    <x v="65"/>
    <x v="1"/>
    <x v="2"/>
  </r>
  <r>
    <x v="14"/>
    <x v="1"/>
    <x v="1"/>
  </r>
  <r>
    <x v="14"/>
    <x v="1"/>
    <x v="0"/>
  </r>
  <r>
    <x v="15"/>
    <x v="4"/>
    <x v="1"/>
  </r>
  <r>
    <x v="15"/>
    <x v="4"/>
    <x v="0"/>
  </r>
  <r>
    <x v="16"/>
    <x v="1"/>
    <x v="2"/>
  </r>
  <r>
    <x v="16"/>
    <x v="1"/>
    <x v="0"/>
  </r>
  <r>
    <x v="17"/>
    <x v="3"/>
    <x v="1"/>
  </r>
  <r>
    <x v="18"/>
    <x v="3"/>
    <x v="1"/>
  </r>
  <r>
    <x v="19"/>
    <x v="2"/>
    <x v="2"/>
  </r>
  <r>
    <x v="19"/>
    <x v="2"/>
    <x v="2"/>
  </r>
  <r>
    <x v="21"/>
    <x v="4"/>
    <x v="0"/>
  </r>
  <r>
    <x v="22"/>
    <x v="4"/>
    <x v="2"/>
  </r>
  <r>
    <x v="68"/>
    <x v="4"/>
    <x v="0"/>
  </r>
  <r>
    <x v="69"/>
    <x v="2"/>
    <x v="0"/>
  </r>
  <r>
    <x v="24"/>
    <x v="3"/>
    <x v="2"/>
  </r>
  <r>
    <x v="83"/>
    <x v="4"/>
    <x v="2"/>
  </r>
  <r>
    <x v="28"/>
    <x v="2"/>
    <x v="0"/>
  </r>
  <r>
    <x v="84"/>
    <x v="4"/>
    <x v="0"/>
  </r>
  <r>
    <x v="84"/>
    <x v="4"/>
    <x v="1"/>
  </r>
  <r>
    <x v="84"/>
    <x v="4"/>
    <x v="2"/>
  </r>
  <r>
    <x v="85"/>
    <x v="2"/>
    <x v="3"/>
  </r>
  <r>
    <x v="70"/>
    <x v="3"/>
    <x v="0"/>
  </r>
  <r>
    <x v="29"/>
    <x v="2"/>
    <x v="3"/>
  </r>
  <r>
    <x v="30"/>
    <x v="1"/>
    <x v="3"/>
  </r>
  <r>
    <x v="30"/>
    <x v="1"/>
    <x v="0"/>
  </r>
  <r>
    <x v="32"/>
    <x v="3"/>
    <x v="0"/>
  </r>
  <r>
    <x v="97"/>
    <x v="0"/>
    <x v="2"/>
  </r>
  <r>
    <x v="97"/>
    <x v="0"/>
    <x v="3"/>
  </r>
  <r>
    <x v="87"/>
    <x v="2"/>
    <x v="0"/>
  </r>
  <r>
    <x v="87"/>
    <x v="2"/>
    <x v="1"/>
  </r>
  <r>
    <x v="87"/>
    <x v="2"/>
    <x v="3"/>
  </r>
  <r>
    <x v="35"/>
    <x v="0"/>
    <x v="3"/>
  </r>
  <r>
    <x v="72"/>
    <x v="2"/>
    <x v="3"/>
  </r>
  <r>
    <x v="37"/>
    <x v="0"/>
    <x v="0"/>
  </r>
  <r>
    <x v="38"/>
    <x v="4"/>
    <x v="1"/>
  </r>
  <r>
    <x v="38"/>
    <x v="4"/>
    <x v="3"/>
  </r>
  <r>
    <x v="39"/>
    <x v="3"/>
    <x v="1"/>
  </r>
  <r>
    <x v="89"/>
    <x v="1"/>
    <x v="2"/>
  </r>
  <r>
    <x v="89"/>
    <x v="1"/>
    <x v="3"/>
  </r>
  <r>
    <x v="40"/>
    <x v="1"/>
    <x v="2"/>
  </r>
  <r>
    <x v="73"/>
    <x v="0"/>
    <x v="3"/>
  </r>
  <r>
    <x v="42"/>
    <x v="2"/>
    <x v="3"/>
  </r>
  <r>
    <x v="42"/>
    <x v="2"/>
    <x v="2"/>
  </r>
  <r>
    <x v="90"/>
    <x v="4"/>
    <x v="3"/>
  </r>
  <r>
    <x v="90"/>
    <x v="4"/>
    <x v="2"/>
  </r>
  <r>
    <x v="90"/>
    <x v="4"/>
    <x v="0"/>
  </r>
  <r>
    <x v="90"/>
    <x v="4"/>
    <x v="2"/>
  </r>
  <r>
    <x v="74"/>
    <x v="4"/>
    <x v="0"/>
  </r>
  <r>
    <x v="74"/>
    <x v="4"/>
    <x v="3"/>
  </r>
  <r>
    <x v="74"/>
    <x v="4"/>
    <x v="3"/>
  </r>
  <r>
    <x v="75"/>
    <x v="1"/>
    <x v="3"/>
  </r>
  <r>
    <x v="75"/>
    <x v="1"/>
    <x v="3"/>
  </r>
  <r>
    <x v="75"/>
    <x v="1"/>
    <x v="2"/>
  </r>
  <r>
    <x v="76"/>
    <x v="1"/>
    <x v="0"/>
  </r>
  <r>
    <x v="77"/>
    <x v="4"/>
    <x v="0"/>
  </r>
  <r>
    <x v="45"/>
    <x v="2"/>
    <x v="3"/>
  </r>
  <r>
    <x v="45"/>
    <x v="2"/>
    <x v="2"/>
  </r>
  <r>
    <x v="45"/>
    <x v="2"/>
    <x v="1"/>
  </r>
  <r>
    <x v="45"/>
    <x v="2"/>
    <x v="0"/>
  </r>
  <r>
    <x v="46"/>
    <x v="2"/>
    <x v="2"/>
  </r>
  <r>
    <x v="47"/>
    <x v="0"/>
    <x v="1"/>
  </r>
  <r>
    <x v="47"/>
    <x v="0"/>
    <x v="0"/>
  </r>
  <r>
    <x v="47"/>
    <x v="0"/>
    <x v="3"/>
  </r>
  <r>
    <x v="48"/>
    <x v="3"/>
    <x v="3"/>
  </r>
  <r>
    <x v="49"/>
    <x v="1"/>
    <x v="3"/>
  </r>
  <r>
    <x v="50"/>
    <x v="1"/>
    <x v="1"/>
  </r>
  <r>
    <x v="51"/>
    <x v="2"/>
    <x v="0"/>
  </r>
  <r>
    <x v="51"/>
    <x v="2"/>
    <x v="3"/>
  </r>
  <r>
    <x v="52"/>
    <x v="0"/>
    <x v="3"/>
  </r>
  <r>
    <x v="52"/>
    <x v="0"/>
    <x v="2"/>
  </r>
  <r>
    <x v="54"/>
    <x v="3"/>
    <x v="3"/>
  </r>
  <r>
    <x v="55"/>
    <x v="1"/>
    <x v="1"/>
  </r>
  <r>
    <x v="55"/>
    <x v="1"/>
    <x v="0"/>
  </r>
  <r>
    <x v="55"/>
    <x v="1"/>
    <x v="0"/>
  </r>
  <r>
    <x v="93"/>
    <x v="4"/>
    <x v="3"/>
  </r>
  <r>
    <x v="56"/>
    <x v="0"/>
    <x v="0"/>
  </r>
  <r>
    <x v="56"/>
    <x v="0"/>
    <x v="1"/>
  </r>
  <r>
    <x v="57"/>
    <x v="2"/>
    <x v="0"/>
  </r>
  <r>
    <x v="79"/>
    <x v="2"/>
    <x v="3"/>
  </r>
  <r>
    <x v="80"/>
    <x v="1"/>
    <x v="1"/>
  </r>
  <r>
    <x v="98"/>
    <x v="4"/>
    <x v="2"/>
  </r>
  <r>
    <x v="59"/>
    <x v="1"/>
    <x v="0"/>
  </r>
  <r>
    <x v="59"/>
    <x v="1"/>
    <x v="0"/>
  </r>
  <r>
    <x v="59"/>
    <x v="1"/>
    <x v="1"/>
  </r>
  <r>
    <x v="59"/>
    <x v="1"/>
    <x v="2"/>
  </r>
  <r>
    <x v="60"/>
    <x v="4"/>
    <x v="3"/>
  </r>
  <r>
    <x v="1"/>
    <x v="1"/>
    <x v="1"/>
  </r>
  <r>
    <x v="62"/>
    <x v="4"/>
    <x v="3"/>
  </r>
  <r>
    <x v="62"/>
    <x v="4"/>
    <x v="3"/>
  </r>
  <r>
    <x v="62"/>
    <x v="4"/>
    <x v="0"/>
  </r>
  <r>
    <x v="62"/>
    <x v="4"/>
    <x v="2"/>
  </r>
  <r>
    <x v="5"/>
    <x v="2"/>
    <x v="1"/>
  </r>
  <r>
    <x v="5"/>
    <x v="2"/>
    <x v="0"/>
  </r>
  <r>
    <x v="6"/>
    <x v="2"/>
    <x v="2"/>
  </r>
  <r>
    <x v="6"/>
    <x v="2"/>
    <x v="2"/>
  </r>
  <r>
    <x v="8"/>
    <x v="2"/>
    <x v="3"/>
  </r>
  <r>
    <x v="63"/>
    <x v="3"/>
    <x v="1"/>
  </r>
  <r>
    <x v="64"/>
    <x v="2"/>
    <x v="0"/>
  </r>
  <r>
    <x v="9"/>
    <x v="3"/>
    <x v="2"/>
  </r>
  <r>
    <x v="10"/>
    <x v="4"/>
    <x v="0"/>
  </r>
  <r>
    <x v="12"/>
    <x v="2"/>
    <x v="3"/>
  </r>
  <r>
    <x v="99"/>
    <x v="1"/>
    <x v="3"/>
  </r>
  <r>
    <x v="13"/>
    <x v="3"/>
    <x v="3"/>
  </r>
  <r>
    <x v="65"/>
    <x v="1"/>
    <x v="0"/>
  </r>
  <r>
    <x v="15"/>
    <x v="4"/>
    <x v="2"/>
  </r>
  <r>
    <x v="15"/>
    <x v="4"/>
    <x v="0"/>
  </r>
  <r>
    <x v="16"/>
    <x v="1"/>
    <x v="2"/>
  </r>
  <r>
    <x v="16"/>
    <x v="1"/>
    <x v="0"/>
  </r>
  <r>
    <x v="17"/>
    <x v="3"/>
    <x v="0"/>
  </r>
  <r>
    <x v="17"/>
    <x v="3"/>
    <x v="0"/>
  </r>
  <r>
    <x v="18"/>
    <x v="3"/>
    <x v="3"/>
  </r>
  <r>
    <x v="18"/>
    <x v="3"/>
    <x v="1"/>
  </r>
  <r>
    <x v="18"/>
    <x v="3"/>
    <x v="1"/>
  </r>
  <r>
    <x v="18"/>
    <x v="3"/>
    <x v="1"/>
  </r>
  <r>
    <x v="18"/>
    <x v="3"/>
    <x v="2"/>
  </r>
  <r>
    <x v="19"/>
    <x v="2"/>
    <x v="3"/>
  </r>
  <r>
    <x v="19"/>
    <x v="2"/>
    <x v="1"/>
  </r>
  <r>
    <x v="20"/>
    <x v="4"/>
    <x v="1"/>
  </r>
  <r>
    <x v="20"/>
    <x v="4"/>
    <x v="2"/>
  </r>
  <r>
    <x v="95"/>
    <x v="3"/>
    <x v="2"/>
  </r>
  <r>
    <x v="21"/>
    <x v="4"/>
    <x v="3"/>
  </r>
  <r>
    <x v="22"/>
    <x v="4"/>
    <x v="3"/>
  </r>
  <r>
    <x v="22"/>
    <x v="4"/>
    <x v="3"/>
  </r>
  <r>
    <x v="68"/>
    <x v="4"/>
    <x v="1"/>
  </r>
  <r>
    <x v="24"/>
    <x v="3"/>
    <x v="1"/>
  </r>
  <r>
    <x v="25"/>
    <x v="0"/>
    <x v="3"/>
  </r>
  <r>
    <x v="83"/>
    <x v="4"/>
    <x v="3"/>
  </r>
  <r>
    <x v="83"/>
    <x v="4"/>
    <x v="1"/>
  </r>
  <r>
    <x v="26"/>
    <x v="0"/>
    <x v="3"/>
  </r>
  <r>
    <x v="26"/>
    <x v="0"/>
    <x v="1"/>
  </r>
  <r>
    <x v="27"/>
    <x v="3"/>
    <x v="3"/>
  </r>
  <r>
    <x v="28"/>
    <x v="2"/>
    <x v="1"/>
  </r>
  <r>
    <x v="84"/>
    <x v="4"/>
    <x v="2"/>
  </r>
  <r>
    <x v="85"/>
    <x v="2"/>
    <x v="2"/>
  </r>
  <r>
    <x v="70"/>
    <x v="3"/>
    <x v="1"/>
  </r>
  <r>
    <x v="70"/>
    <x v="3"/>
    <x v="1"/>
  </r>
  <r>
    <x v="30"/>
    <x v="1"/>
    <x v="0"/>
  </r>
  <r>
    <x v="30"/>
    <x v="1"/>
    <x v="1"/>
  </r>
  <r>
    <x v="30"/>
    <x v="1"/>
    <x v="0"/>
  </r>
  <r>
    <x v="31"/>
    <x v="1"/>
    <x v="2"/>
  </r>
  <r>
    <x v="31"/>
    <x v="1"/>
    <x v="2"/>
  </r>
  <r>
    <x v="32"/>
    <x v="3"/>
    <x v="0"/>
  </r>
  <r>
    <x v="32"/>
    <x v="3"/>
    <x v="3"/>
  </r>
  <r>
    <x v="97"/>
    <x v="0"/>
    <x v="1"/>
  </r>
  <r>
    <x v="97"/>
    <x v="0"/>
    <x v="3"/>
  </r>
  <r>
    <x v="33"/>
    <x v="0"/>
    <x v="1"/>
  </r>
  <r>
    <x v="87"/>
    <x v="2"/>
    <x v="1"/>
  </r>
  <r>
    <x v="34"/>
    <x v="4"/>
    <x v="2"/>
  </r>
  <r>
    <x v="35"/>
    <x v="0"/>
    <x v="0"/>
  </r>
  <r>
    <x v="36"/>
    <x v="0"/>
    <x v="1"/>
  </r>
  <r>
    <x v="72"/>
    <x v="2"/>
    <x v="0"/>
  </r>
  <r>
    <x v="72"/>
    <x v="2"/>
    <x v="0"/>
  </r>
  <r>
    <x v="39"/>
    <x v="3"/>
    <x v="3"/>
  </r>
  <r>
    <x v="89"/>
    <x v="1"/>
    <x v="1"/>
  </r>
  <r>
    <x v="40"/>
    <x v="1"/>
    <x v="3"/>
  </r>
  <r>
    <x v="73"/>
    <x v="0"/>
    <x v="0"/>
  </r>
  <r>
    <x v="41"/>
    <x v="2"/>
    <x v="1"/>
  </r>
  <r>
    <x v="41"/>
    <x v="2"/>
    <x v="2"/>
  </r>
  <r>
    <x v="42"/>
    <x v="2"/>
    <x v="3"/>
  </r>
  <r>
    <x v="43"/>
    <x v="4"/>
    <x v="1"/>
  </r>
  <r>
    <x v="44"/>
    <x v="3"/>
    <x v="3"/>
  </r>
  <r>
    <x v="75"/>
    <x v="1"/>
    <x v="3"/>
  </r>
  <r>
    <x v="76"/>
    <x v="1"/>
    <x v="0"/>
  </r>
  <r>
    <x v="76"/>
    <x v="1"/>
    <x v="2"/>
  </r>
  <r>
    <x v="77"/>
    <x v="4"/>
    <x v="1"/>
  </r>
  <r>
    <x v="45"/>
    <x v="2"/>
    <x v="0"/>
  </r>
  <r>
    <x v="45"/>
    <x v="2"/>
    <x v="2"/>
  </r>
  <r>
    <x v="46"/>
    <x v="2"/>
    <x v="0"/>
  </r>
  <r>
    <x v="47"/>
    <x v="0"/>
    <x v="1"/>
  </r>
  <r>
    <x v="78"/>
    <x v="1"/>
    <x v="2"/>
  </r>
  <r>
    <x v="48"/>
    <x v="3"/>
    <x v="2"/>
  </r>
  <r>
    <x v="49"/>
    <x v="1"/>
    <x v="0"/>
  </r>
  <r>
    <x v="49"/>
    <x v="1"/>
    <x v="2"/>
  </r>
  <r>
    <x v="50"/>
    <x v="1"/>
    <x v="1"/>
  </r>
  <r>
    <x v="51"/>
    <x v="2"/>
    <x v="2"/>
  </r>
  <r>
    <x v="92"/>
    <x v="2"/>
    <x v="0"/>
  </r>
  <r>
    <x v="53"/>
    <x v="4"/>
    <x v="0"/>
  </r>
  <r>
    <x v="54"/>
    <x v="3"/>
    <x v="1"/>
  </r>
  <r>
    <x v="93"/>
    <x v="4"/>
    <x v="3"/>
  </r>
  <r>
    <x v="93"/>
    <x v="4"/>
    <x v="1"/>
  </r>
  <r>
    <x v="93"/>
    <x v="4"/>
    <x v="1"/>
  </r>
  <r>
    <x v="93"/>
    <x v="4"/>
    <x v="2"/>
  </r>
  <r>
    <x v="56"/>
    <x v="0"/>
    <x v="3"/>
  </r>
  <r>
    <x v="57"/>
    <x v="2"/>
    <x v="3"/>
  </r>
  <r>
    <x v="79"/>
    <x v="2"/>
    <x v="3"/>
  </r>
  <r>
    <x v="79"/>
    <x v="2"/>
    <x v="2"/>
  </r>
  <r>
    <x v="94"/>
    <x v="4"/>
    <x v="2"/>
  </r>
  <r>
    <x v="94"/>
    <x v="4"/>
    <x v="2"/>
  </r>
  <r>
    <x v="98"/>
    <x v="4"/>
    <x v="2"/>
  </r>
  <r>
    <x v="0"/>
    <x v="0"/>
    <x v="3"/>
  </r>
  <r>
    <x v="0"/>
    <x v="0"/>
    <x v="0"/>
  </r>
  <r>
    <x v="61"/>
    <x v="4"/>
    <x v="2"/>
  </r>
  <r>
    <x v="61"/>
    <x v="4"/>
    <x v="3"/>
  </r>
  <r>
    <x v="61"/>
    <x v="4"/>
    <x v="0"/>
  </r>
  <r>
    <x v="61"/>
    <x v="4"/>
    <x v="2"/>
  </r>
  <r>
    <x v="2"/>
    <x v="0"/>
    <x v="3"/>
  </r>
  <r>
    <x v="2"/>
    <x v="0"/>
    <x v="2"/>
  </r>
  <r>
    <x v="3"/>
    <x v="2"/>
    <x v="0"/>
  </r>
  <r>
    <x v="3"/>
    <x v="2"/>
    <x v="1"/>
  </r>
  <r>
    <x v="4"/>
    <x v="3"/>
    <x v="3"/>
  </r>
  <r>
    <x v="5"/>
    <x v="2"/>
    <x v="0"/>
  </r>
  <r>
    <x v="5"/>
    <x v="2"/>
    <x v="1"/>
  </r>
  <r>
    <x v="5"/>
    <x v="2"/>
    <x v="1"/>
  </r>
  <r>
    <x v="5"/>
    <x v="2"/>
    <x v="2"/>
  </r>
  <r>
    <x v="82"/>
    <x v="3"/>
    <x v="0"/>
  </r>
  <r>
    <x v="82"/>
    <x v="3"/>
    <x v="3"/>
  </r>
  <r>
    <x v="6"/>
    <x v="2"/>
    <x v="2"/>
  </r>
  <r>
    <x v="6"/>
    <x v="2"/>
    <x v="0"/>
  </r>
  <r>
    <x v="6"/>
    <x v="2"/>
    <x v="0"/>
  </r>
  <r>
    <x v="7"/>
    <x v="1"/>
    <x v="0"/>
  </r>
  <r>
    <x v="8"/>
    <x v="2"/>
    <x v="2"/>
  </r>
  <r>
    <x v="63"/>
    <x v="3"/>
    <x v="3"/>
  </r>
  <r>
    <x v="9"/>
    <x v="3"/>
    <x v="0"/>
  </r>
  <r>
    <x v="10"/>
    <x v="4"/>
    <x v="3"/>
  </r>
  <r>
    <x v="10"/>
    <x v="4"/>
    <x v="0"/>
  </r>
  <r>
    <x v="10"/>
    <x v="4"/>
    <x v="1"/>
  </r>
  <r>
    <x v="11"/>
    <x v="1"/>
    <x v="3"/>
  </r>
  <r>
    <x v="11"/>
    <x v="1"/>
    <x v="3"/>
  </r>
  <r>
    <x v="99"/>
    <x v="1"/>
    <x v="1"/>
  </r>
  <r>
    <x v="13"/>
    <x v="3"/>
    <x v="2"/>
  </r>
  <r>
    <x v="13"/>
    <x v="3"/>
    <x v="2"/>
  </r>
  <r>
    <x v="65"/>
    <x v="1"/>
    <x v="3"/>
  </r>
  <r>
    <x v="66"/>
    <x v="2"/>
    <x v="2"/>
  </r>
  <r>
    <x v="66"/>
    <x v="2"/>
    <x v="3"/>
  </r>
  <r>
    <x v="15"/>
    <x v="4"/>
    <x v="3"/>
  </r>
  <r>
    <x v="15"/>
    <x v="4"/>
    <x v="2"/>
  </r>
  <r>
    <x v="16"/>
    <x v="1"/>
    <x v="3"/>
  </r>
  <r>
    <x v="16"/>
    <x v="1"/>
    <x v="2"/>
  </r>
  <r>
    <x v="17"/>
    <x v="3"/>
    <x v="2"/>
  </r>
  <r>
    <x v="17"/>
    <x v="3"/>
    <x v="0"/>
  </r>
  <r>
    <x v="17"/>
    <x v="3"/>
    <x v="3"/>
  </r>
  <r>
    <x v="18"/>
    <x v="3"/>
    <x v="3"/>
  </r>
  <r>
    <x v="18"/>
    <x v="3"/>
    <x v="2"/>
  </r>
  <r>
    <x v="19"/>
    <x v="2"/>
    <x v="0"/>
  </r>
  <r>
    <x v="20"/>
    <x v="4"/>
    <x v="2"/>
  </r>
  <r>
    <x v="20"/>
    <x v="4"/>
    <x v="2"/>
  </r>
  <r>
    <x v="20"/>
    <x v="4"/>
    <x v="3"/>
  </r>
  <r>
    <x v="95"/>
    <x v="3"/>
    <x v="0"/>
  </r>
  <r>
    <x v="21"/>
    <x v="4"/>
    <x v="2"/>
  </r>
  <r>
    <x v="96"/>
    <x v="2"/>
    <x v="1"/>
  </r>
  <r>
    <x v="96"/>
    <x v="2"/>
    <x v="3"/>
  </r>
  <r>
    <x v="22"/>
    <x v="4"/>
    <x v="2"/>
  </r>
  <r>
    <x v="22"/>
    <x v="4"/>
    <x v="2"/>
  </r>
  <r>
    <x v="22"/>
    <x v="4"/>
    <x v="3"/>
  </r>
  <r>
    <x v="68"/>
    <x v="4"/>
    <x v="3"/>
  </r>
  <r>
    <x v="68"/>
    <x v="4"/>
    <x v="3"/>
  </r>
  <r>
    <x v="68"/>
    <x v="4"/>
    <x v="3"/>
  </r>
  <r>
    <x v="69"/>
    <x v="2"/>
    <x v="3"/>
  </r>
  <r>
    <x v="69"/>
    <x v="2"/>
    <x v="3"/>
  </r>
  <r>
    <x v="23"/>
    <x v="2"/>
    <x v="1"/>
  </r>
  <r>
    <x v="24"/>
    <x v="3"/>
    <x v="2"/>
  </r>
  <r>
    <x v="24"/>
    <x v="3"/>
    <x v="0"/>
  </r>
  <r>
    <x v="26"/>
    <x v="0"/>
    <x v="2"/>
  </r>
  <r>
    <x v="26"/>
    <x v="0"/>
    <x v="3"/>
  </r>
  <r>
    <x v="27"/>
    <x v="3"/>
    <x v="3"/>
  </r>
  <r>
    <x v="84"/>
    <x v="4"/>
    <x v="3"/>
  </r>
  <r>
    <x v="85"/>
    <x v="2"/>
    <x v="0"/>
  </r>
  <r>
    <x v="70"/>
    <x v="3"/>
    <x v="1"/>
  </r>
  <r>
    <x v="70"/>
    <x v="3"/>
    <x v="1"/>
  </r>
  <r>
    <x v="29"/>
    <x v="2"/>
    <x v="1"/>
  </r>
  <r>
    <x v="30"/>
    <x v="1"/>
    <x v="0"/>
  </r>
  <r>
    <x v="86"/>
    <x v="2"/>
    <x v="3"/>
  </r>
  <r>
    <x v="32"/>
    <x v="3"/>
    <x v="1"/>
  </r>
  <r>
    <x v="97"/>
    <x v="0"/>
    <x v="0"/>
  </r>
  <r>
    <x v="97"/>
    <x v="0"/>
    <x v="2"/>
  </r>
  <r>
    <x v="33"/>
    <x v="0"/>
    <x v="0"/>
  </r>
  <r>
    <x v="87"/>
    <x v="2"/>
    <x v="0"/>
  </r>
  <r>
    <x v="34"/>
    <x v="4"/>
    <x v="0"/>
  </r>
  <r>
    <x v="37"/>
    <x v="0"/>
    <x v="2"/>
  </r>
  <r>
    <x v="37"/>
    <x v="0"/>
    <x v="1"/>
  </r>
  <r>
    <x v="37"/>
    <x v="0"/>
    <x v="2"/>
  </r>
  <r>
    <x v="38"/>
    <x v="4"/>
    <x v="0"/>
  </r>
  <r>
    <x v="38"/>
    <x v="4"/>
    <x v="0"/>
  </r>
  <r>
    <x v="38"/>
    <x v="4"/>
    <x v="1"/>
  </r>
  <r>
    <x v="88"/>
    <x v="1"/>
    <x v="3"/>
  </r>
  <r>
    <x v="39"/>
    <x v="3"/>
    <x v="2"/>
  </r>
  <r>
    <x v="39"/>
    <x v="3"/>
    <x v="0"/>
  </r>
  <r>
    <x v="89"/>
    <x v="1"/>
    <x v="2"/>
  </r>
  <r>
    <x v="40"/>
    <x v="1"/>
    <x v="1"/>
  </r>
  <r>
    <x v="40"/>
    <x v="1"/>
    <x v="2"/>
  </r>
  <r>
    <x v="41"/>
    <x v="2"/>
    <x v="3"/>
  </r>
  <r>
    <x v="41"/>
    <x v="2"/>
    <x v="2"/>
  </r>
  <r>
    <x v="43"/>
    <x v="4"/>
    <x v="0"/>
  </r>
  <r>
    <x v="43"/>
    <x v="4"/>
    <x v="3"/>
  </r>
  <r>
    <x v="44"/>
    <x v="3"/>
    <x v="2"/>
  </r>
  <r>
    <x v="44"/>
    <x v="3"/>
    <x v="2"/>
  </r>
  <r>
    <x v="90"/>
    <x v="4"/>
    <x v="0"/>
  </r>
  <r>
    <x v="74"/>
    <x v="4"/>
    <x v="3"/>
  </r>
  <r>
    <x v="75"/>
    <x v="1"/>
    <x v="2"/>
  </r>
  <r>
    <x v="75"/>
    <x v="1"/>
    <x v="1"/>
  </r>
  <r>
    <x v="76"/>
    <x v="1"/>
    <x v="3"/>
  </r>
  <r>
    <x v="77"/>
    <x v="4"/>
    <x v="2"/>
  </r>
  <r>
    <x v="77"/>
    <x v="4"/>
    <x v="2"/>
  </r>
  <r>
    <x v="77"/>
    <x v="4"/>
    <x v="2"/>
  </r>
  <r>
    <x v="45"/>
    <x v="2"/>
    <x v="3"/>
  </r>
  <r>
    <x v="45"/>
    <x v="2"/>
    <x v="2"/>
  </r>
  <r>
    <x v="46"/>
    <x v="2"/>
    <x v="2"/>
  </r>
  <r>
    <x v="46"/>
    <x v="2"/>
    <x v="3"/>
  </r>
  <r>
    <x v="47"/>
    <x v="0"/>
    <x v="1"/>
  </r>
  <r>
    <x v="47"/>
    <x v="0"/>
    <x v="1"/>
  </r>
  <r>
    <x v="78"/>
    <x v="1"/>
    <x v="1"/>
  </r>
  <r>
    <x v="78"/>
    <x v="1"/>
    <x v="3"/>
  </r>
  <r>
    <x v="78"/>
    <x v="1"/>
    <x v="0"/>
  </r>
  <r>
    <x v="48"/>
    <x v="3"/>
    <x v="1"/>
  </r>
  <r>
    <x v="49"/>
    <x v="1"/>
    <x v="3"/>
  </r>
  <r>
    <x v="50"/>
    <x v="1"/>
    <x v="2"/>
  </r>
  <r>
    <x v="50"/>
    <x v="1"/>
    <x v="3"/>
  </r>
  <r>
    <x v="92"/>
    <x v="2"/>
    <x v="3"/>
  </r>
  <r>
    <x v="57"/>
    <x v="2"/>
    <x v="0"/>
  </r>
  <r>
    <x v="94"/>
    <x v="4"/>
    <x v="0"/>
  </r>
  <r>
    <x v="94"/>
    <x v="4"/>
    <x v="2"/>
  </r>
  <r>
    <x v="94"/>
    <x v="4"/>
    <x v="3"/>
  </r>
  <r>
    <x v="94"/>
    <x v="4"/>
    <x v="2"/>
  </r>
  <r>
    <x v="80"/>
    <x v="1"/>
    <x v="3"/>
  </r>
  <r>
    <x v="80"/>
    <x v="1"/>
    <x v="1"/>
  </r>
  <r>
    <x v="98"/>
    <x v="4"/>
    <x v="1"/>
  </r>
  <r>
    <x v="98"/>
    <x v="4"/>
    <x v="1"/>
  </r>
  <r>
    <x v="81"/>
    <x v="3"/>
    <x v="3"/>
  </r>
  <r>
    <x v="0"/>
    <x v="0"/>
    <x v="0"/>
  </r>
  <r>
    <x v="61"/>
    <x v="4"/>
    <x v="3"/>
  </r>
  <r>
    <x v="1"/>
    <x v="1"/>
    <x v="3"/>
  </r>
  <r>
    <x v="62"/>
    <x v="4"/>
    <x v="3"/>
  </r>
  <r>
    <x v="2"/>
    <x v="0"/>
    <x v="1"/>
  </r>
  <r>
    <x v="4"/>
    <x v="3"/>
    <x v="0"/>
  </r>
  <r>
    <x v="6"/>
    <x v="2"/>
    <x v="3"/>
  </r>
  <r>
    <x v="8"/>
    <x v="2"/>
    <x v="2"/>
  </r>
  <r>
    <x v="64"/>
    <x v="2"/>
    <x v="0"/>
  </r>
  <r>
    <x v="10"/>
    <x v="4"/>
    <x v="0"/>
  </r>
  <r>
    <x v="10"/>
    <x v="4"/>
    <x v="2"/>
  </r>
  <r>
    <x v="11"/>
    <x v="1"/>
    <x v="1"/>
  </r>
  <r>
    <x v="11"/>
    <x v="1"/>
    <x v="2"/>
  </r>
  <r>
    <x v="12"/>
    <x v="2"/>
    <x v="1"/>
  </r>
  <r>
    <x v="99"/>
    <x v="1"/>
    <x v="1"/>
  </r>
  <r>
    <x v="13"/>
    <x v="3"/>
    <x v="2"/>
  </r>
  <r>
    <x v="13"/>
    <x v="3"/>
    <x v="3"/>
  </r>
  <r>
    <x v="13"/>
    <x v="3"/>
    <x v="2"/>
  </r>
  <r>
    <x v="13"/>
    <x v="3"/>
    <x v="3"/>
  </r>
  <r>
    <x v="65"/>
    <x v="1"/>
    <x v="0"/>
  </r>
  <r>
    <x v="66"/>
    <x v="2"/>
    <x v="1"/>
  </r>
  <r>
    <x v="67"/>
    <x v="0"/>
    <x v="2"/>
  </r>
  <r>
    <x v="14"/>
    <x v="1"/>
    <x v="0"/>
  </r>
  <r>
    <x v="14"/>
    <x v="1"/>
    <x v="1"/>
  </r>
  <r>
    <x v="15"/>
    <x v="4"/>
    <x v="3"/>
  </r>
  <r>
    <x v="15"/>
    <x v="4"/>
    <x v="1"/>
  </r>
  <r>
    <x v="15"/>
    <x v="4"/>
    <x v="1"/>
  </r>
  <r>
    <x v="17"/>
    <x v="3"/>
    <x v="1"/>
  </r>
  <r>
    <x v="17"/>
    <x v="3"/>
    <x v="8"/>
  </r>
  <r>
    <x v="18"/>
    <x v="3"/>
    <x v="3"/>
  </r>
  <r>
    <x v="19"/>
    <x v="2"/>
    <x v="0"/>
  </r>
  <r>
    <x v="19"/>
    <x v="2"/>
    <x v="0"/>
  </r>
  <r>
    <x v="19"/>
    <x v="2"/>
    <x v="1"/>
  </r>
  <r>
    <x v="20"/>
    <x v="4"/>
    <x v="1"/>
  </r>
  <r>
    <x v="95"/>
    <x v="3"/>
    <x v="1"/>
  </r>
  <r>
    <x v="21"/>
    <x v="4"/>
    <x v="1"/>
  </r>
  <r>
    <x v="96"/>
    <x v="2"/>
    <x v="2"/>
  </r>
  <r>
    <x v="96"/>
    <x v="2"/>
    <x v="3"/>
  </r>
  <r>
    <x v="22"/>
    <x v="4"/>
    <x v="2"/>
  </r>
  <r>
    <x v="68"/>
    <x v="4"/>
    <x v="1"/>
  </r>
  <r>
    <x v="68"/>
    <x v="4"/>
    <x v="2"/>
  </r>
  <r>
    <x v="69"/>
    <x v="2"/>
    <x v="2"/>
  </r>
  <r>
    <x v="23"/>
    <x v="2"/>
    <x v="3"/>
  </r>
  <r>
    <x v="24"/>
    <x v="3"/>
    <x v="1"/>
  </r>
  <r>
    <x v="24"/>
    <x v="3"/>
    <x v="0"/>
  </r>
  <r>
    <x v="83"/>
    <x v="4"/>
    <x v="1"/>
  </r>
  <r>
    <x v="83"/>
    <x v="4"/>
    <x v="0"/>
  </r>
  <r>
    <x v="27"/>
    <x v="3"/>
    <x v="3"/>
  </r>
  <r>
    <x v="27"/>
    <x v="3"/>
    <x v="0"/>
  </r>
  <r>
    <x v="85"/>
    <x v="2"/>
    <x v="3"/>
  </r>
  <r>
    <x v="85"/>
    <x v="2"/>
    <x v="1"/>
  </r>
  <r>
    <x v="29"/>
    <x v="2"/>
    <x v="0"/>
  </r>
  <r>
    <x v="31"/>
    <x v="1"/>
    <x v="3"/>
  </r>
  <r>
    <x v="31"/>
    <x v="1"/>
    <x v="3"/>
  </r>
  <r>
    <x v="86"/>
    <x v="2"/>
    <x v="2"/>
  </r>
  <r>
    <x v="86"/>
    <x v="2"/>
    <x v="2"/>
  </r>
  <r>
    <x v="97"/>
    <x v="0"/>
    <x v="1"/>
  </r>
  <r>
    <x v="33"/>
    <x v="0"/>
    <x v="2"/>
  </r>
  <r>
    <x v="71"/>
    <x v="0"/>
    <x v="1"/>
  </r>
  <r>
    <x v="35"/>
    <x v="0"/>
    <x v="1"/>
  </r>
  <r>
    <x v="37"/>
    <x v="0"/>
    <x v="0"/>
  </r>
  <r>
    <x v="37"/>
    <x v="0"/>
    <x v="1"/>
  </r>
  <r>
    <x v="38"/>
    <x v="4"/>
    <x v="3"/>
  </r>
  <r>
    <x v="88"/>
    <x v="1"/>
    <x v="0"/>
  </r>
  <r>
    <x v="40"/>
    <x v="1"/>
    <x v="2"/>
  </r>
  <r>
    <x v="73"/>
    <x v="0"/>
    <x v="0"/>
  </r>
  <r>
    <x v="73"/>
    <x v="0"/>
    <x v="3"/>
  </r>
  <r>
    <x v="73"/>
    <x v="0"/>
    <x v="3"/>
  </r>
  <r>
    <x v="41"/>
    <x v="2"/>
    <x v="0"/>
  </r>
  <r>
    <x v="42"/>
    <x v="2"/>
    <x v="3"/>
  </r>
  <r>
    <x v="43"/>
    <x v="4"/>
    <x v="3"/>
  </r>
  <r>
    <x v="44"/>
    <x v="3"/>
    <x v="2"/>
  </r>
  <r>
    <x v="44"/>
    <x v="3"/>
    <x v="2"/>
  </r>
  <r>
    <x v="74"/>
    <x v="4"/>
    <x v="2"/>
  </r>
  <r>
    <x v="76"/>
    <x v="1"/>
    <x v="2"/>
  </r>
  <r>
    <x v="76"/>
    <x v="1"/>
    <x v="2"/>
  </r>
  <r>
    <x v="77"/>
    <x v="4"/>
    <x v="0"/>
  </r>
  <r>
    <x v="91"/>
    <x v="1"/>
    <x v="0"/>
  </r>
  <r>
    <x v="45"/>
    <x v="2"/>
    <x v="3"/>
  </r>
  <r>
    <x v="46"/>
    <x v="2"/>
    <x v="2"/>
  </r>
  <r>
    <x v="47"/>
    <x v="0"/>
    <x v="3"/>
  </r>
  <r>
    <x v="49"/>
    <x v="1"/>
    <x v="0"/>
  </r>
  <r>
    <x v="50"/>
    <x v="1"/>
    <x v="0"/>
  </r>
  <r>
    <x v="50"/>
    <x v="1"/>
    <x v="1"/>
  </r>
  <r>
    <x v="52"/>
    <x v="0"/>
    <x v="0"/>
  </r>
  <r>
    <x v="92"/>
    <x v="2"/>
    <x v="3"/>
  </r>
  <r>
    <x v="92"/>
    <x v="2"/>
    <x v="1"/>
  </r>
  <r>
    <x v="54"/>
    <x v="3"/>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5">
  <r>
    <x v="0"/>
    <s v="Gibson, Hobbs and Weaver"/>
    <s v="Electronics"/>
    <n v="1"/>
    <n v="362.93"/>
    <n v="0.27"/>
    <n v="264.93889999999999"/>
    <x v="0"/>
  </r>
  <r>
    <x v="1"/>
    <s v="Rice LLC"/>
    <s v="Beauty"/>
    <n v="1"/>
    <n v="145.47999999999999"/>
    <n v="0.1"/>
    <n v="130.93199999999999"/>
    <x v="1"/>
  </r>
  <r>
    <x v="2"/>
    <s v="Rice LLC"/>
    <s v="Beauty"/>
    <n v="1"/>
    <n v="281.83"/>
    <n v="0.16"/>
    <n v="236.7372"/>
    <x v="1"/>
  </r>
  <r>
    <x v="3"/>
    <s v="Rice LLC"/>
    <s v="Beauty"/>
    <n v="2"/>
    <n v="687.35"/>
    <n v="0.2"/>
    <n v="1099.76"/>
    <x v="1"/>
  </r>
  <r>
    <x v="4"/>
    <s v="Luna, Anderson and Bowman"/>
    <s v="Home"/>
    <n v="4"/>
    <n v="452.67"/>
    <n v="0.28000000000000003"/>
    <n v="1303.6895999999999"/>
    <x v="2"/>
  </r>
  <r>
    <x v="5"/>
    <s v="Luna, Anderson and Bowman"/>
    <s v="Home"/>
    <n v="2"/>
    <n v="779.29"/>
    <n v="0.12"/>
    <n v="1371.5504000000001"/>
    <x v="1"/>
  </r>
  <r>
    <x v="6"/>
    <s v="Erickson-Green"/>
    <s v="Beauty"/>
    <n v="1"/>
    <n v="791.36"/>
    <n v="0.06"/>
    <n v="743.87839999999994"/>
    <x v="2"/>
  </r>
  <r>
    <x v="7"/>
    <s v="Erickson-Green"/>
    <s v="Beauty"/>
    <n v="3"/>
    <n v="168.89"/>
    <n v="0.03"/>
    <n v="491.46989999999988"/>
    <x v="1"/>
  </r>
  <r>
    <x v="8"/>
    <s v="Ford, Murphy and Wilson"/>
    <s v="Sports"/>
    <n v="4"/>
    <n v="469.68"/>
    <n v="0.19"/>
    <n v="1521.7632000000001"/>
    <x v="0"/>
  </r>
  <r>
    <x v="9"/>
    <s v="Ford, Murphy and Wilson"/>
    <s v="Sports"/>
    <n v="1"/>
    <n v="465.63"/>
    <n v="0.25"/>
    <n v="349.22250000000003"/>
    <x v="0"/>
  </r>
  <r>
    <x v="10"/>
    <s v="Guerra-Hendrix"/>
    <s v="Clothing"/>
    <n v="1"/>
    <n v="917.17"/>
    <n v="0.13"/>
    <n v="797.93790000000001"/>
    <x v="1"/>
  </r>
  <r>
    <x v="11"/>
    <s v="May-Reese"/>
    <s v="Sports"/>
    <n v="1"/>
    <n v="346.2"/>
    <n v="0.28999999999999998"/>
    <n v="245.80199999999999"/>
    <x v="0"/>
  </r>
  <r>
    <x v="12"/>
    <s v="Soto-Ellis"/>
    <s v="Sports"/>
    <n v="4"/>
    <n v="585.45000000000005"/>
    <n v="0.25"/>
    <n v="1756.35"/>
    <x v="1"/>
  </r>
  <r>
    <x v="13"/>
    <s v="Gardner-Montes"/>
    <s v="Home"/>
    <n v="1"/>
    <n v="242.08"/>
    <n v="0.18"/>
    <n v="198.50559999999999"/>
    <x v="2"/>
  </r>
  <r>
    <x v="14"/>
    <s v="Gardner-Montes"/>
    <s v="Home"/>
    <n v="4"/>
    <n v="276.23"/>
    <n v="0.12"/>
    <n v="972.32960000000003"/>
    <x v="0"/>
  </r>
  <r>
    <x v="15"/>
    <s v="Gardner-Montes"/>
    <s v="Home"/>
    <n v="2"/>
    <n v="347.95"/>
    <n v="0.13"/>
    <n v="605.43299999999999"/>
    <x v="1"/>
  </r>
  <r>
    <x v="16"/>
    <s v="Flores, Pineda and Rodriguez"/>
    <s v="Sports"/>
    <n v="1"/>
    <n v="588.92999999999995"/>
    <n v="0.03"/>
    <n v="571.26209999999992"/>
    <x v="1"/>
  </r>
  <r>
    <x v="17"/>
    <s v="Brown and Sons"/>
    <s v="Clothing"/>
    <n v="2"/>
    <n v="596.84"/>
    <n v="0.01"/>
    <n v="1181.7431999999999"/>
    <x v="2"/>
  </r>
  <r>
    <x v="18"/>
    <s v="Reed-Schmidt"/>
    <s v="Electronics"/>
    <n v="2"/>
    <n v="614.21"/>
    <n v="0.11"/>
    <n v="1093.2937999999999"/>
    <x v="2"/>
  </r>
  <r>
    <x v="19"/>
    <s v="Khan, Jones and Paul"/>
    <s v="Home"/>
    <n v="3"/>
    <n v="158.72"/>
    <n v="0.13"/>
    <n v="414.25920000000002"/>
    <x v="0"/>
  </r>
  <r>
    <x v="20"/>
    <s v="Khan, Jones and Paul"/>
    <s v="Home"/>
    <n v="1"/>
    <n v="640.92999999999995"/>
    <n v="0.19"/>
    <n v="519.15329999999994"/>
    <x v="2"/>
  </r>
  <r>
    <x v="21"/>
    <s v="Burns-Hansen"/>
    <s v="Sports"/>
    <n v="1"/>
    <n v="143.69999999999999"/>
    <n v="0.19"/>
    <n v="116.39700000000001"/>
    <x v="2"/>
  </r>
  <r>
    <x v="22"/>
    <s v="Pineda Ltd"/>
    <s v="Clothing"/>
    <n v="3"/>
    <n v="476.1"/>
    <n v="0.05"/>
    <n v="1356.885"/>
    <x v="1"/>
  </r>
  <r>
    <x v="23"/>
    <s v="Weiss-Watson"/>
    <s v="Home"/>
    <n v="2"/>
    <n v="873.17"/>
    <n v="0.23"/>
    <n v="1344.6818000000001"/>
    <x v="2"/>
  </r>
  <r>
    <x v="24"/>
    <s v="Lucero LLC"/>
    <s v="Electronics"/>
    <n v="4"/>
    <n v="741.88"/>
    <n v="0.02"/>
    <n v="2908.1696000000002"/>
    <x v="1"/>
  </r>
  <r>
    <x v="25"/>
    <s v="Lucero LLC"/>
    <s v="Electronics"/>
    <n v="1"/>
    <n v="905.5"/>
    <n v="0.28999999999999998"/>
    <n v="642.90499999999997"/>
    <x v="1"/>
  </r>
  <r>
    <x v="26"/>
    <s v="Jones LLC"/>
    <s v="Home"/>
    <n v="2"/>
    <n v="961.68"/>
    <n v="0.27"/>
    <n v="1404.0527999999999"/>
    <x v="2"/>
  </r>
  <r>
    <x v="27"/>
    <s v="Smith-Mills"/>
    <s v="Clothing"/>
    <n v="2"/>
    <n v="324.18"/>
    <n v="0.06"/>
    <n v="609.45839999999998"/>
    <x v="1"/>
  </r>
  <r>
    <x v="28"/>
    <s v="Smith-Mills"/>
    <s v="Clothing"/>
    <n v="1"/>
    <n v="887.38"/>
    <n v="0.01"/>
    <n v="878.50620000000004"/>
    <x v="1"/>
  </r>
  <r>
    <x v="29"/>
    <s v="Hogan-Lee"/>
    <s v="Clothing"/>
    <n v="3"/>
    <n v="416.01"/>
    <n v="0.02"/>
    <n v="1223.0694000000001"/>
    <x v="0"/>
  </r>
  <r>
    <x v="30"/>
    <s v="Hogan-Lee"/>
    <s v="Clothing"/>
    <n v="4"/>
    <n v="747.01"/>
    <n v="0.13"/>
    <n v="2599.5947999999999"/>
    <x v="2"/>
  </r>
  <r>
    <x v="31"/>
    <s v="Sims-Smith"/>
    <s v="Sports"/>
    <n v="2"/>
    <n v="217.83"/>
    <n v="0.14000000000000001"/>
    <n v="374.66759999999999"/>
    <x v="2"/>
  </r>
  <r>
    <x v="32"/>
    <s v="Cummings and Sons"/>
    <s v="Electronics"/>
    <n v="3"/>
    <n v="158.27000000000001"/>
    <n v="0.24"/>
    <n v="360.85559999999998"/>
    <x v="1"/>
  </r>
  <r>
    <x v="33"/>
    <s v="Cummings and Sons"/>
    <s v="Electronics"/>
    <n v="1"/>
    <n v="609.29"/>
    <n v="0.15"/>
    <n v="517.89649999999995"/>
    <x v="0"/>
  </r>
  <r>
    <x v="34"/>
    <s v="Taylor-Hart"/>
    <s v="Electronics"/>
    <n v="1"/>
    <n v="70.52"/>
    <n v="0.08"/>
    <n v="64.878399999999999"/>
    <x v="1"/>
  </r>
  <r>
    <x v="35"/>
    <s v="Holmes LLC"/>
    <s v="Electronics"/>
    <n v="3"/>
    <n v="846.19"/>
    <n v="0.09"/>
    <n v="2310.0987"/>
    <x v="1"/>
  </r>
  <r>
    <x v="36"/>
    <s v="Holmes LLC"/>
    <s v="Electronics"/>
    <n v="2"/>
    <n v="700.95"/>
    <n v="0.18"/>
    <n v="1149.558"/>
    <x v="0"/>
  </r>
  <r>
    <x v="37"/>
    <s v="Holmes LLC"/>
    <s v="Electronics"/>
    <n v="1"/>
    <n v="878.84"/>
    <n v="0.28000000000000003"/>
    <n v="632.76480000000004"/>
    <x v="1"/>
  </r>
  <r>
    <x v="38"/>
    <s v="Bridges, Banks and Cummings"/>
    <s v="Sports"/>
    <n v="2"/>
    <n v="905.47"/>
    <n v="0.2"/>
    <n v="1448.752"/>
    <x v="1"/>
  </r>
  <r>
    <x v="39"/>
    <s v="Bridges, Banks and Cummings"/>
    <s v="Sports"/>
    <n v="2"/>
    <n v="522.16999999999996"/>
    <n v="0.27"/>
    <n v="762.36819999999989"/>
    <x v="0"/>
  </r>
  <r>
    <x v="40"/>
    <s v="Bridges, Banks and Cummings"/>
    <s v="Sports"/>
    <n v="3"/>
    <n v="201.05"/>
    <n v="0.23"/>
    <n v="464.42550000000011"/>
    <x v="2"/>
  </r>
  <r>
    <x v="41"/>
    <s v="Kelly, Smith and Perez"/>
    <s v="Clothing"/>
    <n v="2"/>
    <n v="157.91"/>
    <n v="0.09"/>
    <n v="287.39620000000002"/>
    <x v="1"/>
  </r>
  <r>
    <x v="42"/>
    <s v="Cook Inc"/>
    <s v="Beauty"/>
    <n v="1"/>
    <n v="503.95"/>
    <n v="0.26"/>
    <n v="372.923"/>
    <x v="1"/>
  </r>
  <r>
    <x v="43"/>
    <s v="Cook Inc"/>
    <s v="Beauty"/>
    <n v="4"/>
    <n v="92.35"/>
    <n v="0.15"/>
    <n v="313.99"/>
    <x v="0"/>
  </r>
  <r>
    <x v="44"/>
    <s v="Sullivan and Sons"/>
    <s v="Beauty"/>
    <n v="2"/>
    <n v="921.52"/>
    <n v="0"/>
    <n v="1843.04"/>
    <x v="2"/>
  </r>
  <r>
    <x v="45"/>
    <s v="Baldwin, Garza and Gonzalez"/>
    <s v="Clothing"/>
    <n v="4"/>
    <n v="477.83"/>
    <n v="0.05"/>
    <n v="1815.7539999999999"/>
    <x v="1"/>
  </r>
  <r>
    <x v="46"/>
    <s v="Smith-King"/>
    <s v="Sports"/>
    <n v="2"/>
    <n v="660.81"/>
    <n v="0.18"/>
    <n v="1083.7284"/>
    <x v="0"/>
  </r>
  <r>
    <x v="47"/>
    <s v="Thompson-French"/>
    <s v="Sports"/>
    <n v="1"/>
    <n v="447.16"/>
    <n v="0.22"/>
    <n v="348.78480000000002"/>
    <x v="1"/>
  </r>
  <r>
    <x v="48"/>
    <s v="Hatfield, Baird and Torres"/>
    <s v="Home"/>
    <n v="2"/>
    <n v="911.14"/>
    <n v="0.1"/>
    <n v="1640.0519999999999"/>
    <x v="0"/>
  </r>
  <r>
    <x v="49"/>
    <s v="Hernandez, Kennedy and Porter"/>
    <s v="Home"/>
    <n v="4"/>
    <n v="827.39"/>
    <n v="0.06"/>
    <n v="3110.9863999999998"/>
    <x v="1"/>
  </r>
  <r>
    <x v="50"/>
    <s v="Hernandez, Kennedy and Porter"/>
    <s v="Home"/>
    <n v="3"/>
    <n v="247.41"/>
    <n v="0.05"/>
    <n v="705.11850000000004"/>
    <x v="1"/>
  </r>
  <r>
    <x v="25"/>
    <s v="Shepherd-Gould"/>
    <s v="Clothing"/>
    <n v="3"/>
    <n v="130.41"/>
    <n v="0.14000000000000001"/>
    <n v="336.45780000000002"/>
    <x v="2"/>
  </r>
  <r>
    <x v="51"/>
    <s v="Davidson PLC"/>
    <s v="Beauty"/>
    <n v="4"/>
    <n v="24.72"/>
    <n v="0.28000000000000003"/>
    <n v="71.193599999999989"/>
    <x v="0"/>
  </r>
  <r>
    <x v="52"/>
    <s v="Murray, Gould and Ware"/>
    <s v="Electronics"/>
    <n v="1"/>
    <n v="147.96"/>
    <n v="0.24"/>
    <n v="112.4496"/>
    <x v="1"/>
  </r>
  <r>
    <x v="53"/>
    <s v="Murray, Gould and Ware"/>
    <s v="Electronics"/>
    <n v="4"/>
    <n v="189.21"/>
    <n v="0.06"/>
    <n v="711.42959999999994"/>
    <x v="1"/>
  </r>
  <r>
    <x v="54"/>
    <s v="Anderson-Riley"/>
    <s v="Beauty"/>
    <n v="4"/>
    <n v="925.95"/>
    <n v="0.16"/>
    <n v="3111.192"/>
    <x v="1"/>
  </r>
  <r>
    <x v="55"/>
    <s v="Zhang Inc"/>
    <s v="Beauty"/>
    <n v="2"/>
    <n v="358.87"/>
    <n v="0.24"/>
    <n v="545.48239999999998"/>
    <x v="0"/>
  </r>
  <r>
    <x v="56"/>
    <s v="Zhang Inc"/>
    <s v="Beauty"/>
    <n v="3"/>
    <n v="713.95"/>
    <n v="0"/>
    <n v="2141.85"/>
    <x v="0"/>
  </r>
  <r>
    <x v="57"/>
    <s v="Zhang Inc"/>
    <s v="Beauty"/>
    <n v="4"/>
    <n v="179.62"/>
    <n v="0.05"/>
    <n v="682.55600000000004"/>
    <x v="0"/>
  </r>
  <r>
    <x v="58"/>
    <s v="Torres, Spencer and Potter"/>
    <s v="Beauty"/>
    <n v="1"/>
    <n v="570.52"/>
    <n v="0"/>
    <n v="570.52"/>
    <x v="2"/>
  </r>
  <r>
    <x v="59"/>
    <s v="Flores-Davis"/>
    <s v="Electronics"/>
    <n v="1"/>
    <n v="928.72"/>
    <n v="0.1"/>
    <n v="835.84800000000007"/>
    <x v="1"/>
  </r>
  <r>
    <x v="54"/>
    <s v="Flores-Davis"/>
    <s v="Electronics"/>
    <n v="1"/>
    <n v="305.70999999999998"/>
    <n v="0.26"/>
    <n v="226.22540000000001"/>
    <x v="1"/>
  </r>
  <r>
    <x v="60"/>
    <s v="Fitzpatrick Ltd"/>
    <s v="Clothing"/>
    <n v="4"/>
    <n v="305.95"/>
    <n v="0.08"/>
    <n v="1125.896"/>
    <x v="2"/>
  </r>
  <r>
    <x v="61"/>
    <s v="Duran Group"/>
    <s v="Home"/>
    <n v="1"/>
    <n v="479.58"/>
    <n v="0.05"/>
    <n v="455.60099999999989"/>
    <x v="2"/>
  </r>
  <r>
    <x v="62"/>
    <s v="Duran Group"/>
    <s v="Home"/>
    <n v="1"/>
    <n v="550.05999999999995"/>
    <n v="0.01"/>
    <n v="544.55939999999998"/>
    <x v="0"/>
  </r>
  <r>
    <x v="63"/>
    <s v="Davis PLC"/>
    <s v="Sports"/>
    <n v="1"/>
    <n v="61.11"/>
    <n v="0.1"/>
    <n v="54.999000000000002"/>
    <x v="2"/>
  </r>
  <r>
    <x v="64"/>
    <s v="Davis PLC"/>
    <s v="Sports"/>
    <n v="2"/>
    <n v="488.02"/>
    <n v="0.27"/>
    <n v="712.50919999999996"/>
    <x v="2"/>
  </r>
  <r>
    <x v="65"/>
    <s v="French Ltd"/>
    <s v="Sports"/>
    <n v="1"/>
    <n v="328.51"/>
    <n v="0.2"/>
    <n v="262.80799999999999"/>
    <x v="1"/>
  </r>
  <r>
    <x v="66"/>
    <s v="French Ltd"/>
    <s v="Sports"/>
    <n v="3"/>
    <n v="780.69"/>
    <n v="0.1"/>
    <n v="2107.8629999999998"/>
    <x v="1"/>
  </r>
  <r>
    <x v="67"/>
    <s v="Bruce-Bowen"/>
    <s v="Electronics"/>
    <n v="1"/>
    <n v="719.94"/>
    <n v="0.23"/>
    <n v="554.35380000000009"/>
    <x v="1"/>
  </r>
  <r>
    <x v="9"/>
    <s v="Poole PLC"/>
    <s v="Clothing"/>
    <n v="3"/>
    <n v="580.45000000000005"/>
    <n v="0"/>
    <n v="1741.35"/>
    <x v="2"/>
  </r>
  <r>
    <x v="68"/>
    <s v="Poole PLC"/>
    <s v="Clothing"/>
    <n v="1"/>
    <n v="676.26"/>
    <n v="0.14000000000000001"/>
    <n v="581.58359999999993"/>
    <x v="0"/>
  </r>
  <r>
    <x v="69"/>
    <s v="Robinson-Brown"/>
    <s v="Sports"/>
    <n v="2"/>
    <n v="773.75"/>
    <n v="0.16"/>
    <n v="1299.9000000000001"/>
    <x v="2"/>
  </r>
  <r>
    <x v="70"/>
    <s v="Reese-Watson"/>
    <s v="Sports"/>
    <n v="4"/>
    <n v="854.37"/>
    <n v="7.0000000000000007E-2"/>
    <n v="3178.2564000000002"/>
    <x v="2"/>
  </r>
  <r>
    <x v="71"/>
    <s v="Butler Group"/>
    <s v="Beauty"/>
    <n v="1"/>
    <n v="303.79000000000002"/>
    <n v="0.24"/>
    <n v="230.88040000000001"/>
    <x v="2"/>
  </r>
  <r>
    <x v="72"/>
    <s v="Butler Group"/>
    <s v="Beauty"/>
    <n v="3"/>
    <n v="63.96"/>
    <n v="0.02"/>
    <n v="188.04239999999999"/>
    <x v="0"/>
  </r>
  <r>
    <x v="73"/>
    <s v="Butler Group"/>
    <s v="Beauty"/>
    <n v="1"/>
    <n v="92.83"/>
    <n v="0.26"/>
    <n v="68.694199999999995"/>
    <x v="2"/>
  </r>
  <r>
    <x v="74"/>
    <s v="Richardson-Carrillo"/>
    <s v="Clothing"/>
    <n v="2"/>
    <n v="226.43"/>
    <n v="0.03"/>
    <n v="439.27420000000001"/>
    <x v="0"/>
  </r>
  <r>
    <x v="75"/>
    <s v="Richardson-Carrillo"/>
    <s v="Clothing"/>
    <n v="3"/>
    <n v="762"/>
    <n v="0.02"/>
    <n v="2240.2800000000002"/>
    <x v="2"/>
  </r>
  <r>
    <x v="76"/>
    <s v="Taylor, Dodson and Johnston"/>
    <s v="Home"/>
    <n v="1"/>
    <n v="227.35"/>
    <n v="0.06"/>
    <n v="213.709"/>
    <x v="1"/>
  </r>
  <r>
    <x v="14"/>
    <s v="Aguilar, Horton and Lewis"/>
    <s v="Home"/>
    <n v="3"/>
    <n v="693.42"/>
    <n v="0.08"/>
    <n v="1913.8391999999999"/>
    <x v="2"/>
  </r>
  <r>
    <x v="28"/>
    <s v="Aguilar, Horton and Lewis"/>
    <s v="Home"/>
    <n v="1"/>
    <n v="652.03"/>
    <n v="0.27"/>
    <n v="475.9819"/>
    <x v="0"/>
  </r>
  <r>
    <x v="77"/>
    <s v="Olsen-Daniels"/>
    <s v="Sports"/>
    <n v="4"/>
    <n v="370.09"/>
    <n v="0.22"/>
    <n v="1154.6808000000001"/>
    <x v="1"/>
  </r>
  <r>
    <x v="54"/>
    <s v="Taylor-Elliott"/>
    <s v="Beauty"/>
    <n v="2"/>
    <n v="121.67"/>
    <n v="0.08"/>
    <n v="223.87280000000001"/>
    <x v="1"/>
  </r>
  <r>
    <x v="78"/>
    <s v="Sharp, Taylor and Rodriguez"/>
    <s v="Electronics"/>
    <n v="3"/>
    <n v="65.569999999999993"/>
    <n v="0.3"/>
    <n v="137.697"/>
    <x v="1"/>
  </r>
  <r>
    <x v="79"/>
    <s v="Smith-Charles"/>
    <s v="Clothing"/>
    <n v="3"/>
    <n v="376.46"/>
    <n v="0.09"/>
    <n v="1027.7357999999999"/>
    <x v="1"/>
  </r>
  <r>
    <x v="30"/>
    <s v="Smith-Charles"/>
    <s v="Clothing"/>
    <n v="2"/>
    <n v="844.31"/>
    <n v="7.0000000000000007E-2"/>
    <n v="1570.4166"/>
    <x v="2"/>
  </r>
  <r>
    <x v="80"/>
    <s v="Smith-Charles"/>
    <s v="Clothing"/>
    <n v="4"/>
    <n v="289.77"/>
    <n v="0.06"/>
    <n v="1089.5352"/>
    <x v="2"/>
  </r>
  <r>
    <x v="81"/>
    <s v="Green, Powell and Palmer"/>
    <s v="Home"/>
    <n v="1"/>
    <n v="533.79999999999995"/>
    <n v="0.27"/>
    <n v="389.67399999999998"/>
    <x v="1"/>
  </r>
  <r>
    <x v="82"/>
    <s v="Green, Powell and Palmer"/>
    <s v="Home"/>
    <n v="1"/>
    <n v="681.47"/>
    <n v="0.15"/>
    <n v="579.24950000000001"/>
    <x v="0"/>
  </r>
  <r>
    <x v="83"/>
    <s v="Hoffman-Williams"/>
    <s v="Beauty"/>
    <n v="2"/>
    <n v="698.94"/>
    <n v="0.06"/>
    <n v="1314.0072"/>
    <x v="0"/>
  </r>
  <r>
    <x v="84"/>
    <s v="Wilson Group"/>
    <s v="Sports"/>
    <n v="2"/>
    <n v="264.39"/>
    <n v="0.11"/>
    <n v="470.61419999999998"/>
    <x v="1"/>
  </r>
  <r>
    <x v="67"/>
    <s v="Phillips and Sons"/>
    <s v="Clothing"/>
    <n v="3"/>
    <n v="330.98"/>
    <n v="0.11"/>
    <n v="883.71660000000008"/>
    <x v="0"/>
  </r>
  <r>
    <x v="85"/>
    <s v="Hamilton Group"/>
    <s v="Home"/>
    <n v="1"/>
    <n v="406.79"/>
    <n v="0.03"/>
    <n v="394.58629999999999"/>
    <x v="1"/>
  </r>
  <r>
    <x v="86"/>
    <s v="Gibson, Hobbs and Weaver"/>
    <s v="Electronics"/>
    <n v="4"/>
    <n v="972.14"/>
    <n v="0.25"/>
    <n v="2916.42"/>
    <x v="0"/>
  </r>
  <r>
    <x v="85"/>
    <s v="Rice LLC"/>
    <s v="Beauty"/>
    <n v="1"/>
    <n v="120.83"/>
    <n v="0.08"/>
    <n v="111.1636"/>
    <x v="0"/>
  </r>
  <r>
    <x v="87"/>
    <s v="Dawson-Perkins"/>
    <s v="Electronics"/>
    <n v="2"/>
    <n v="610.37"/>
    <n v="0.1"/>
    <n v="1098.6659999999999"/>
    <x v="2"/>
  </r>
  <r>
    <x v="88"/>
    <s v="Luna, Anderson and Bowman"/>
    <s v="Home"/>
    <n v="2"/>
    <n v="660.27"/>
    <n v="0.01"/>
    <n v="1307.3345999999999"/>
    <x v="2"/>
  </r>
  <r>
    <x v="25"/>
    <s v="Thomas LLC"/>
    <s v="Electronics"/>
    <n v="1"/>
    <n v="86.03"/>
    <n v="0.01"/>
    <n v="85.169700000000006"/>
    <x v="0"/>
  </r>
  <r>
    <x v="89"/>
    <s v="Thomas LLC"/>
    <s v="Electronics"/>
    <n v="4"/>
    <n v="479.11"/>
    <n v="0.24"/>
    <n v="1456.4944"/>
    <x v="2"/>
  </r>
  <r>
    <x v="90"/>
    <s v="Erickson-Green"/>
    <s v="Beauty"/>
    <n v="4"/>
    <n v="102.19"/>
    <n v="0.17"/>
    <n v="339.27080000000001"/>
    <x v="2"/>
  </r>
  <r>
    <x v="91"/>
    <s v="Ford, Murphy and Wilson"/>
    <s v="Sports"/>
    <n v="3"/>
    <n v="282.33"/>
    <n v="7.0000000000000007E-2"/>
    <n v="787.70069999999998"/>
    <x v="0"/>
  </r>
  <r>
    <x v="92"/>
    <s v="Ford, Murphy and Wilson"/>
    <s v="Sports"/>
    <n v="4"/>
    <n v="187.71"/>
    <n v="0.06"/>
    <n v="705.78959999999995"/>
    <x v="1"/>
  </r>
  <r>
    <x v="93"/>
    <s v="Ford, Murphy and Wilson"/>
    <s v="Sports"/>
    <n v="4"/>
    <n v="353.67"/>
    <n v="0.03"/>
    <n v="1372.2396000000001"/>
    <x v="1"/>
  </r>
  <r>
    <x v="94"/>
    <s v="Ford, Murphy and Wilson"/>
    <s v="Sports"/>
    <n v="3"/>
    <n v="401.42"/>
    <n v="0.01"/>
    <n v="1192.2174"/>
    <x v="1"/>
  </r>
  <r>
    <x v="95"/>
    <s v="Guerra-Hendrix"/>
    <s v="Clothing"/>
    <n v="1"/>
    <n v="691.38"/>
    <n v="0.11"/>
    <n v="615.32820000000004"/>
    <x v="1"/>
  </r>
  <r>
    <x v="8"/>
    <s v="May-Reese"/>
    <s v="Sports"/>
    <n v="3"/>
    <n v="79.95"/>
    <n v="0.2"/>
    <n v="191.88"/>
    <x v="1"/>
  </r>
  <r>
    <x v="96"/>
    <s v="Soto-Ellis"/>
    <s v="Sports"/>
    <n v="3"/>
    <n v="684.22"/>
    <n v="0.09"/>
    <n v="1867.9205999999999"/>
    <x v="0"/>
  </r>
  <r>
    <x v="97"/>
    <s v="Gardner-Montes"/>
    <s v="Home"/>
    <n v="1"/>
    <n v="486.39"/>
    <n v="0.09"/>
    <n v="442.61489999999998"/>
    <x v="1"/>
  </r>
  <r>
    <x v="45"/>
    <s v="Gardner-Montes"/>
    <s v="Home"/>
    <n v="3"/>
    <n v="614.63"/>
    <n v="0.06"/>
    <n v="1733.2565999999999"/>
    <x v="2"/>
  </r>
  <r>
    <x v="98"/>
    <s v="Moon, Mora and Santos"/>
    <s v="Clothing"/>
    <n v="2"/>
    <n v="54.51"/>
    <n v="7.0000000000000007E-2"/>
    <n v="101.3886"/>
    <x v="0"/>
  </r>
  <r>
    <x v="99"/>
    <s v="Moon, Mora and Santos"/>
    <s v="Clothing"/>
    <n v="3"/>
    <n v="688.76"/>
    <n v="0.12"/>
    <n v="1818.3263999999999"/>
    <x v="2"/>
  </r>
  <r>
    <x v="100"/>
    <s v="Cook Ltd"/>
    <s v="Sports"/>
    <n v="2"/>
    <n v="679.86"/>
    <n v="0.22"/>
    <n v="1060.5816"/>
    <x v="1"/>
  </r>
  <r>
    <x v="101"/>
    <s v="Cook Ltd"/>
    <s v="Sports"/>
    <n v="4"/>
    <n v="996.85"/>
    <n v="0.24"/>
    <n v="3030.424"/>
    <x v="2"/>
  </r>
  <r>
    <x v="102"/>
    <s v="Reed-Schmidt"/>
    <s v="Electronics"/>
    <n v="4"/>
    <n v="90.32"/>
    <n v="0.08"/>
    <n v="332.37759999999997"/>
    <x v="2"/>
  </r>
  <r>
    <x v="31"/>
    <s v="Burns-Hansen"/>
    <s v="Sports"/>
    <n v="3"/>
    <n v="205.34"/>
    <n v="0.25"/>
    <n v="462.01499999999999"/>
    <x v="0"/>
  </r>
  <r>
    <x v="76"/>
    <s v="Burns-Hansen"/>
    <s v="Sports"/>
    <n v="1"/>
    <n v="182.28"/>
    <n v="0.15"/>
    <n v="154.93799999999999"/>
    <x v="1"/>
  </r>
  <r>
    <x v="103"/>
    <s v="Pineda Ltd"/>
    <s v="Clothing"/>
    <n v="2"/>
    <n v="594.63"/>
    <n v="0.12"/>
    <n v="1046.5488"/>
    <x v="0"/>
  </r>
  <r>
    <x v="104"/>
    <s v="Stevens, Fernandez and Martin"/>
    <s v="Home"/>
    <n v="4"/>
    <n v="629.04999999999995"/>
    <n v="0.26"/>
    <n v="1861.9880000000001"/>
    <x v="0"/>
  </r>
  <r>
    <x v="105"/>
    <s v="Nolan-Snow"/>
    <s v="Sports"/>
    <n v="2"/>
    <n v="938.6"/>
    <n v="0.04"/>
    <n v="1802.1120000000001"/>
    <x v="2"/>
  </r>
  <r>
    <x v="27"/>
    <s v="Griffin Ltd"/>
    <s v="Beauty"/>
    <n v="1"/>
    <n v="488.31"/>
    <n v="0.03"/>
    <n v="473.66070000000002"/>
    <x v="2"/>
  </r>
  <r>
    <x v="106"/>
    <s v="Weiss-Watson"/>
    <s v="Home"/>
    <n v="1"/>
    <n v="339.7"/>
    <n v="0.1"/>
    <n v="305.73"/>
    <x v="0"/>
  </r>
  <r>
    <x v="66"/>
    <s v="Lucero LLC"/>
    <s v="Electronics"/>
    <n v="3"/>
    <n v="848.48"/>
    <n v="0"/>
    <n v="2545.44"/>
    <x v="1"/>
  </r>
  <r>
    <x v="107"/>
    <s v="Jones LLC"/>
    <s v="Home"/>
    <n v="2"/>
    <n v="157.18"/>
    <n v="0.15"/>
    <n v="267.20600000000002"/>
    <x v="0"/>
  </r>
  <r>
    <x v="108"/>
    <s v="Hogan-Lee"/>
    <s v="Clothing"/>
    <n v="1"/>
    <n v="438.41"/>
    <n v="0.09"/>
    <n v="398.95310000000012"/>
    <x v="0"/>
  </r>
  <r>
    <x v="109"/>
    <s v="Cummings and Sons"/>
    <s v="Electronics"/>
    <n v="4"/>
    <n v="352.72"/>
    <n v="0.25"/>
    <n v="1058.1600000000001"/>
    <x v="0"/>
  </r>
  <r>
    <x v="110"/>
    <s v="Cummings and Sons"/>
    <s v="Electronics"/>
    <n v="4"/>
    <n v="286.92"/>
    <n v="0.17"/>
    <n v="952.57439999999997"/>
    <x v="0"/>
  </r>
  <r>
    <x v="1"/>
    <s v="Taylor-Hart"/>
    <s v="Electronics"/>
    <n v="2"/>
    <n v="994.29"/>
    <n v="0.01"/>
    <n v="1968.6941999999999"/>
    <x v="2"/>
  </r>
  <r>
    <x v="111"/>
    <s v="Taylor-Hart"/>
    <s v="Electronics"/>
    <n v="3"/>
    <n v="765.21"/>
    <n v="0.14000000000000001"/>
    <n v="1974.2418"/>
    <x v="1"/>
  </r>
  <r>
    <x v="112"/>
    <s v="Robinson Inc"/>
    <s v="Electronics"/>
    <n v="1"/>
    <n v="135.87"/>
    <n v="0.23"/>
    <n v="104.6199"/>
    <x v="2"/>
  </r>
  <r>
    <x v="113"/>
    <s v="Cox Inc"/>
    <s v="Sports"/>
    <n v="4"/>
    <n v="415.02"/>
    <n v="0.01"/>
    <n v="1643.4792"/>
    <x v="2"/>
  </r>
  <r>
    <x v="114"/>
    <s v="Bridges, Banks and Cummings"/>
    <s v="Sports"/>
    <n v="3"/>
    <n v="876.01"/>
    <n v="0.2"/>
    <n v="2102.424"/>
    <x v="0"/>
  </r>
  <r>
    <x v="115"/>
    <s v="Kelly, Smith and Perez"/>
    <s v="Clothing"/>
    <n v="2"/>
    <n v="216.02"/>
    <n v="0.25"/>
    <n v="324.02999999999997"/>
    <x v="0"/>
  </r>
  <r>
    <x v="89"/>
    <s v="Kelly, Smith and Perez"/>
    <s v="Clothing"/>
    <n v="4"/>
    <n v="837.34"/>
    <n v="0.05"/>
    <n v="3181.8919999999998"/>
    <x v="2"/>
  </r>
  <r>
    <x v="116"/>
    <s v="Sullivan and Sons"/>
    <s v="Beauty"/>
    <n v="3"/>
    <n v="803.31"/>
    <n v="0.1"/>
    <n v="2168.9369999999999"/>
    <x v="2"/>
  </r>
  <r>
    <x v="114"/>
    <s v="Smith-King"/>
    <s v="Sports"/>
    <n v="3"/>
    <n v="326.2"/>
    <n v="0.22"/>
    <n v="763.30799999999999"/>
    <x v="1"/>
  </r>
  <r>
    <x v="117"/>
    <s v="Hamilton, Woods and Walker"/>
    <s v="Clothing"/>
    <n v="3"/>
    <n v="841.47"/>
    <n v="0.15"/>
    <n v="2145.7485000000001"/>
    <x v="1"/>
  </r>
  <r>
    <x v="74"/>
    <s v="Thompson-French"/>
    <s v="Sports"/>
    <n v="2"/>
    <n v="355.41"/>
    <n v="0.13"/>
    <n v="618.41340000000002"/>
    <x v="1"/>
  </r>
  <r>
    <x v="118"/>
    <s v="Thompson-French"/>
    <s v="Sports"/>
    <n v="1"/>
    <n v="389.2"/>
    <n v="0.05"/>
    <n v="369.74"/>
    <x v="0"/>
  </r>
  <r>
    <x v="93"/>
    <s v="Hatfield, Baird and Torres"/>
    <s v="Home"/>
    <n v="1"/>
    <n v="172.04"/>
    <n v="0.04"/>
    <n v="165.1584"/>
    <x v="2"/>
  </r>
  <r>
    <x v="115"/>
    <s v="Hernandez, Kennedy and Porter"/>
    <s v="Home"/>
    <n v="4"/>
    <n v="165.37"/>
    <n v="0.28999999999999998"/>
    <n v="469.6508"/>
    <x v="0"/>
  </r>
  <r>
    <x v="119"/>
    <s v="Gibson, Green and Lopez"/>
    <s v="Beauty"/>
    <n v="2"/>
    <n v="424.54"/>
    <n v="0.24"/>
    <n v="645.30080000000009"/>
    <x v="2"/>
  </r>
  <r>
    <x v="120"/>
    <s v="Murray, Gould and Ware"/>
    <s v="Electronics"/>
    <n v="4"/>
    <n v="408.07"/>
    <n v="0.28000000000000003"/>
    <n v="1175.2416000000001"/>
    <x v="1"/>
  </r>
  <r>
    <x v="121"/>
    <s v="Murray, Gould and Ware"/>
    <s v="Electronics"/>
    <n v="3"/>
    <n v="103.66"/>
    <n v="0.26"/>
    <n v="230.12520000000001"/>
    <x v="1"/>
  </r>
  <r>
    <x v="122"/>
    <s v="Montgomery, Benton and Miller"/>
    <s v="Sports"/>
    <n v="2"/>
    <n v="892.46"/>
    <n v="7.0000000000000007E-2"/>
    <n v="1659.9756"/>
    <x v="2"/>
  </r>
  <r>
    <x v="123"/>
    <s v="Torres, Spencer and Potter"/>
    <s v="Beauty"/>
    <n v="1"/>
    <n v="338.83"/>
    <n v="0.19"/>
    <n v="274.45229999999998"/>
    <x v="2"/>
  </r>
  <r>
    <x v="124"/>
    <s v="Torres, Spencer and Potter"/>
    <s v="Beauty"/>
    <n v="1"/>
    <n v="209.93"/>
    <n v="0.21"/>
    <n v="165.84469999999999"/>
    <x v="0"/>
  </r>
  <r>
    <x v="125"/>
    <s v="Flores-Davis"/>
    <s v="Electronics"/>
    <n v="4"/>
    <n v="921.84"/>
    <n v="0.04"/>
    <n v="3539.8656000000001"/>
    <x v="0"/>
  </r>
  <r>
    <x v="126"/>
    <s v="Hopkins Ltd"/>
    <s v="Beauty"/>
    <n v="1"/>
    <n v="888.05"/>
    <n v="0.2"/>
    <n v="710.44"/>
    <x v="2"/>
  </r>
  <r>
    <x v="127"/>
    <s v="Hopkins Ltd"/>
    <s v="Beauty"/>
    <n v="1"/>
    <n v="506.55"/>
    <n v="0.28000000000000003"/>
    <n v="364.71600000000001"/>
    <x v="0"/>
  </r>
  <r>
    <x v="114"/>
    <s v="Davis PLC"/>
    <s v="Sports"/>
    <n v="2"/>
    <n v="668.3"/>
    <n v="7.0000000000000007E-2"/>
    <n v="1243.038"/>
    <x v="0"/>
  </r>
  <r>
    <x v="128"/>
    <s v="Davis PLC"/>
    <s v="Sports"/>
    <n v="4"/>
    <n v="640.97"/>
    <n v="0.11"/>
    <n v="2281.8532"/>
    <x v="1"/>
  </r>
  <r>
    <x v="129"/>
    <s v="French Ltd"/>
    <s v="Sports"/>
    <n v="1"/>
    <n v="721.74"/>
    <n v="0.24"/>
    <n v="548.52240000000006"/>
    <x v="2"/>
  </r>
  <r>
    <x v="116"/>
    <s v="Bruce-Bowen"/>
    <s v="Electronics"/>
    <n v="1"/>
    <n v="842.46"/>
    <n v="0.05"/>
    <n v="800.33699999999999"/>
    <x v="1"/>
  </r>
  <r>
    <x v="130"/>
    <s v="Bruce-Bowen"/>
    <s v="Electronics"/>
    <n v="4"/>
    <n v="396.53"/>
    <n v="7.0000000000000007E-2"/>
    <n v="1475.0916"/>
    <x v="2"/>
  </r>
  <r>
    <x v="131"/>
    <s v="White, Reeves and Woods"/>
    <s v="Electronics"/>
    <n v="2"/>
    <n v="829.15"/>
    <n v="0.11"/>
    <n v="1475.8869999999999"/>
    <x v="2"/>
  </r>
  <r>
    <x v="19"/>
    <s v="Hernandez Inc"/>
    <s v="Home"/>
    <n v="3"/>
    <n v="468.25"/>
    <n v="7.0000000000000007E-2"/>
    <n v="1306.4175"/>
    <x v="2"/>
  </r>
  <r>
    <x v="81"/>
    <s v="Hernandez Inc"/>
    <s v="Home"/>
    <n v="3"/>
    <n v="636.03"/>
    <n v="0.06"/>
    <n v="1793.6045999999999"/>
    <x v="1"/>
  </r>
  <r>
    <x v="132"/>
    <s v="Ramirez-Hanson"/>
    <s v="Home"/>
    <n v="2.4605071932557498"/>
    <n v="873.22"/>
    <n v="0.18"/>
    <n v="2148.1212"/>
    <x v="0"/>
  </r>
  <r>
    <x v="133"/>
    <s v="Perez-Johnston"/>
    <s v="Electronics"/>
    <n v="3"/>
    <n v="324.29000000000002"/>
    <n v="0.16"/>
    <n v="817.21080000000006"/>
    <x v="1"/>
  </r>
  <r>
    <x v="134"/>
    <s v="Perez-Johnston"/>
    <s v="Electronics"/>
    <n v="2"/>
    <n v="443.09"/>
    <n v="0.02"/>
    <n v="868.45639999999992"/>
    <x v="2"/>
  </r>
  <r>
    <x v="29"/>
    <s v="Perez-Johnston"/>
    <s v="Electronics"/>
    <n v="4"/>
    <n v="167.83"/>
    <n v="0.15"/>
    <n v="570.62200000000007"/>
    <x v="0"/>
  </r>
  <r>
    <x v="135"/>
    <s v="Robinson-Brown"/>
    <s v="Sports"/>
    <n v="1"/>
    <n v="791.83"/>
    <n v="0.28000000000000003"/>
    <n v="570.11760000000004"/>
    <x v="2"/>
  </r>
  <r>
    <x v="136"/>
    <s v="Robinson-Brown"/>
    <s v="Sports"/>
    <n v="3"/>
    <n v="138.86000000000001"/>
    <n v="0.11"/>
    <n v="370.75619999999998"/>
    <x v="2"/>
  </r>
  <r>
    <x v="137"/>
    <s v="Reese-Watson"/>
    <s v="Sports"/>
    <n v="4"/>
    <n v="740.5"/>
    <n v="0.17"/>
    <n v="2458.46"/>
    <x v="2"/>
  </r>
  <r>
    <x v="138"/>
    <s v="Butler Group"/>
    <s v="Beauty"/>
    <n v="3"/>
    <n v="460.93"/>
    <n v="0.19"/>
    <n v="1120.0599"/>
    <x v="1"/>
  </r>
  <r>
    <x v="104"/>
    <s v="Collins-Stephenson"/>
    <s v="Home"/>
    <n v="3"/>
    <n v="204.77"/>
    <n v="0.14000000000000001"/>
    <n v="528.3066"/>
    <x v="0"/>
  </r>
  <r>
    <x v="139"/>
    <s v="Richardson-Carrillo"/>
    <s v="Clothing"/>
    <n v="1"/>
    <n v="784.46"/>
    <n v="0.14000000000000001"/>
    <n v="674.63560000000007"/>
    <x v="1"/>
  </r>
  <r>
    <x v="140"/>
    <s v="Taylor, Dodson and Johnston"/>
    <s v="Home"/>
    <n v="1"/>
    <n v="119.04"/>
    <n v="0.13"/>
    <n v="103.56480000000001"/>
    <x v="1"/>
  </r>
  <r>
    <x v="141"/>
    <s v="Aguilar, Horton and Lewis"/>
    <s v="Home"/>
    <n v="2"/>
    <n v="291.83999999999997"/>
    <n v="0.25"/>
    <n v="437.76"/>
    <x v="2"/>
  </r>
  <r>
    <x v="50"/>
    <s v="Aguilar, Horton and Lewis"/>
    <s v="Home"/>
    <n v="4"/>
    <n v="800"/>
    <n v="0.2"/>
    <n v="2560"/>
    <x v="0"/>
  </r>
  <r>
    <x v="142"/>
    <s v="Olsen-Daniels"/>
    <s v="Sports"/>
    <n v="1"/>
    <n v="149.56"/>
    <n v="0.09"/>
    <n v="136.09960000000001"/>
    <x v="0"/>
  </r>
  <r>
    <x v="120"/>
    <s v="Olsen-Daniels"/>
    <s v="Sports"/>
    <n v="4"/>
    <n v="677.25"/>
    <n v="0.14000000000000001"/>
    <n v="2329.7399999999998"/>
    <x v="2"/>
  </r>
  <r>
    <x v="143"/>
    <s v="Olsen-Daniels"/>
    <s v="Sports"/>
    <n v="3"/>
    <n v="642.94000000000005"/>
    <n v="0.05"/>
    <n v="1832.3789999999999"/>
    <x v="1"/>
  </r>
  <r>
    <x v="47"/>
    <s v="Taylor-Elliott"/>
    <s v="Beauty"/>
    <n v="1"/>
    <n v="122.27"/>
    <n v="0.26"/>
    <n v="90.479799999999997"/>
    <x v="2"/>
  </r>
  <r>
    <x v="95"/>
    <s v="Sharp, Taylor and Rodriguez"/>
    <s v="Electronics"/>
    <n v="4"/>
    <n v="61.98"/>
    <n v="0.16"/>
    <n v="208.25280000000001"/>
    <x v="0"/>
  </r>
  <r>
    <x v="144"/>
    <s v="Sharp, Taylor and Rodriguez"/>
    <s v="Electronics"/>
    <n v="3"/>
    <n v="853.32"/>
    <n v="7.0000000000000007E-2"/>
    <n v="2380.7628"/>
    <x v="1"/>
  </r>
  <r>
    <x v="145"/>
    <s v="Sharp, Taylor and Rodriguez"/>
    <s v="Electronics"/>
    <n v="2"/>
    <n v="410"/>
    <n v="0.13"/>
    <n v="713.4"/>
    <x v="1"/>
  </r>
  <r>
    <x v="64"/>
    <s v="Sharp, Taylor and Rodriguez"/>
    <s v="Electronics"/>
    <n v="3"/>
    <n v="135.94"/>
    <n v="0.2"/>
    <n v="326.25599999999997"/>
    <x v="0"/>
  </r>
  <r>
    <x v="146"/>
    <s v="Green, Powell and Palmer"/>
    <s v="Home"/>
    <n v="3"/>
    <n v="476.37"/>
    <n v="0.21"/>
    <n v="1128.9969000000001"/>
    <x v="1"/>
  </r>
  <r>
    <x v="147"/>
    <s v="Green, Powell and Palmer"/>
    <s v="Home"/>
    <n v="2"/>
    <n v="707.65"/>
    <n v="0.14000000000000001"/>
    <n v="1217.1579999999999"/>
    <x v="0"/>
  </r>
  <r>
    <x v="148"/>
    <s v="Green, Powell and Palmer"/>
    <s v="Home"/>
    <n v="2"/>
    <n v="954.1"/>
    <n v="0.17"/>
    <n v="1583.806"/>
    <x v="2"/>
  </r>
  <r>
    <x v="149"/>
    <s v="Hoffman-Williams"/>
    <s v="Beauty"/>
    <n v="1"/>
    <n v="126.09"/>
    <n v="0.05"/>
    <n v="119.7855"/>
    <x v="1"/>
  </r>
  <r>
    <x v="150"/>
    <s v="Wilson Group"/>
    <s v="Sports"/>
    <n v="1"/>
    <n v="301.60000000000002"/>
    <n v="0.27"/>
    <n v="220.16800000000001"/>
    <x v="0"/>
  </r>
  <r>
    <x v="151"/>
    <s v="Wilson Group"/>
    <s v="Sports"/>
    <n v="1"/>
    <n v="128.93"/>
    <n v="0.26"/>
    <n v="95.408200000000008"/>
    <x v="0"/>
  </r>
  <r>
    <x v="90"/>
    <s v="Khan LLC"/>
    <s v="Sports"/>
    <n v="3"/>
    <n v="760.38"/>
    <n v="0"/>
    <n v="2281.14"/>
    <x v="1"/>
  </r>
  <r>
    <x v="119"/>
    <s v="Campbell Ltd"/>
    <s v="Home"/>
    <n v="2"/>
    <n v="698.34"/>
    <n v="0.15"/>
    <n v="1187.1780000000001"/>
    <x v="2"/>
  </r>
  <r>
    <x v="152"/>
    <s v="Terry-Moore"/>
    <s v="Clothing"/>
    <n v="3"/>
    <n v="964.39"/>
    <n v="0.04"/>
    <n v="2777.4432000000002"/>
    <x v="0"/>
  </r>
  <r>
    <x v="41"/>
    <s v="Rice LLC"/>
    <s v="Beauty"/>
    <n v="3"/>
    <n v="195.31"/>
    <n v="0.13"/>
    <n v="509.75909999999999"/>
    <x v="1"/>
  </r>
  <r>
    <x v="153"/>
    <s v="Dawson-Perkins"/>
    <s v="Electronics"/>
    <n v="1"/>
    <n v="120.57"/>
    <n v="0.06"/>
    <n v="113.33580000000001"/>
    <x v="2"/>
  </r>
  <r>
    <x v="154"/>
    <s v="Luna, Anderson and Bowman"/>
    <s v="Home"/>
    <n v="3"/>
    <n v="696.74"/>
    <n v="0.13"/>
    <n v="1818.4914000000001"/>
    <x v="1"/>
  </r>
  <r>
    <x v="138"/>
    <s v="Luna, Anderson and Bowman"/>
    <s v="Home"/>
    <n v="1"/>
    <n v="753.39"/>
    <n v="0.04"/>
    <n v="723.25439999999992"/>
    <x v="1"/>
  </r>
  <r>
    <x v="155"/>
    <s v="Luna, Anderson and Bowman"/>
    <s v="Home"/>
    <n v="2"/>
    <n v="675.65"/>
    <n v="0.2"/>
    <n v="1081.04"/>
    <x v="1"/>
  </r>
  <r>
    <x v="156"/>
    <s v="Erickson-Green"/>
    <s v="Beauty"/>
    <n v="2"/>
    <n v="693.61"/>
    <n v="0.15"/>
    <n v="1179.1369999999999"/>
    <x v="2"/>
  </r>
  <r>
    <x v="112"/>
    <s v="Ford, Murphy and Wilson"/>
    <s v="Sports"/>
    <n v="2"/>
    <n v="71.77"/>
    <n v="0.22"/>
    <n v="111.96120000000001"/>
    <x v="0"/>
  </r>
  <r>
    <x v="157"/>
    <s v="May-Reese"/>
    <s v="Sports"/>
    <n v="2"/>
    <n v="466.42"/>
    <n v="0.12"/>
    <n v="820.89920000000006"/>
    <x v="2"/>
  </r>
  <r>
    <x v="158"/>
    <s v="May-Reese"/>
    <s v="Sports"/>
    <n v="3"/>
    <n v="569.98"/>
    <n v="0.05"/>
    <n v="1624.443"/>
    <x v="0"/>
  </r>
  <r>
    <x v="100"/>
    <s v="Sims Inc"/>
    <s v="Clothing"/>
    <n v="4"/>
    <n v="863.87"/>
    <n v="0.21"/>
    <n v="2729.8292000000001"/>
    <x v="1"/>
  </r>
  <r>
    <x v="37"/>
    <s v="Sims Inc"/>
    <s v="Clothing"/>
    <n v="1"/>
    <n v="948.33"/>
    <n v="0.11"/>
    <n v="844.01370000000009"/>
    <x v="0"/>
  </r>
  <r>
    <x v="159"/>
    <s v="Gardner-Montes"/>
    <s v="Home"/>
    <n v="1"/>
    <n v="771.73"/>
    <n v="0.2"/>
    <n v="617.38400000000001"/>
    <x v="0"/>
  </r>
  <r>
    <x v="160"/>
    <s v="Gardner-Montes"/>
    <s v="Home"/>
    <n v="1"/>
    <n v="251.99"/>
    <n v="0.09"/>
    <n v="229.3109"/>
    <x v="0"/>
  </r>
  <r>
    <x v="161"/>
    <s v="Gardner-Montes"/>
    <s v="Home"/>
    <n v="2"/>
    <n v="218.07"/>
    <n v="0.19"/>
    <n v="353.27339999999998"/>
    <x v="2"/>
  </r>
  <r>
    <x v="162"/>
    <s v="Flores, Pineda and Rodriguez"/>
    <s v="Sports"/>
    <n v="3"/>
    <n v="432.4"/>
    <n v="0.04"/>
    <n v="1245.3119999999999"/>
    <x v="0"/>
  </r>
  <r>
    <x v="163"/>
    <s v="Flores, Pineda and Rodriguez"/>
    <s v="Sports"/>
    <n v="2"/>
    <n v="523.14"/>
    <n v="0.13"/>
    <n v="910.2636"/>
    <x v="2"/>
  </r>
  <r>
    <x v="164"/>
    <s v="Cook Ltd"/>
    <s v="Sports"/>
    <n v="1"/>
    <n v="412.2"/>
    <n v="0.11"/>
    <n v="366.858"/>
    <x v="0"/>
  </r>
  <r>
    <x v="5"/>
    <s v="Reed-Schmidt"/>
    <s v="Electronics"/>
    <n v="4"/>
    <n v="413.48"/>
    <n v="0.02"/>
    <n v="1620.8416"/>
    <x v="2"/>
  </r>
  <r>
    <x v="118"/>
    <s v="Khan, Jones and Paul"/>
    <s v="Home"/>
    <n v="1"/>
    <n v="281.97000000000003"/>
    <n v="0.2"/>
    <n v="225.57599999999999"/>
    <x v="2"/>
  </r>
  <r>
    <x v="114"/>
    <s v="Burns-Hansen"/>
    <s v="Sports"/>
    <n v="3"/>
    <n v="125.68"/>
    <n v="0.26"/>
    <n v="279.00959999999998"/>
    <x v="1"/>
  </r>
  <r>
    <x v="165"/>
    <s v="Stevens, Fernandez and Martin"/>
    <s v="Home"/>
    <n v="2"/>
    <n v="47.86"/>
    <n v="0.03"/>
    <n v="92.848399999999998"/>
    <x v="2"/>
  </r>
  <r>
    <x v="32"/>
    <s v="Nolan-Snow"/>
    <s v="Sports"/>
    <n v="2"/>
    <n v="613.47"/>
    <n v="0.02"/>
    <n v="1202.4012"/>
    <x v="2"/>
  </r>
  <r>
    <x v="166"/>
    <s v="Nolan-Snow"/>
    <s v="Sports"/>
    <n v="3"/>
    <n v="465.4"/>
    <n v="0.28999999999999998"/>
    <n v="991.30199999999979"/>
    <x v="1"/>
  </r>
  <r>
    <x v="167"/>
    <s v="Nolan-Snow"/>
    <s v="Sports"/>
    <n v="2"/>
    <n v="780.05"/>
    <n v="0.12"/>
    <n v="1372.8879999999999"/>
    <x v="1"/>
  </r>
  <r>
    <x v="168"/>
    <s v="Nolan-Snow"/>
    <s v="Sports"/>
    <n v="1"/>
    <n v="198.83"/>
    <n v="0.09"/>
    <n v="180.93530000000001"/>
    <x v="1"/>
  </r>
  <r>
    <x v="169"/>
    <s v="Weiss-Watson"/>
    <s v="Home"/>
    <n v="2"/>
    <n v="379.78"/>
    <n v="0.2"/>
    <n v="607.64800000000002"/>
    <x v="0"/>
  </r>
  <r>
    <x v="170"/>
    <s v="Hogan-Lee"/>
    <s v="Clothing"/>
    <n v="3"/>
    <n v="145.25"/>
    <n v="0.24"/>
    <n v="331.17"/>
    <x v="2"/>
  </r>
  <r>
    <x v="142"/>
    <s v="Taylor-Hart"/>
    <s v="Electronics"/>
    <n v="4"/>
    <n v="428.09"/>
    <n v="7.0000000000000007E-2"/>
    <n v="1592.4947999999999"/>
    <x v="0"/>
  </r>
  <r>
    <x v="151"/>
    <s v="Bridges, Banks and Cummings"/>
    <s v="Sports"/>
    <n v="4"/>
    <n v="557.51"/>
    <n v="0.11"/>
    <n v="1984.7356"/>
    <x v="0"/>
  </r>
  <r>
    <x v="171"/>
    <s v="Kelly, Smith and Perez"/>
    <s v="Clothing"/>
    <n v="1"/>
    <n v="209.7"/>
    <n v="0.2"/>
    <n v="167.76"/>
    <x v="2"/>
  </r>
  <r>
    <x v="120"/>
    <s v="Byrd, Stewart and Valdez"/>
    <s v="Electronics"/>
    <n v="4"/>
    <n v="751.63"/>
    <n v="0.28000000000000003"/>
    <n v="2164.6943999999999"/>
    <x v="1"/>
  </r>
  <r>
    <x v="172"/>
    <s v="Sullivan and Sons"/>
    <s v="Beauty"/>
    <n v="3"/>
    <n v="958.15"/>
    <n v="0.24"/>
    <n v="2184.5819999999999"/>
    <x v="1"/>
  </r>
  <r>
    <x v="173"/>
    <s v="Baldwin, Garza and Gonzalez"/>
    <s v="Clothing"/>
    <n v="2"/>
    <n v="824.91"/>
    <n v="0.09"/>
    <n v="1501.3362"/>
    <x v="0"/>
  </r>
  <r>
    <x v="174"/>
    <s v="Baldwin, Garza and Gonzalez"/>
    <s v="Clothing"/>
    <n v="2"/>
    <n v="516.02"/>
    <n v="0.19"/>
    <n v="835.95240000000001"/>
    <x v="1"/>
  </r>
  <r>
    <x v="175"/>
    <s v="Smith-King"/>
    <s v="Sports"/>
    <n v="1"/>
    <n v="842.9"/>
    <n v="0.06"/>
    <n v="792.32599999999991"/>
    <x v="1"/>
  </r>
  <r>
    <x v="161"/>
    <s v="Bautista, Green and Hale"/>
    <s v="Electronics"/>
    <n v="3"/>
    <n v="918.26"/>
    <n v="0.17"/>
    <n v="2286.4674"/>
    <x v="1"/>
  </r>
  <r>
    <x v="160"/>
    <s v="Harris Inc"/>
    <s v="Sports"/>
    <n v="3"/>
    <n v="70.88"/>
    <n v="0.27"/>
    <n v="155.22720000000001"/>
    <x v="1"/>
  </r>
  <r>
    <x v="176"/>
    <s v="Harris Inc"/>
    <s v="Sports"/>
    <n v="2"/>
    <n v="295.12"/>
    <n v="0.09"/>
    <n v="537.11840000000007"/>
    <x v="1"/>
  </r>
  <r>
    <x v="164"/>
    <s v="Hamilton, Woods and Walker"/>
    <s v="Clothing"/>
    <n v="3"/>
    <n v="480.06"/>
    <n v="0.01"/>
    <n v="1440.17"/>
    <x v="0"/>
  </r>
  <r>
    <x v="177"/>
    <s v="Hamilton, Woods and Walker"/>
    <s v="Clothing"/>
    <n v="1"/>
    <n v="899.09"/>
    <n v="0.2"/>
    <n v="719.27200000000005"/>
    <x v="2"/>
  </r>
  <r>
    <x v="178"/>
    <s v="Thompson-French"/>
    <s v="Sports"/>
    <n v="3"/>
    <n v="977.55"/>
    <n v="0.02"/>
    <n v="2873.9969999999989"/>
    <x v="2"/>
  </r>
  <r>
    <x v="179"/>
    <s v="Thompson-French"/>
    <s v="Sports"/>
    <n v="4"/>
    <n v="250.64"/>
    <n v="0.1"/>
    <n v="902.30399999999997"/>
    <x v="2"/>
  </r>
  <r>
    <x v="180"/>
    <s v="Atkinson, Camacho and Oliver"/>
    <s v="Sports"/>
    <n v="4"/>
    <n v="559.59"/>
    <n v="0.19"/>
    <n v="1813.0716"/>
    <x v="1"/>
  </r>
  <r>
    <x v="181"/>
    <s v="Shepherd-Gould"/>
    <s v="Clothing"/>
    <n v="4"/>
    <n v="794.97"/>
    <n v="0.24"/>
    <n v="2416.7087999999999"/>
    <x v="2"/>
  </r>
  <r>
    <x v="182"/>
    <s v="Shepherd-Gould"/>
    <s v="Clothing"/>
    <n v="1"/>
    <n v="937.01"/>
    <n v="7.0000000000000007E-2"/>
    <n v="871.41929999999991"/>
    <x v="0"/>
  </r>
  <r>
    <x v="183"/>
    <s v="Shepherd-Gould"/>
    <s v="Clothing"/>
    <n v="2"/>
    <n v="466.27"/>
    <n v="0.11"/>
    <n v="829.9606"/>
    <x v="2"/>
  </r>
  <r>
    <x v="184"/>
    <s v="Davidson PLC"/>
    <s v="Beauty"/>
    <n v="3"/>
    <n v="483.06"/>
    <n v="0.05"/>
    <n v="1376.721"/>
    <x v="0"/>
  </r>
  <r>
    <x v="185"/>
    <s v="Davidson PLC"/>
    <s v="Beauty"/>
    <n v="4"/>
    <n v="458.58"/>
    <n v="0.28999999999999998"/>
    <n v="1302.3671999999999"/>
    <x v="1"/>
  </r>
  <r>
    <x v="186"/>
    <s v="Gibson, Green and Lopez"/>
    <s v="Beauty"/>
    <n v="3"/>
    <n v="118.25"/>
    <n v="0.26"/>
    <n v="262.51499999999999"/>
    <x v="2"/>
  </r>
  <r>
    <x v="110"/>
    <s v="Gibson, Green and Lopez"/>
    <s v="Beauty"/>
    <n v="4"/>
    <n v="597.79999999999995"/>
    <n v="0.2"/>
    <n v="1912.96"/>
    <x v="0"/>
  </r>
  <r>
    <x v="187"/>
    <s v="Lopez LLC"/>
    <s v="Sports"/>
    <n v="3"/>
    <n v="808.87"/>
    <n v="0.12"/>
    <n v="2135.4168"/>
    <x v="1"/>
  </r>
  <r>
    <x v="188"/>
    <s v="Anderson-Riley"/>
    <s v="Beauty"/>
    <n v="1"/>
    <n v="395.18"/>
    <n v="0.09"/>
    <n v="359.61380000000003"/>
    <x v="2"/>
  </r>
  <r>
    <x v="42"/>
    <s v="Montgomery, Benton and Miller"/>
    <s v="Sports"/>
    <n v="4"/>
    <n v="704.49"/>
    <n v="0.05"/>
    <n v="2677.0619999999999"/>
    <x v="1"/>
  </r>
  <r>
    <x v="189"/>
    <s v="Flores-Davis"/>
    <s v="Electronics"/>
    <n v="4"/>
    <n v="602.39"/>
    <n v="0.19"/>
    <n v="1951.7436"/>
    <x v="1"/>
  </r>
  <r>
    <x v="190"/>
    <s v="Flores-Davis"/>
    <s v="Electronics"/>
    <n v="4"/>
    <n v="359.71"/>
    <n v="0.05"/>
    <n v="1366.8979999999999"/>
    <x v="2"/>
  </r>
  <r>
    <x v="121"/>
    <s v="Wolfe, Ross and Hester"/>
    <s v="Home"/>
    <n v="2"/>
    <n v="692.72"/>
    <n v="0.13"/>
    <n v="1205.3327999999999"/>
    <x v="2"/>
  </r>
  <r>
    <x v="191"/>
    <s v="Fitzpatrick Ltd"/>
    <s v="Clothing"/>
    <n v="3"/>
    <n v="979.42"/>
    <n v="0.03"/>
    <n v="2850.1122"/>
    <x v="2"/>
  </r>
  <r>
    <x v="192"/>
    <s v="Harrell LLC"/>
    <s v="Home"/>
    <n v="4"/>
    <n v="614.76"/>
    <n v="0.16"/>
    <n v="2065.5936000000002"/>
    <x v="0"/>
  </r>
  <r>
    <x v="193"/>
    <s v="Hopkins Ltd"/>
    <s v="Beauty"/>
    <n v="2"/>
    <n v="913.08"/>
    <n v="0.26"/>
    <n v="1351.3584000000001"/>
    <x v="0"/>
  </r>
  <r>
    <x v="194"/>
    <s v="Davis PLC"/>
    <s v="Sports"/>
    <n v="4"/>
    <n v="62.48"/>
    <n v="0.18"/>
    <n v="204.93440000000001"/>
    <x v="0"/>
  </r>
  <r>
    <x v="195"/>
    <s v="French Ltd"/>
    <s v="Sports"/>
    <n v="3"/>
    <n v="909.11"/>
    <n v="0.23"/>
    <n v="2100.0441000000001"/>
    <x v="1"/>
  </r>
  <r>
    <x v="85"/>
    <s v="French Ltd"/>
    <s v="Sports"/>
    <n v="4"/>
    <n v="166.93"/>
    <n v="0.02"/>
    <n v="654.36559999999997"/>
    <x v="2"/>
  </r>
  <r>
    <x v="35"/>
    <s v="Bruce-Bowen"/>
    <s v="Electronics"/>
    <n v="2"/>
    <n v="407.46"/>
    <n v="0.21"/>
    <n v="643.78679999999997"/>
    <x v="0"/>
  </r>
  <r>
    <x v="161"/>
    <s v="Bruce-Bowen"/>
    <s v="Electronics"/>
    <n v="1"/>
    <n v="30.94"/>
    <n v="0.21"/>
    <n v="24.442599999999999"/>
    <x v="1"/>
  </r>
  <r>
    <x v="196"/>
    <s v="Poole PLC"/>
    <s v="Clothing"/>
    <n v="4"/>
    <n v="552.38"/>
    <n v="0.1"/>
    <n v="1988.568"/>
    <x v="2"/>
  </r>
  <r>
    <x v="197"/>
    <s v="Poole PLC"/>
    <s v="Clothing"/>
    <n v="4"/>
    <n v="659.03"/>
    <n v="0.15"/>
    <n v="2240.7020000000002"/>
    <x v="0"/>
  </r>
  <r>
    <x v="119"/>
    <s v="Larson Ltd"/>
    <s v="Electronics"/>
    <n v="2"/>
    <n v="686.31"/>
    <n v="0.25"/>
    <n v="1029.4649999999999"/>
    <x v="0"/>
  </r>
  <r>
    <x v="198"/>
    <s v="Larson Ltd"/>
    <s v="Electronics"/>
    <n v="4"/>
    <n v="762.94"/>
    <n v="0.09"/>
    <n v="2777.1016"/>
    <x v="1"/>
  </r>
  <r>
    <x v="199"/>
    <s v="Larson Ltd"/>
    <s v="Electronics"/>
    <n v="3"/>
    <n v="904.48"/>
    <n v="0.21"/>
    <n v="2143.6176"/>
    <x v="2"/>
  </r>
  <r>
    <x v="200"/>
    <s v="Allison Ltd"/>
    <s v="Home"/>
    <n v="4"/>
    <n v="773.81"/>
    <n v="0.08"/>
    <n v="2847.6208000000001"/>
    <x v="1"/>
  </r>
  <r>
    <x v="201"/>
    <s v="Allison Ltd"/>
    <s v="Home"/>
    <n v="2"/>
    <n v="61.31"/>
    <n v="0.15"/>
    <n v="104.227"/>
    <x v="1"/>
  </r>
  <r>
    <x v="72"/>
    <s v="Allison Ltd"/>
    <s v="Home"/>
    <n v="4"/>
    <n v="87.83"/>
    <n v="0.23"/>
    <n v="270.51639999999998"/>
    <x v="2"/>
  </r>
  <r>
    <x v="202"/>
    <s v="Robinson-Brown"/>
    <s v="Sports"/>
    <n v="2"/>
    <n v="145.26"/>
    <n v="0.19"/>
    <n v="235.3212"/>
    <x v="2"/>
  </r>
  <r>
    <x v="203"/>
    <s v="Robinson-Brown"/>
    <s v="Sports"/>
    <n v="2"/>
    <n v="870.13"/>
    <n v="0.23"/>
    <n v="1340.0001999999999"/>
    <x v="0"/>
  </r>
  <r>
    <x v="204"/>
    <s v="Reese-Watson"/>
    <s v="Sports"/>
    <n v="2"/>
    <n v="807.1"/>
    <n v="0.28999999999999998"/>
    <n v="1146.0820000000001"/>
    <x v="0"/>
  </r>
  <r>
    <x v="205"/>
    <s v="Butler Group"/>
    <s v="Beauty"/>
    <n v="1"/>
    <n v="343.05"/>
    <n v="0.28000000000000003"/>
    <n v="246.99600000000001"/>
    <x v="2"/>
  </r>
  <r>
    <x v="103"/>
    <s v="Butler Group"/>
    <s v="Beauty"/>
    <n v="1"/>
    <n v="995.52"/>
    <n v="0.22"/>
    <n v="776.50559999999996"/>
    <x v="2"/>
  </r>
  <r>
    <x v="206"/>
    <s v="Taylor, Dodson and Johnston"/>
    <s v="Home"/>
    <n v="2"/>
    <n v="611.25"/>
    <n v="0.22"/>
    <n v="953.55000000000007"/>
    <x v="0"/>
  </r>
  <r>
    <x v="20"/>
    <s v="Olsen-Daniels"/>
    <s v="Sports"/>
    <n v="1"/>
    <n v="66.14"/>
    <n v="0.14000000000000001"/>
    <n v="56.880400000000002"/>
    <x v="1"/>
  </r>
  <r>
    <x v="207"/>
    <s v="Olsen-Daniels"/>
    <s v="Sports"/>
    <n v="4"/>
    <n v="216.81"/>
    <n v="0.28999999999999998"/>
    <n v="615.74040000000002"/>
    <x v="0"/>
  </r>
  <r>
    <x v="208"/>
    <s v="Taylor-Elliott"/>
    <s v="Beauty"/>
    <n v="3"/>
    <n v="437.96"/>
    <n v="0.27"/>
    <n v="959.13239999999985"/>
    <x v="1"/>
  </r>
  <r>
    <x v="53"/>
    <s v="Taylor-Elliott"/>
    <s v="Beauty"/>
    <n v="2"/>
    <n v="685.31"/>
    <n v="0.26"/>
    <n v="1014.2588"/>
    <x v="2"/>
  </r>
  <r>
    <x v="132"/>
    <s v="Taylor-Elliott"/>
    <s v="Beauty"/>
    <n v="2"/>
    <n v="827.92"/>
    <n v="0.25"/>
    <n v="1241.8800000000001"/>
    <x v="1"/>
  </r>
  <r>
    <x v="209"/>
    <s v="Hill PLC"/>
    <s v="Sports"/>
    <n v="4"/>
    <n v="386.41"/>
    <n v="0.13"/>
    <n v="1344.7067999999999"/>
    <x v="1"/>
  </r>
  <r>
    <x v="210"/>
    <s v="Martin LLC"/>
    <s v="Electronics"/>
    <n v="4"/>
    <n v="370.5"/>
    <n v="0.13"/>
    <n v="1289.3399999999999"/>
    <x v="2"/>
  </r>
  <r>
    <x v="211"/>
    <s v="Hoffman-Williams"/>
    <s v="Beauty"/>
    <n v="4"/>
    <n v="33.630000000000003"/>
    <n v="0.05"/>
    <n v="127.794"/>
    <x v="0"/>
  </r>
  <r>
    <x v="30"/>
    <s v="Hoffman-Williams"/>
    <s v="Beauty"/>
    <n v="2"/>
    <n v="886.67"/>
    <n v="0.24"/>
    <n v="1347.7384"/>
    <x v="2"/>
  </r>
  <r>
    <x v="197"/>
    <s v="Hoffman-Williams"/>
    <s v="Beauty"/>
    <n v="4"/>
    <n v="101.25"/>
    <n v="0.16"/>
    <n v="340.2"/>
    <x v="2"/>
  </r>
  <r>
    <x v="37"/>
    <s v="Hoffman-Williams"/>
    <s v="Beauty"/>
    <n v="4"/>
    <n v="731.72"/>
    <n v="0.22"/>
    <n v="2282.9663999999998"/>
    <x v="1"/>
  </r>
  <r>
    <x v="212"/>
    <s v="Wilson Group"/>
    <s v="Sports"/>
    <n v="1"/>
    <n v="749.78"/>
    <n v="0.03"/>
    <n v="727.28659999999991"/>
    <x v="0"/>
  </r>
  <r>
    <x v="163"/>
    <s v="Phillips and Sons"/>
    <s v="Clothing"/>
    <n v="3"/>
    <n v="582.32000000000005"/>
    <n v="0"/>
    <n v="1746.96"/>
    <x v="2"/>
  </r>
  <r>
    <x v="213"/>
    <s v="Khan LLC"/>
    <s v="Sports"/>
    <n v="3"/>
    <n v="237.68"/>
    <n v="0.1"/>
    <n v="641.73599999999999"/>
    <x v="1"/>
  </r>
  <r>
    <x v="207"/>
    <s v="Khan LLC"/>
    <s v="Sports"/>
    <n v="3"/>
    <n v="679.38"/>
    <n v="0.3"/>
    <n v="1426.6980000000001"/>
    <x v="1"/>
  </r>
  <r>
    <x v="150"/>
    <s v="Flores-King"/>
    <s v="Electronics"/>
    <n v="2"/>
    <n v="443.15"/>
    <n v="0.27"/>
    <n v="646.99899999999991"/>
    <x v="2"/>
  </r>
  <r>
    <x v="133"/>
    <s v="Campbell Ltd"/>
    <s v="Home"/>
    <n v="3"/>
    <n v="130.38999999999999"/>
    <n v="0.24"/>
    <n v="297.28919999999999"/>
    <x v="2"/>
  </r>
  <r>
    <x v="214"/>
    <s v="Campbell Ltd"/>
    <s v="Home"/>
    <n v="3"/>
    <n v="53.83"/>
    <n v="0.24"/>
    <n v="122.7324"/>
    <x v="0"/>
  </r>
  <r>
    <x v="215"/>
    <s v="Terry-Moore"/>
    <s v="Clothing"/>
    <n v="4"/>
    <n v="880.26"/>
    <n v="0.11"/>
    <n v="3133.7256000000002"/>
    <x v="1"/>
  </r>
  <r>
    <x v="177"/>
    <s v="Terry-Moore"/>
    <s v="Clothing"/>
    <n v="3"/>
    <n v="305"/>
    <n v="0.01"/>
    <n v="905.85"/>
    <x v="1"/>
  </r>
  <r>
    <x v="216"/>
    <s v="Hamilton Group"/>
    <s v="Home"/>
    <n v="1"/>
    <n v="57.94"/>
    <n v="0.13"/>
    <n v="50.407799999999988"/>
    <x v="2"/>
  </r>
  <r>
    <x v="2"/>
    <s v="Erickson-Green"/>
    <s v="Beauty"/>
    <n v="2"/>
    <n v="851.77"/>
    <n v="0.13"/>
    <n v="1482.0798"/>
    <x v="2"/>
  </r>
  <r>
    <x v="217"/>
    <s v="Erickson-Green"/>
    <s v="Beauty"/>
    <n v="4"/>
    <n v="640.23"/>
    <n v="0.06"/>
    <n v="2407.2647999999999"/>
    <x v="1"/>
  </r>
  <r>
    <x v="218"/>
    <s v="Erickson-Green"/>
    <s v="Beauty"/>
    <n v="1"/>
    <n v="558.41999999999996"/>
    <n v="0.03"/>
    <n v="541.66739999999993"/>
    <x v="0"/>
  </r>
  <r>
    <x v="219"/>
    <s v="Guerra-Hendrix"/>
    <s v="Clothing"/>
    <n v="1"/>
    <n v="974.52"/>
    <n v="0.01"/>
    <n v="964.77480000000003"/>
    <x v="2"/>
  </r>
  <r>
    <x v="220"/>
    <s v="May-Reese"/>
    <s v="Sports"/>
    <n v="3"/>
    <n v="663.73"/>
    <n v="0.06"/>
    <n v="1871.7185999999999"/>
    <x v="1"/>
  </r>
  <r>
    <x v="67"/>
    <s v="Soto-Ellis"/>
    <s v="Sports"/>
    <n v="1"/>
    <n v="202.13"/>
    <n v="0.13"/>
    <n v="175.85310000000001"/>
    <x v="1"/>
  </r>
  <r>
    <x v="39"/>
    <s v="Moon, Mora and Santos"/>
    <s v="Clothing"/>
    <n v="1"/>
    <n v="588.61"/>
    <n v="0.1"/>
    <n v="529.74900000000002"/>
    <x v="2"/>
  </r>
  <r>
    <x v="221"/>
    <s v="Brown and Sons"/>
    <s v="Clothing"/>
    <n v="2"/>
    <n v="151.47"/>
    <n v="0.21"/>
    <n v="239.32259999999999"/>
    <x v="2"/>
  </r>
  <r>
    <x v="187"/>
    <s v="Burns-Hansen"/>
    <s v="Sports"/>
    <n v="2"/>
    <n v="60.98"/>
    <n v="0.23"/>
    <n v="93.909199999999998"/>
    <x v="2"/>
  </r>
  <r>
    <x v="222"/>
    <s v="Stevens, Fernandez and Martin"/>
    <s v="Home"/>
    <n v="1"/>
    <n v="135.78"/>
    <n v="0.14000000000000001"/>
    <n v="116.77079999999999"/>
    <x v="2"/>
  </r>
  <r>
    <x v="223"/>
    <s v="Stevens, Fernandez and Martin"/>
    <s v="Home"/>
    <n v="2"/>
    <n v="723.75"/>
    <n v="0.03"/>
    <n v="1404.075"/>
    <x v="2"/>
  </r>
  <r>
    <x v="224"/>
    <s v="Nolan-Snow"/>
    <s v="Sports"/>
    <n v="4"/>
    <n v="862.25"/>
    <n v="0.28000000000000003"/>
    <n v="2483.2800000000002"/>
    <x v="2"/>
  </r>
  <r>
    <x v="190"/>
    <s v="Weiss-Watson"/>
    <s v="Home"/>
    <n v="1"/>
    <n v="827.91"/>
    <n v="0.21"/>
    <n v="654.0489"/>
    <x v="2"/>
  </r>
  <r>
    <x v="225"/>
    <s v="Lucero LLC"/>
    <s v="Electronics"/>
    <n v="1"/>
    <n v="324.56"/>
    <n v="0.03"/>
    <n v="314.82319999999999"/>
    <x v="1"/>
  </r>
  <r>
    <x v="195"/>
    <s v="Lucero LLC"/>
    <s v="Electronics"/>
    <n v="2"/>
    <n v="414.18"/>
    <n v="0.25"/>
    <n v="621.27"/>
    <x v="2"/>
  </r>
  <r>
    <x v="226"/>
    <s v="Lucero LLC"/>
    <s v="Electronics"/>
    <n v="1"/>
    <n v="164.73"/>
    <n v="0.12"/>
    <n v="144.9624"/>
    <x v="2"/>
  </r>
  <r>
    <x v="227"/>
    <s v="Smith-Mills"/>
    <s v="Clothing"/>
    <n v="3"/>
    <n v="120.67"/>
    <n v="0.08"/>
    <n v="333.04919999999998"/>
    <x v="1"/>
  </r>
  <r>
    <x v="228"/>
    <s v="Hogan-Lee"/>
    <s v="Clothing"/>
    <n v="3"/>
    <n v="917.64"/>
    <n v="0.24"/>
    <n v="2092.2192"/>
    <x v="2"/>
  </r>
  <r>
    <x v="82"/>
    <s v="Hogan-Lee"/>
    <s v="Clothing"/>
    <n v="3"/>
    <n v="995.38"/>
    <n v="0.1"/>
    <n v="2687.5259999999998"/>
    <x v="2"/>
  </r>
  <r>
    <x v="229"/>
    <s v="Sims-Smith"/>
    <s v="Sports"/>
    <n v="3"/>
    <n v="649.78"/>
    <n v="0.1"/>
    <n v="1754.4059999999999"/>
    <x v="2"/>
  </r>
  <r>
    <x v="220"/>
    <s v="Cummings and Sons"/>
    <s v="Electronics"/>
    <n v="1"/>
    <n v="165"/>
    <n v="0.3"/>
    <n v="115.5"/>
    <x v="1"/>
  </r>
  <r>
    <x v="103"/>
    <s v="Cummings and Sons"/>
    <s v="Electronics"/>
    <n v="3"/>
    <n v="590.30999999999995"/>
    <n v="0.17"/>
    <n v="1469.8719000000001"/>
    <x v="2"/>
  </r>
  <r>
    <x v="230"/>
    <s v="Cummings and Sons"/>
    <s v="Electronics"/>
    <n v="4"/>
    <n v="278.70999999999998"/>
    <n v="0.2"/>
    <n v="891.87199999999996"/>
    <x v="2"/>
  </r>
  <r>
    <x v="231"/>
    <s v="Gonzales-Davis"/>
    <s v="Clothing"/>
    <n v="1"/>
    <n v="769.4"/>
    <n v="0.16"/>
    <n v="646.29599999999994"/>
    <x v="0"/>
  </r>
  <r>
    <x v="64"/>
    <s v="Taylor-Hart"/>
    <s v="Electronics"/>
    <n v="2"/>
    <n v="74.63"/>
    <n v="0.01"/>
    <n v="147.76740000000001"/>
    <x v="2"/>
  </r>
  <r>
    <x v="232"/>
    <s v="Carroll, Long and Mendoza"/>
    <s v="Sports"/>
    <n v="3"/>
    <n v="28.69"/>
    <n v="0.02"/>
    <n v="84.348600000000005"/>
    <x v="0"/>
  </r>
  <r>
    <x v="36"/>
    <s v="Holmes LLC"/>
    <s v="Electronics"/>
    <n v="2"/>
    <n v="705.61"/>
    <n v="0.28000000000000003"/>
    <n v="1016.0784"/>
    <x v="0"/>
  </r>
  <r>
    <x v="233"/>
    <s v="Holmes LLC"/>
    <s v="Electronics"/>
    <n v="2"/>
    <n v="271.88"/>
    <n v="0.11"/>
    <n v="483.94639999999998"/>
    <x v="1"/>
  </r>
  <r>
    <x v="234"/>
    <s v="Robinson Inc"/>
    <s v="Electronics"/>
    <n v="2"/>
    <n v="249.02"/>
    <n v="0.01"/>
    <n v="493.05959999999999"/>
    <x v="1"/>
  </r>
  <r>
    <x v="235"/>
    <s v="Cox Inc"/>
    <s v="Sports"/>
    <n v="1"/>
    <n v="541.24"/>
    <n v="0.03"/>
    <n v="525.00279999999998"/>
    <x v="2"/>
  </r>
  <r>
    <x v="236"/>
    <s v="Bridges, Banks and Cummings"/>
    <s v="Sports"/>
    <n v="2"/>
    <n v="556.42999999999995"/>
    <n v="0.13"/>
    <n v="968.18819999999994"/>
    <x v="0"/>
  </r>
  <r>
    <x v="152"/>
    <s v="Bridges, Banks and Cummings"/>
    <s v="Sports"/>
    <n v="1"/>
    <n v="183.47"/>
    <n v="0.17"/>
    <n v="152.2801"/>
    <x v="2"/>
  </r>
  <r>
    <x v="237"/>
    <s v="Kelly, Smith and Perez"/>
    <s v="Clothing"/>
    <n v="2"/>
    <n v="213.69"/>
    <n v="0.28000000000000003"/>
    <n v="307.71359999999999"/>
    <x v="2"/>
  </r>
  <r>
    <x v="238"/>
    <s v="Cook Inc"/>
    <s v="Beauty"/>
    <n v="1"/>
    <n v="713.63"/>
    <n v="0.28000000000000003"/>
    <n v="513.81359999999995"/>
    <x v="1"/>
  </r>
  <r>
    <x v="104"/>
    <s v="Byrd, Stewart and Valdez"/>
    <s v="Electronics"/>
    <n v="2"/>
    <n v="875.2"/>
    <n v="0.19"/>
    <n v="1417.8240000000001"/>
    <x v="0"/>
  </r>
  <r>
    <x v="239"/>
    <s v="Sullivan and Sons"/>
    <s v="Beauty"/>
    <n v="1"/>
    <n v="325.08"/>
    <n v="0.26"/>
    <n v="240.5592"/>
    <x v="2"/>
  </r>
  <r>
    <x v="166"/>
    <s v="Sullivan and Sons"/>
    <s v="Beauty"/>
    <n v="4"/>
    <n v="450.3"/>
    <n v="0.02"/>
    <n v="1765.1759999999999"/>
    <x v="0"/>
  </r>
  <r>
    <x v="185"/>
    <s v="Sullivan and Sons"/>
    <s v="Beauty"/>
    <n v="2"/>
    <n v="559.71"/>
    <n v="0.3"/>
    <n v="783.59400000000005"/>
    <x v="1"/>
  </r>
  <r>
    <x v="165"/>
    <s v="Bautista, Green and Hale"/>
    <s v="Electronics"/>
    <n v="3"/>
    <n v="461.02"/>
    <n v="0.28999999999999998"/>
    <n v="981.97259999999994"/>
    <x v="2"/>
  </r>
  <r>
    <x v="218"/>
    <s v="Bautista, Green and Hale"/>
    <s v="Electronics"/>
    <n v="3"/>
    <n v="298.35000000000002"/>
    <n v="0.05"/>
    <n v="850.29750000000001"/>
    <x v="1"/>
  </r>
  <r>
    <x v="240"/>
    <s v="Hamilton, Woods and Walker"/>
    <s v="Clothing"/>
    <n v="3"/>
    <n v="269.83999999999997"/>
    <n v="0.05"/>
    <n v="769.04399999999998"/>
    <x v="2"/>
  </r>
  <r>
    <x v="241"/>
    <s v="Hatfield, Baird and Torres"/>
    <s v="Home"/>
    <n v="4"/>
    <n v="73.69"/>
    <n v="0.08"/>
    <n v="271.17919999999998"/>
    <x v="0"/>
  </r>
  <r>
    <x v="111"/>
    <s v="Cline-Mccarthy"/>
    <s v="Beauty"/>
    <n v="2"/>
    <n v="23.58"/>
    <n v="0.02"/>
    <n v="46.216799999999999"/>
    <x v="2"/>
  </r>
  <r>
    <x v="242"/>
    <s v="Cline-Mccarthy"/>
    <s v="Beauty"/>
    <n v="2"/>
    <n v="81.16"/>
    <n v="0.16"/>
    <n v="136.34880000000001"/>
    <x v="2"/>
  </r>
  <r>
    <x v="211"/>
    <s v="Cline-Mccarthy"/>
    <s v="Beauty"/>
    <n v="4"/>
    <n v="511.43"/>
    <n v="0.18"/>
    <n v="1677.4903999999999"/>
    <x v="1"/>
  </r>
  <r>
    <x v="131"/>
    <s v="Cline-Mccarthy"/>
    <s v="Beauty"/>
    <n v="2"/>
    <n v="410.63"/>
    <n v="0.28000000000000003"/>
    <n v="591.30719999999997"/>
    <x v="1"/>
  </r>
  <r>
    <x v="94"/>
    <s v="Cline-Mccarthy"/>
    <s v="Beauty"/>
    <n v="2"/>
    <n v="687.36"/>
    <n v="7.0000000000000007E-2"/>
    <n v="1278.4896000000001"/>
    <x v="1"/>
  </r>
  <r>
    <x v="142"/>
    <s v="Gibson, Green and Lopez"/>
    <s v="Beauty"/>
    <n v="1"/>
    <n v="141.85"/>
    <n v="0.06"/>
    <n v="133.339"/>
    <x v="2"/>
  </r>
  <r>
    <x v="189"/>
    <s v="Gibson, Green and Lopez"/>
    <s v="Beauty"/>
    <n v="3"/>
    <n v="257.11"/>
    <n v="0.26"/>
    <n v="570.78420000000006"/>
    <x v="1"/>
  </r>
  <r>
    <x v="243"/>
    <s v="Gibson, Green and Lopez"/>
    <s v="Beauty"/>
    <n v="4"/>
    <n v="861.55"/>
    <n v="0.12"/>
    <n v="3032.6559999999999"/>
    <x v="0"/>
  </r>
  <r>
    <x v="224"/>
    <s v="Lopez LLC"/>
    <s v="Sports"/>
    <n v="3"/>
    <n v="945.37"/>
    <n v="0.05"/>
    <n v="2694.3045000000002"/>
    <x v="0"/>
  </r>
  <r>
    <x v="241"/>
    <s v="Murray, Gould and Ware"/>
    <s v="Electronics"/>
    <n v="2"/>
    <n v="527.91"/>
    <n v="0.02"/>
    <n v="1034.7036000000001"/>
    <x v="0"/>
  </r>
  <r>
    <x v="27"/>
    <s v="Murray, Gould and Ware"/>
    <s v="Electronics"/>
    <n v="4"/>
    <n v="964"/>
    <n v="0.14000000000000001"/>
    <n v="3316.16"/>
    <x v="2"/>
  </r>
  <r>
    <x v="244"/>
    <s v="Anderson-Riley"/>
    <s v="Beauty"/>
    <n v="1"/>
    <n v="503.95"/>
    <n v="0.24"/>
    <n v="383.00200000000001"/>
    <x v="2"/>
  </r>
  <r>
    <x v="245"/>
    <s v="Anderson-Riley"/>
    <s v="Beauty"/>
    <n v="4"/>
    <n v="592.67999999999995"/>
    <n v="0.03"/>
    <n v="2299.5983999999999"/>
    <x v="0"/>
  </r>
  <r>
    <x v="246"/>
    <s v="Zhang Inc"/>
    <s v="Beauty"/>
    <n v="3"/>
    <n v="773.86"/>
    <n v="0.22"/>
    <n v="1810.8324"/>
    <x v="0"/>
  </r>
  <r>
    <x v="237"/>
    <s v="Montgomery, Benton and Miller"/>
    <s v="Sports"/>
    <n v="2"/>
    <n v="703.95"/>
    <n v="0.03"/>
    <n v="1365.663"/>
    <x v="0"/>
  </r>
  <r>
    <x v="247"/>
    <s v="Torres, Spencer and Potter"/>
    <s v="Beauty"/>
    <n v="1"/>
    <n v="891.79"/>
    <n v="0.03"/>
    <n v="865.03629999999998"/>
    <x v="0"/>
  </r>
  <r>
    <x v="100"/>
    <s v="Flores-Davis"/>
    <s v="Electronics"/>
    <n v="4"/>
    <n v="645.71"/>
    <n v="0.1"/>
    <n v="2324.556"/>
    <x v="2"/>
  </r>
  <r>
    <x v="238"/>
    <s v="Flores-Davis"/>
    <s v="Electronics"/>
    <n v="2"/>
    <n v="924.73"/>
    <n v="0.28999999999999998"/>
    <n v="1313.1166000000001"/>
    <x v="2"/>
  </r>
  <r>
    <x v="220"/>
    <s v="Wolfe, Ross and Hester"/>
    <s v="Home"/>
    <n v="1"/>
    <n v="935.78"/>
    <n v="0.03"/>
    <n v="907.70659999999998"/>
    <x v="2"/>
  </r>
  <r>
    <x v="29"/>
    <s v="Fitzpatrick Ltd"/>
    <s v="Clothing"/>
    <n v="2"/>
    <n v="895.92"/>
    <n v="0.15"/>
    <n v="1523.0640000000001"/>
    <x v="0"/>
  </r>
  <r>
    <x v="3"/>
    <s v="Fitzpatrick Ltd"/>
    <s v="Clothing"/>
    <n v="4"/>
    <n v="136.4"/>
    <n v="0.04"/>
    <n v="523.77599999999995"/>
    <x v="1"/>
  </r>
  <r>
    <x v="106"/>
    <s v="Davis PLC"/>
    <s v="Sports"/>
    <n v="2"/>
    <n v="838.59"/>
    <n v="0.18"/>
    <n v="1375.2876000000001"/>
    <x v="1"/>
  </r>
  <r>
    <x v="74"/>
    <s v="French Ltd"/>
    <s v="Sports"/>
    <n v="4"/>
    <n v="871.2"/>
    <n v="0.28999999999999998"/>
    <n v="2474.2080000000001"/>
    <x v="0"/>
  </r>
  <r>
    <x v="248"/>
    <s v="French Ltd"/>
    <s v="Sports"/>
    <n v="3"/>
    <n v="488.37"/>
    <n v="0.27"/>
    <n v="1069.5302999999999"/>
    <x v="1"/>
  </r>
  <r>
    <x v="249"/>
    <s v="Bruce-Bowen"/>
    <s v="Electronics"/>
    <n v="3"/>
    <n v="803.76"/>
    <n v="0.19"/>
    <n v="1953.1368"/>
    <x v="1"/>
  </r>
  <r>
    <x v="250"/>
    <s v="Taylor, Dodson and Johnston"/>
    <s v="Home"/>
    <n v="2"/>
    <n v="879.63"/>
    <n v="7.0000000000000007E-2"/>
    <n v="1636.1117999999999"/>
    <x v="1"/>
  </r>
  <r>
    <x v="165"/>
    <s v="Taylor, Dodson and Johnston"/>
    <s v="Home"/>
    <n v="2"/>
    <n v="494.35"/>
    <n v="0.1"/>
    <n v="889.83"/>
    <x v="0"/>
  </r>
  <r>
    <x v="203"/>
    <s v="Aguilar, Horton and Lewis"/>
    <s v="Home"/>
    <n v="4"/>
    <n v="565.51"/>
    <n v="0.16"/>
    <n v="1900.1135999999999"/>
    <x v="2"/>
  </r>
  <r>
    <x v="84"/>
    <s v="Taylor-Elliott"/>
    <s v="Beauty"/>
    <n v="3"/>
    <n v="539.44000000000005"/>
    <n v="0.05"/>
    <n v="1537.404"/>
    <x v="1"/>
  </r>
  <r>
    <x v="251"/>
    <s v="Taylor-Elliott"/>
    <s v="Beauty"/>
    <n v="1"/>
    <n v="996.33"/>
    <n v="0.23"/>
    <n v="767.17410000000007"/>
    <x v="2"/>
  </r>
  <r>
    <x v="99"/>
    <s v="Sharp, Taylor and Rodriguez"/>
    <s v="Electronics"/>
    <n v="1"/>
    <n v="413.65"/>
    <n v="0.1"/>
    <n v="372.28500000000003"/>
    <x v="1"/>
  </r>
  <r>
    <x v="252"/>
    <s v="Smith-Charles"/>
    <s v="Clothing"/>
    <n v="4"/>
    <n v="202.46"/>
    <n v="0.24"/>
    <n v="615.47840000000008"/>
    <x v="0"/>
  </r>
  <r>
    <x v="253"/>
    <s v="Green, Powell and Palmer"/>
    <s v="Home"/>
    <n v="3"/>
    <n v="862.18"/>
    <n v="0.22"/>
    <n v="2017.5011999999999"/>
    <x v="2"/>
  </r>
  <r>
    <x v="201"/>
    <s v="Green, Powell and Palmer"/>
    <s v="Home"/>
    <n v="4"/>
    <n v="23.57"/>
    <n v="0.1"/>
    <n v="84.852000000000004"/>
    <x v="0"/>
  </r>
  <r>
    <x v="162"/>
    <s v="Green, Powell and Palmer"/>
    <s v="Home"/>
    <n v="1"/>
    <n v="209.39"/>
    <n v="0.28000000000000003"/>
    <n v="150.76079999999999"/>
    <x v="2"/>
  </r>
  <r>
    <x v="250"/>
    <s v="Hoffman-Williams"/>
    <s v="Beauty"/>
    <n v="3"/>
    <n v="265.89"/>
    <n v="0.08"/>
    <n v="733.85640000000001"/>
    <x v="1"/>
  </r>
  <r>
    <x v="160"/>
    <s v="Hoffman-Williams"/>
    <s v="Beauty"/>
    <n v="1"/>
    <n v="861.5"/>
    <n v="0.05"/>
    <n v="818.42499999999995"/>
    <x v="1"/>
  </r>
  <r>
    <x v="254"/>
    <s v="Hoffman-Williams"/>
    <s v="Beauty"/>
    <n v="3"/>
    <n v="206.84"/>
    <n v="0.19"/>
    <n v="502.62119999999999"/>
    <x v="2"/>
  </r>
  <r>
    <x v="255"/>
    <s v="Hoffman-Williams"/>
    <s v="Beauty"/>
    <n v="3"/>
    <n v="845.67"/>
    <n v="0.12"/>
    <n v="2232.5688"/>
    <x v="1"/>
  </r>
  <r>
    <x v="256"/>
    <s v="Khan LLC"/>
    <s v="Sports"/>
    <n v="2"/>
    <n v="181.42"/>
    <n v="0.08"/>
    <n v="333.81279999999998"/>
    <x v="2"/>
  </r>
  <r>
    <x v="257"/>
    <s v="Flores-King"/>
    <s v="Electronics"/>
    <n v="4"/>
    <n v="862.67"/>
    <n v="0.2"/>
    <n v="2760.5439999999999"/>
    <x v="2"/>
  </r>
  <r>
    <x v="258"/>
    <s v="Flores-King"/>
    <s v="Electronics"/>
    <n v="1"/>
    <n v="645.48"/>
    <n v="0.26"/>
    <n v="477.65519999999998"/>
    <x v="1"/>
  </r>
  <r>
    <x v="34"/>
    <s v="Campbell Ltd"/>
    <s v="Home"/>
    <n v="1"/>
    <n v="736.54"/>
    <n v="0.16"/>
    <n v="618.69359999999995"/>
    <x v="2"/>
  </r>
  <r>
    <x v="259"/>
    <s v="Terry-Moore"/>
    <s v="Clothing"/>
    <n v="2"/>
    <n v="237.59"/>
    <n v="0.12"/>
    <n v="418.15839999999997"/>
    <x v="0"/>
  </r>
  <r>
    <x v="39"/>
    <s v="Hamilton Group"/>
    <s v="Home"/>
    <n v="3"/>
    <n v="240.27"/>
    <n v="0.15"/>
    <n v="612.68850000000009"/>
    <x v="2"/>
  </r>
  <r>
    <x v="180"/>
    <s v="Hamilton Group"/>
    <s v="Home"/>
    <n v="4"/>
    <n v="228.98"/>
    <n v="0.22"/>
    <n v="714.41759999999999"/>
    <x v="2"/>
  </r>
  <r>
    <x v="260"/>
    <s v="Gibson, Hobbs and Weaver"/>
    <s v="Electronics"/>
    <n v="1"/>
    <n v="470.18"/>
    <n v="0.19"/>
    <n v="380.84580000000011"/>
    <x v="2"/>
  </r>
  <r>
    <x v="186"/>
    <s v="Luna, Anderson and Bowman"/>
    <s v="Home"/>
    <n v="1"/>
    <n v="68.209999999999994"/>
    <n v="0.05"/>
    <n v="64.799499999999995"/>
    <x v="2"/>
  </r>
  <r>
    <x v="261"/>
    <s v="Luna, Anderson and Bowman"/>
    <s v="Home"/>
    <n v="2"/>
    <n v="403.2"/>
    <n v="0.21"/>
    <n v="637.05600000000004"/>
    <x v="2"/>
  </r>
  <r>
    <x v="262"/>
    <s v="Thomas LLC"/>
    <s v="Electronics"/>
    <n v="4"/>
    <n v="935.98"/>
    <n v="0.11"/>
    <n v="3332.0888"/>
    <x v="2"/>
  </r>
  <r>
    <x v="115"/>
    <s v="Ford, Murphy and Wilson"/>
    <s v="Sports"/>
    <n v="2"/>
    <n v="428.55"/>
    <n v="0"/>
    <n v="857.1"/>
    <x v="2"/>
  </r>
  <r>
    <x v="263"/>
    <s v="Guerra-Hendrix"/>
    <s v="Clothing"/>
    <n v="4"/>
    <n v="455.49"/>
    <n v="0.17"/>
    <n v="1512.2267999999999"/>
    <x v="0"/>
  </r>
  <r>
    <x v="151"/>
    <s v="Guerra-Hendrix"/>
    <s v="Clothing"/>
    <n v="3"/>
    <n v="99.77"/>
    <n v="0.01"/>
    <n v="296.31689999999998"/>
    <x v="2"/>
  </r>
  <r>
    <x v="264"/>
    <s v="Sims Inc"/>
    <s v="Clothing"/>
    <n v="3"/>
    <n v="24.29"/>
    <n v="0.12"/>
    <n v="64.125600000000006"/>
    <x v="2"/>
  </r>
  <r>
    <x v="265"/>
    <s v="Soto-Ellis"/>
    <s v="Sports"/>
    <n v="4"/>
    <n v="659.17"/>
    <n v="0.12"/>
    <n v="2320.2784000000001"/>
    <x v="0"/>
  </r>
  <r>
    <x v="266"/>
    <s v="Soto-Ellis"/>
    <s v="Sports"/>
    <n v="1"/>
    <n v="99.35"/>
    <n v="0.08"/>
    <n v="91.402000000000001"/>
    <x v="1"/>
  </r>
  <r>
    <x v="267"/>
    <s v="Gardner-Montes"/>
    <s v="Home"/>
    <n v="3"/>
    <n v="587.12"/>
    <n v="0.3"/>
    <n v="1232.952"/>
    <x v="0"/>
  </r>
  <r>
    <x v="215"/>
    <s v="Gardner-Montes"/>
    <s v="Home"/>
    <n v="1"/>
    <n v="440.48"/>
    <n v="0.11"/>
    <n v="392.02720000000011"/>
    <x v="1"/>
  </r>
  <r>
    <x v="268"/>
    <s v="Gardner-Montes"/>
    <s v="Home"/>
    <n v="3"/>
    <n v="984.12"/>
    <n v="0.27"/>
    <n v="2155.2228"/>
    <x v="0"/>
  </r>
  <r>
    <x v="44"/>
    <s v="Flores, Pineda and Rodriguez"/>
    <s v="Sports"/>
    <n v="1"/>
    <n v="904.92"/>
    <n v="0.13"/>
    <n v="787.28039999999999"/>
    <x v="0"/>
  </r>
  <r>
    <x v="130"/>
    <s v="Flores, Pineda and Rodriguez"/>
    <s v="Sports"/>
    <n v="4"/>
    <n v="411.68"/>
    <n v="0.06"/>
    <n v="1547.9168"/>
    <x v="2"/>
  </r>
  <r>
    <x v="269"/>
    <s v="Cook Ltd"/>
    <s v="Sports"/>
    <n v="2"/>
    <n v="722.06"/>
    <n v="7.0000000000000007E-2"/>
    <n v="1343.0316"/>
    <x v="0"/>
  </r>
  <r>
    <x v="270"/>
    <s v="Cook Ltd"/>
    <s v="Sports"/>
    <n v="3"/>
    <n v="304.67"/>
    <n v="0.11"/>
    <n v="813.46889999999996"/>
    <x v="0"/>
  </r>
  <r>
    <x v="115"/>
    <s v="Brown and Sons"/>
    <s v="Clothing"/>
    <n v="4"/>
    <n v="175.91"/>
    <n v="0.13"/>
    <n v="612.16679999999997"/>
    <x v="2"/>
  </r>
  <r>
    <x v="144"/>
    <s v="Brown and Sons"/>
    <s v="Clothing"/>
    <n v="2"/>
    <n v="583.51"/>
    <n v="0.2"/>
    <n v="933.61599999999999"/>
    <x v="1"/>
  </r>
  <r>
    <x v="61"/>
    <s v="Griffin Ltd"/>
    <s v="Beauty"/>
    <n v="3"/>
    <n v="622.72"/>
    <n v="0.04"/>
    <n v="1793.4336000000001"/>
    <x v="0"/>
  </r>
  <r>
    <x v="26"/>
    <s v="Griffin Ltd"/>
    <s v="Beauty"/>
    <n v="4"/>
    <n v="303.56"/>
    <n v="0.2"/>
    <n v="971.39200000000005"/>
    <x v="1"/>
  </r>
  <r>
    <x v="161"/>
    <s v="Lucero LLC"/>
    <s v="Electronics"/>
    <n v="4"/>
    <n v="94.13"/>
    <n v="0.04"/>
    <n v="361.45920000000001"/>
    <x v="1"/>
  </r>
  <r>
    <x v="11"/>
    <s v="Jones LLC"/>
    <s v="Home"/>
    <n v="1"/>
    <n v="996.48"/>
    <n v="7.0000000000000007E-2"/>
    <n v="926.7263999999999"/>
    <x v="1"/>
  </r>
  <r>
    <x v="271"/>
    <s v="Jones LLC"/>
    <s v="Home"/>
    <n v="2"/>
    <n v="338.81"/>
    <n v="7.0000000000000007E-2"/>
    <n v="630.1866"/>
    <x v="1"/>
  </r>
  <r>
    <x v="190"/>
    <s v="Jones LLC"/>
    <s v="Home"/>
    <n v="3"/>
    <n v="471.31"/>
    <n v="0"/>
    <n v="1413.93"/>
    <x v="2"/>
  </r>
  <r>
    <x v="272"/>
    <s v="Hogan-Lee"/>
    <s v="Clothing"/>
    <n v="4"/>
    <n v="747.56"/>
    <n v="0.09"/>
    <n v="2721.1183999999998"/>
    <x v="1"/>
  </r>
  <r>
    <x v="140"/>
    <s v="Hogan-Lee"/>
    <s v="Clothing"/>
    <n v="4"/>
    <n v="332.97"/>
    <n v="0.28000000000000003"/>
    <n v="958.95360000000005"/>
    <x v="0"/>
  </r>
  <r>
    <x v="273"/>
    <s v="Sims-Smith"/>
    <s v="Sports"/>
    <n v="4"/>
    <n v="619.74"/>
    <n v="0.13"/>
    <n v="2156.6952000000001"/>
    <x v="1"/>
  </r>
  <r>
    <x v="192"/>
    <s v="Sims-Smith"/>
    <s v="Sports"/>
    <n v="1"/>
    <n v="21.14"/>
    <n v="0.06"/>
    <n v="19.871600000000001"/>
    <x v="1"/>
  </r>
  <r>
    <x v="217"/>
    <s v="Sims-Smith"/>
    <s v="Sports"/>
    <n v="2"/>
    <n v="960.81"/>
    <n v="0.28000000000000003"/>
    <n v="1383.5663999999999"/>
    <x v="2"/>
  </r>
  <r>
    <x v="274"/>
    <s v="Cummings and Sons"/>
    <s v="Electronics"/>
    <n v="1"/>
    <n v="770.87"/>
    <n v="0.1"/>
    <n v="693.78300000000002"/>
    <x v="1"/>
  </r>
  <r>
    <x v="30"/>
    <s v="Cummings and Sons"/>
    <s v="Electronics"/>
    <n v="4"/>
    <n v="721.54"/>
    <n v="0.21"/>
    <n v="2280.0664000000002"/>
    <x v="0"/>
  </r>
  <r>
    <x v="217"/>
    <s v="Cummings and Sons"/>
    <s v="Electronics"/>
    <n v="3"/>
    <n v="954.29"/>
    <n v="0.27"/>
    <n v="2089.8951000000002"/>
    <x v="0"/>
  </r>
  <r>
    <x v="23"/>
    <s v="Gonzales-Davis"/>
    <s v="Clothing"/>
    <n v="1"/>
    <n v="221.7"/>
    <n v="0.04"/>
    <n v="212.83199999999999"/>
    <x v="0"/>
  </r>
  <r>
    <x v="275"/>
    <s v="Taylor-Hart"/>
    <s v="Electronics"/>
    <n v="4"/>
    <n v="95.06"/>
    <n v="0.03"/>
    <n v="368.83280000000002"/>
    <x v="0"/>
  </r>
  <r>
    <x v="23"/>
    <s v="Carroll, Long and Mendoza"/>
    <s v="Sports"/>
    <n v="2"/>
    <n v="581.19000000000005"/>
    <n v="7.0000000000000007E-2"/>
    <n v="1081.0134"/>
    <x v="1"/>
  </r>
  <r>
    <x v="114"/>
    <s v="Holmes LLC"/>
    <s v="Electronics"/>
    <n v="3"/>
    <n v="605.83000000000004"/>
    <n v="0.28000000000000003"/>
    <n v="1308.5927999999999"/>
    <x v="1"/>
  </r>
  <r>
    <x v="276"/>
    <s v="Robinson Inc"/>
    <s v="Electronics"/>
    <n v="2"/>
    <n v="209.32"/>
    <n v="0.23"/>
    <n v="322.3528"/>
    <x v="1"/>
  </r>
  <r>
    <x v="277"/>
    <s v="Cook Inc"/>
    <s v="Beauty"/>
    <n v="2"/>
    <n v="591.33000000000004"/>
    <n v="0.24"/>
    <n v="898.8216000000001"/>
    <x v="0"/>
  </r>
  <r>
    <x v="35"/>
    <s v="Byrd, Stewart and Valdez"/>
    <s v="Electronics"/>
    <n v="4"/>
    <n v="950.04"/>
    <n v="0.13"/>
    <n v="3306.1392000000001"/>
    <x v="2"/>
  </r>
  <r>
    <x v="242"/>
    <s v="Baldwin, Garza and Gonzalez"/>
    <s v="Clothing"/>
    <n v="3"/>
    <n v="513.36"/>
    <n v="7.0000000000000007E-2"/>
    <n v="1432.2744"/>
    <x v="1"/>
  </r>
  <r>
    <x v="278"/>
    <s v="Smith-King"/>
    <s v="Sports"/>
    <n v="2"/>
    <n v="520.45000000000005"/>
    <n v="0.11"/>
    <n v="926.40100000000007"/>
    <x v="1"/>
  </r>
  <r>
    <x v="246"/>
    <s v="Bautista, Green and Hale"/>
    <s v="Electronics"/>
    <n v="3"/>
    <n v="781.39"/>
    <n v="0.12"/>
    <n v="2062.8696"/>
    <x v="0"/>
  </r>
  <r>
    <x v="279"/>
    <s v="Bautista, Green and Hale"/>
    <s v="Electronics"/>
    <n v="1"/>
    <n v="891.62"/>
    <n v="0.06"/>
    <n v="838.12279999999998"/>
    <x v="2"/>
  </r>
  <r>
    <x v="280"/>
    <s v="Hamilton, Woods and Walker"/>
    <s v="Clothing"/>
    <n v="2"/>
    <n v="148.96"/>
    <n v="0.03"/>
    <n v="288.98239999999998"/>
    <x v="1"/>
  </r>
  <r>
    <x v="281"/>
    <s v="Thompson-French"/>
    <s v="Sports"/>
    <n v="4"/>
    <n v="705.12"/>
    <n v="0.15"/>
    <n v="2397.4079999999999"/>
    <x v="2"/>
  </r>
  <r>
    <x v="60"/>
    <s v="Thompson-French"/>
    <s v="Sports"/>
    <n v="4"/>
    <n v="164.04"/>
    <n v="0.26"/>
    <n v="485.55839999999989"/>
    <x v="0"/>
  </r>
  <r>
    <x v="74"/>
    <s v="Hatfield, Baird and Torres"/>
    <s v="Home"/>
    <n v="1"/>
    <n v="846.3"/>
    <n v="0.14000000000000001"/>
    <n v="727.81799999999998"/>
    <x v="2"/>
  </r>
  <r>
    <x v="282"/>
    <s v="Hatfield, Baird and Torres"/>
    <s v="Home"/>
    <n v="1"/>
    <n v="967.76"/>
    <n v="0.09"/>
    <n v="880.66160000000002"/>
    <x v="0"/>
  </r>
  <r>
    <x v="89"/>
    <s v="Hernandez, Kennedy and Porter"/>
    <s v="Home"/>
    <n v="3"/>
    <n v="560.52"/>
    <n v="0.17"/>
    <n v="1395.6948"/>
    <x v="0"/>
  </r>
  <r>
    <x v="283"/>
    <s v="Shepherd-Gould"/>
    <s v="Clothing"/>
    <n v="2"/>
    <n v="485.17"/>
    <n v="0.11"/>
    <n v="863.60260000000005"/>
    <x v="2"/>
  </r>
  <r>
    <x v="159"/>
    <s v="Cline-Mccarthy"/>
    <s v="Beauty"/>
    <n v="1"/>
    <n v="758.89"/>
    <n v="0.1"/>
    <n v="683.00099999999998"/>
    <x v="0"/>
  </r>
  <r>
    <x v="238"/>
    <s v="Gibson, Green and Lopez"/>
    <s v="Beauty"/>
    <n v="2"/>
    <n v="396.9"/>
    <n v="0.18"/>
    <n v="650.91600000000005"/>
    <x v="2"/>
  </r>
  <r>
    <x v="149"/>
    <s v="Gibson, Green and Lopez"/>
    <s v="Beauty"/>
    <n v="4"/>
    <n v="755.82"/>
    <n v="0.22"/>
    <n v="2358.1583999999998"/>
    <x v="1"/>
  </r>
  <r>
    <x v="52"/>
    <s v="Lopez LLC"/>
    <s v="Sports"/>
    <n v="4"/>
    <n v="731.53"/>
    <n v="0.12"/>
    <n v="2574.9856"/>
    <x v="0"/>
  </r>
  <r>
    <x v="238"/>
    <s v="Murray, Gould and Ware"/>
    <s v="Electronics"/>
    <n v="3"/>
    <n v="741.33"/>
    <n v="0.03"/>
    <n v="2157.2703000000001"/>
    <x v="0"/>
  </r>
  <r>
    <x v="284"/>
    <s v="Anderson-Riley"/>
    <s v="Beauty"/>
    <n v="1"/>
    <n v="934.75"/>
    <n v="0.11"/>
    <n v="831.92750000000001"/>
    <x v="2"/>
  </r>
  <r>
    <x v="172"/>
    <s v="Montgomery, Benton and Miller"/>
    <s v="Sports"/>
    <n v="1"/>
    <n v="681.3"/>
    <n v="0.05"/>
    <n v="647.2349999999999"/>
    <x v="0"/>
  </r>
  <r>
    <x v="285"/>
    <s v="Torres, Spencer and Potter"/>
    <s v="Beauty"/>
    <n v="3"/>
    <n v="685.97"/>
    <n v="0.24"/>
    <n v="1564.0116"/>
    <x v="2"/>
  </r>
  <r>
    <x v="101"/>
    <s v="Torres, Spencer and Potter"/>
    <s v="Beauty"/>
    <n v="2"/>
    <n v="975.48"/>
    <n v="0.26"/>
    <n v="1443.7103999999999"/>
    <x v="1"/>
  </r>
  <r>
    <x v="286"/>
    <s v="Fitzpatrick Ltd"/>
    <s v="Clothing"/>
    <n v="4"/>
    <n v="383.74"/>
    <n v="0.01"/>
    <n v="1519.6104"/>
    <x v="0"/>
  </r>
  <r>
    <x v="237"/>
    <s v="Duran Group"/>
    <s v="Home"/>
    <n v="3"/>
    <n v="306.70999999999998"/>
    <n v="0.09"/>
    <n v="837.31829999999991"/>
    <x v="2"/>
  </r>
  <r>
    <x v="166"/>
    <s v="Hopkins Ltd"/>
    <s v="Beauty"/>
    <n v="4"/>
    <n v="849.17"/>
    <n v="0.12"/>
    <n v="2989.0783999999999"/>
    <x v="1"/>
  </r>
  <r>
    <x v="152"/>
    <s v="Bruce-Bowen"/>
    <s v="Electronics"/>
    <n v="3"/>
    <n v="306.52"/>
    <n v="0.01"/>
    <n v="910.36439999999993"/>
    <x v="1"/>
  </r>
  <r>
    <x v="204"/>
    <s v="Bruce-Bowen"/>
    <s v="Electronics"/>
    <n v="3"/>
    <n v="322.94"/>
    <n v="0.01"/>
    <n v="959.13179999999988"/>
    <x v="0"/>
  </r>
  <r>
    <x v="71"/>
    <s v="Poole PLC"/>
    <s v="Clothing"/>
    <n v="1"/>
    <n v="979.49"/>
    <n v="0.19"/>
    <n v="793.38690000000008"/>
    <x v="1"/>
  </r>
  <r>
    <x v="287"/>
    <s v="White, Reeves and Woods"/>
    <s v="Electronics"/>
    <n v="4"/>
    <n v="453.12"/>
    <n v="0.23"/>
    <n v="1395.6096"/>
    <x v="1"/>
  </r>
  <r>
    <x v="228"/>
    <s v="Hernandez Inc"/>
    <s v="Home"/>
    <n v="1"/>
    <n v="984.37"/>
    <n v="0"/>
    <n v="984.37"/>
    <x v="2"/>
  </r>
  <r>
    <x v="288"/>
    <s v="Hernandez Inc"/>
    <s v="Home"/>
    <n v="2"/>
    <n v="616.97"/>
    <n v="0.22"/>
    <n v="962.47320000000002"/>
    <x v="0"/>
  </r>
  <r>
    <x v="289"/>
    <s v="Hernandez Inc"/>
    <s v="Home"/>
    <n v="2"/>
    <n v="130.38999999999999"/>
    <n v="0.17"/>
    <n v="216.44739999999999"/>
    <x v="2"/>
  </r>
  <r>
    <x v="218"/>
    <s v="Ramirez-Hanson"/>
    <s v="Home"/>
    <n v="4"/>
    <n v="619.35"/>
    <n v="0.3"/>
    <n v="1734.18"/>
    <x v="0"/>
  </r>
  <r>
    <x v="290"/>
    <s v="Allison Ltd"/>
    <s v="Home"/>
    <n v="2"/>
    <n v="471.88"/>
    <n v="0.24"/>
    <n v="717.25760000000002"/>
    <x v="2"/>
  </r>
  <r>
    <x v="291"/>
    <s v="Robinson-Brown"/>
    <s v="Sports"/>
    <n v="2"/>
    <n v="966.71"/>
    <n v="0.11"/>
    <n v="1720.7438"/>
    <x v="0"/>
  </r>
  <r>
    <x v="292"/>
    <s v="Robinson-Brown"/>
    <s v="Sports"/>
    <n v="1"/>
    <n v="64.94"/>
    <n v="0.21"/>
    <n v="51.302599999999998"/>
    <x v="2"/>
  </r>
  <r>
    <x v="256"/>
    <s v="Butler Group"/>
    <s v="Beauty"/>
    <n v="3"/>
    <n v="435.61"/>
    <n v="0.03"/>
    <n v="1267.6251"/>
    <x v="2"/>
  </r>
  <r>
    <x v="187"/>
    <s v="Butler Group"/>
    <s v="Beauty"/>
    <n v="4"/>
    <n v="354.65"/>
    <n v="0.19"/>
    <n v="1149.066"/>
    <x v="0"/>
  </r>
  <r>
    <x v="293"/>
    <s v="Butler Group"/>
    <s v="Beauty"/>
    <n v="1"/>
    <n v="163.19999999999999"/>
    <n v="0.22"/>
    <n v="127.29600000000001"/>
    <x v="2"/>
  </r>
  <r>
    <x v="294"/>
    <s v="Aguilar, Horton and Lewis"/>
    <s v="Home"/>
    <n v="2"/>
    <n v="816.22"/>
    <n v="0.27"/>
    <n v="1191.6812"/>
    <x v="0"/>
  </r>
  <r>
    <x v="265"/>
    <s v="Taylor-Elliott"/>
    <s v="Beauty"/>
    <n v="4"/>
    <n v="461.83"/>
    <n v="0.28000000000000003"/>
    <n v="1330.0704000000001"/>
    <x v="2"/>
  </r>
  <r>
    <x v="291"/>
    <s v="Taylor-Elliott"/>
    <s v="Beauty"/>
    <n v="2"/>
    <n v="121.37"/>
    <n v="0.05"/>
    <n v="230.60300000000001"/>
    <x v="0"/>
  </r>
  <r>
    <x v="218"/>
    <s v="Taylor-Elliott"/>
    <s v="Beauty"/>
    <n v="4"/>
    <n v="706.67"/>
    <n v="0.01"/>
    <n v="2798.4132"/>
    <x v="0"/>
  </r>
  <r>
    <x v="159"/>
    <s v="Hill PLC"/>
    <s v="Sports"/>
    <n v="1"/>
    <n v="306.36"/>
    <n v="0.01"/>
    <n v="303.29640000000001"/>
    <x v="2"/>
  </r>
  <r>
    <x v="95"/>
    <s v="Hill PLC"/>
    <s v="Sports"/>
    <n v="1"/>
    <n v="829.83"/>
    <n v="0.26"/>
    <n v="614.07420000000002"/>
    <x v="1"/>
  </r>
  <r>
    <x v="295"/>
    <s v="Hill PLC"/>
    <s v="Sports"/>
    <n v="2"/>
    <n v="309.77999999999997"/>
    <n v="0.16"/>
    <n v="520.43039999999996"/>
    <x v="0"/>
  </r>
  <r>
    <x v="126"/>
    <s v="Sharp, Taylor and Rodriguez"/>
    <s v="Electronics"/>
    <n v="1"/>
    <n v="780.16"/>
    <n v="0.02"/>
    <n v="764.55679999999995"/>
    <x v="1"/>
  </r>
  <r>
    <x v="50"/>
    <s v="Smith-Charles"/>
    <s v="Clothing"/>
    <n v="2"/>
    <n v="229.81"/>
    <n v="0.21"/>
    <n v="363.09980000000002"/>
    <x v="1"/>
  </r>
  <r>
    <x v="296"/>
    <s v="Green, Powell and Palmer"/>
    <s v="Home"/>
    <n v="4"/>
    <n v="294.38"/>
    <n v="0.2"/>
    <n v="942.01600000000008"/>
    <x v="0"/>
  </r>
  <r>
    <x v="297"/>
    <s v="Martin LLC"/>
    <s v="Electronics"/>
    <n v="4"/>
    <n v="828.35"/>
    <n v="0.17"/>
    <n v="2750.1219999999998"/>
    <x v="0"/>
  </r>
  <r>
    <x v="171"/>
    <s v="Martin LLC"/>
    <s v="Electronics"/>
    <n v="4"/>
    <n v="986.41"/>
    <n v="0.22"/>
    <n v="3077.5992000000001"/>
    <x v="0"/>
  </r>
  <r>
    <x v="112"/>
    <s v="Martin LLC"/>
    <s v="Electronics"/>
    <n v="2"/>
    <n v="121.7"/>
    <n v="0.06"/>
    <n v="228.79599999999999"/>
    <x v="1"/>
  </r>
  <r>
    <x v="298"/>
    <s v="Hoffman-Williams"/>
    <s v="Beauty"/>
    <n v="2"/>
    <n v="308.7"/>
    <n v="0.2"/>
    <n v="493.92"/>
    <x v="2"/>
  </r>
  <r>
    <x v="299"/>
    <s v="Hoffman-Williams"/>
    <s v="Beauty"/>
    <n v="1"/>
    <n v="809.45"/>
    <n v="0.09"/>
    <n v="736.59950000000003"/>
    <x v="1"/>
  </r>
  <r>
    <x v="3"/>
    <s v="Hoffman-Williams"/>
    <s v="Beauty"/>
    <n v="2"/>
    <n v="451.33"/>
    <n v="0.23"/>
    <n v="695.04819999999995"/>
    <x v="1"/>
  </r>
  <r>
    <x v="300"/>
    <s v="Wilson Group"/>
    <s v="Sports"/>
    <n v="4"/>
    <n v="816.29"/>
    <n v="0.24"/>
    <n v="2481.5216"/>
    <x v="2"/>
  </r>
  <r>
    <x v="7"/>
    <s v="Khan LLC"/>
    <s v="Sports"/>
    <n v="4"/>
    <n v="700.18"/>
    <n v="0.23"/>
    <n v="2156.5544"/>
    <x v="0"/>
  </r>
  <r>
    <x v="301"/>
    <s v="Khan LLC"/>
    <s v="Sports"/>
    <n v="4"/>
    <n v="792.1"/>
    <n v="0.19"/>
    <n v="2566.404"/>
    <x v="1"/>
  </r>
  <r>
    <x v="139"/>
    <s v="Campbell Ltd"/>
    <s v="Home"/>
    <n v="3"/>
    <n v="831.15"/>
    <n v="0.19"/>
    <n v="2019.6945000000001"/>
    <x v="0"/>
  </r>
  <r>
    <x v="95"/>
    <s v="Gibson, Hobbs and Weaver"/>
    <s v="Electronics"/>
    <n v="4"/>
    <n v="898.58"/>
    <n v="0.16"/>
    <n v="3019.2287999999999"/>
    <x v="2"/>
  </r>
  <r>
    <x v="178"/>
    <s v="Gibson, Hobbs and Weaver"/>
    <s v="Electronics"/>
    <n v="3"/>
    <n v="697.13"/>
    <n v="0.25"/>
    <n v="1568.5425"/>
    <x v="1"/>
  </r>
  <r>
    <x v="220"/>
    <s v="Dawson-Perkins"/>
    <s v="Electronics"/>
    <n v="4"/>
    <n v="539.48"/>
    <n v="0.28000000000000003"/>
    <n v="1553.7023999999999"/>
    <x v="1"/>
  </r>
  <r>
    <x v="302"/>
    <s v="Erickson-Green"/>
    <s v="Beauty"/>
    <n v="3"/>
    <n v="63.19"/>
    <n v="0.08"/>
    <n v="174.40440000000001"/>
    <x v="0"/>
  </r>
  <r>
    <x v="303"/>
    <s v="Erickson-Green"/>
    <s v="Beauty"/>
    <n v="4"/>
    <n v="254.71"/>
    <n v="0.2"/>
    <n v="815.07200000000012"/>
    <x v="1"/>
  </r>
  <r>
    <x v="304"/>
    <s v="Guerra-Hendrix"/>
    <s v="Clothing"/>
    <n v="3"/>
    <n v="928.74"/>
    <n v="0.27"/>
    <n v="2033.9405999999999"/>
    <x v="2"/>
  </r>
  <r>
    <x v="305"/>
    <s v="May-Reese"/>
    <s v="Sports"/>
    <n v="3"/>
    <n v="677.46"/>
    <n v="0.05"/>
    <n v="1930.761"/>
    <x v="0"/>
  </r>
  <r>
    <x v="221"/>
    <s v="May-Reese"/>
    <s v="Sports"/>
    <n v="3"/>
    <n v="941.85"/>
    <n v="0.16"/>
    <n v="2373.462"/>
    <x v="2"/>
  </r>
  <r>
    <x v="306"/>
    <s v="Soto-Ellis"/>
    <s v="Sports"/>
    <n v="1"/>
    <n v="136.12"/>
    <n v="7.0000000000000007E-2"/>
    <n v="126.5916"/>
    <x v="0"/>
  </r>
  <r>
    <x v="98"/>
    <s v="Gardner-Montes"/>
    <s v="Home"/>
    <n v="2"/>
    <n v="960.41"/>
    <n v="0.18"/>
    <n v="1575.0724"/>
    <x v="0"/>
  </r>
  <r>
    <x v="114"/>
    <s v="Gardner-Montes"/>
    <s v="Home"/>
    <n v="3"/>
    <n v="977.47"/>
    <n v="0.05"/>
    <n v="2785.7894999999999"/>
    <x v="0"/>
  </r>
  <r>
    <x v="198"/>
    <s v="Flores, Pineda and Rodriguez"/>
    <s v="Sports"/>
    <n v="3"/>
    <n v="815.3"/>
    <n v="0.03"/>
    <n v="2372.5230000000001"/>
    <x v="0"/>
  </r>
  <r>
    <x v="307"/>
    <s v="Brown and Sons"/>
    <s v="Clothing"/>
    <n v="1"/>
    <n v="531.99"/>
    <n v="0.17"/>
    <n v="441.55169999999998"/>
    <x v="2"/>
  </r>
  <r>
    <x v="297"/>
    <s v="Brown and Sons"/>
    <s v="Clothing"/>
    <n v="3"/>
    <n v="359.56"/>
    <n v="0.17"/>
    <n v="895.30439999999999"/>
    <x v="2"/>
  </r>
  <r>
    <x v="308"/>
    <s v="Brown and Sons"/>
    <s v="Clothing"/>
    <n v="2"/>
    <n v="388.34"/>
    <n v="0.09"/>
    <n v="706.77879999999993"/>
    <x v="2"/>
  </r>
  <r>
    <x v="23"/>
    <s v="Brown and Sons"/>
    <s v="Clothing"/>
    <n v="1"/>
    <n v="963.76"/>
    <n v="0.14000000000000001"/>
    <n v="828.83359999999993"/>
    <x v="2"/>
  </r>
  <r>
    <x v="140"/>
    <s v="Khan, Jones and Paul"/>
    <s v="Home"/>
    <n v="2"/>
    <n v="563.29999999999995"/>
    <n v="0.26"/>
    <n v="833.68399999999997"/>
    <x v="0"/>
  </r>
  <r>
    <x v="241"/>
    <s v="Burns-Hansen"/>
    <s v="Sports"/>
    <n v="4"/>
    <n v="951.09"/>
    <n v="0.14000000000000001"/>
    <n v="3271.7496000000001"/>
    <x v="1"/>
  </r>
  <r>
    <x v="163"/>
    <s v="Burns-Hansen"/>
    <s v="Sports"/>
    <n v="1"/>
    <n v="664.35"/>
    <n v="0"/>
    <n v="664.35"/>
    <x v="0"/>
  </r>
  <r>
    <x v="14"/>
    <s v="Pineda Ltd"/>
    <s v="Clothing"/>
    <n v="1"/>
    <n v="830.42"/>
    <n v="0.26"/>
    <n v="614.51080000000002"/>
    <x v="1"/>
  </r>
  <r>
    <x v="78"/>
    <s v="Pineda Ltd"/>
    <s v="Clothing"/>
    <n v="4"/>
    <n v="785.41"/>
    <n v="0.13"/>
    <n v="2733.2267999999999"/>
    <x v="1"/>
  </r>
  <r>
    <x v="309"/>
    <s v="Weiss-Watson"/>
    <s v="Home"/>
    <n v="4"/>
    <n v="735.32"/>
    <n v="0.06"/>
    <n v="2764.8031999999998"/>
    <x v="1"/>
  </r>
  <r>
    <x v="204"/>
    <s v="Weiss-Watson"/>
    <s v="Home"/>
    <n v="3"/>
    <n v="53.92"/>
    <n v="0.15"/>
    <n v="137.49600000000001"/>
    <x v="2"/>
  </r>
  <r>
    <x v="169"/>
    <s v="Jones LLC"/>
    <s v="Home"/>
    <n v="2"/>
    <n v="873.94"/>
    <n v="0.14000000000000001"/>
    <n v="1503.1768"/>
    <x v="1"/>
  </r>
  <r>
    <x v="310"/>
    <s v="Smith-Mills"/>
    <s v="Clothing"/>
    <n v="2"/>
    <n v="208.09"/>
    <n v="0.27"/>
    <n v="303.81139999999999"/>
    <x v="0"/>
  </r>
  <r>
    <x v="92"/>
    <s v="Hogan-Lee"/>
    <s v="Clothing"/>
    <n v="3"/>
    <n v="338.79"/>
    <n v="0.01"/>
    <n v="1006.2063000000001"/>
    <x v="0"/>
  </r>
  <r>
    <x v="101"/>
    <s v="Hogan-Lee"/>
    <s v="Clothing"/>
    <n v="1"/>
    <n v="546.20000000000005"/>
    <n v="0.22"/>
    <n v="426.03600000000012"/>
    <x v="2"/>
  </r>
  <r>
    <x v="311"/>
    <s v="Cummings and Sons"/>
    <s v="Electronics"/>
    <n v="2"/>
    <n v="925.78"/>
    <n v="0.14000000000000001"/>
    <n v="1592.3416"/>
    <x v="1"/>
  </r>
  <r>
    <x v="44"/>
    <s v="Cummings and Sons"/>
    <s v="Electronics"/>
    <n v="1"/>
    <n v="529.84"/>
    <n v="0.13"/>
    <n v="460.96080000000001"/>
    <x v="2"/>
  </r>
  <r>
    <x v="289"/>
    <s v="Gonzales-Davis"/>
    <s v="Clothing"/>
    <n v="3"/>
    <n v="408.99"/>
    <n v="0.27"/>
    <n v="895.68809999999996"/>
    <x v="2"/>
  </r>
  <r>
    <x v="233"/>
    <s v="Carroll, Long and Mendoza"/>
    <s v="Sports"/>
    <n v="2"/>
    <n v="555.54999999999995"/>
    <n v="0.14000000000000001"/>
    <n v="955.54599999999994"/>
    <x v="0"/>
  </r>
  <r>
    <x v="312"/>
    <s v="Carroll, Long and Mendoza"/>
    <s v="Sports"/>
    <n v="1"/>
    <n v="409.03"/>
    <n v="0.25"/>
    <n v="306.77249999999998"/>
    <x v="1"/>
  </r>
  <r>
    <x v="313"/>
    <s v="Kelly, Smith and Perez"/>
    <s v="Clothing"/>
    <n v="2"/>
    <n v="635.80999999999995"/>
    <n v="0.13"/>
    <n v="1106.3094000000001"/>
    <x v="2"/>
  </r>
  <r>
    <x v="89"/>
    <s v="Kelly, Smith and Perez"/>
    <s v="Clothing"/>
    <n v="4"/>
    <n v="354.12"/>
    <n v="0.06"/>
    <n v="1331.4911999999999"/>
    <x v="2"/>
  </r>
  <r>
    <x v="38"/>
    <s v="Byrd, Stewart and Valdez"/>
    <s v="Electronics"/>
    <n v="3"/>
    <n v="449.88"/>
    <n v="0.1"/>
    <n v="1214.6759999999999"/>
    <x v="2"/>
  </r>
  <r>
    <x v="242"/>
    <s v="Byrd, Stewart and Valdez"/>
    <s v="Electronics"/>
    <n v="1"/>
    <n v="161.80000000000001"/>
    <n v="0.24"/>
    <n v="122.968"/>
    <x v="2"/>
  </r>
  <r>
    <x v="211"/>
    <s v="Byrd, Stewart and Valdez"/>
    <s v="Electronics"/>
    <n v="3"/>
    <n v="566.16"/>
    <n v="0.05"/>
    <n v="1613.556"/>
    <x v="2"/>
  </r>
  <r>
    <x v="314"/>
    <s v="Sullivan and Sons"/>
    <s v="Beauty"/>
    <n v="2"/>
    <n v="620.71"/>
    <n v="0.27"/>
    <n v="906.23660000000007"/>
    <x v="0"/>
  </r>
  <r>
    <x v="315"/>
    <s v="Sullivan and Sons"/>
    <s v="Beauty"/>
    <n v="4"/>
    <n v="568.80999999999995"/>
    <n v="0.25"/>
    <n v="1706.43"/>
    <x v="0"/>
  </r>
  <r>
    <x v="44"/>
    <s v="Harris Inc"/>
    <s v="Sports"/>
    <n v="2"/>
    <n v="945.92"/>
    <n v="0.19"/>
    <n v="1532.3904"/>
    <x v="1"/>
  </r>
  <r>
    <x v="49"/>
    <s v="Hatfield, Baird and Torres"/>
    <s v="Home"/>
    <n v="1"/>
    <n v="170.68"/>
    <n v="0.13"/>
    <n v="148.49160000000001"/>
    <x v="2"/>
  </r>
  <r>
    <x v="277"/>
    <s v="Hernandez, Kennedy and Porter"/>
    <s v="Home"/>
    <n v="3"/>
    <n v="184.67"/>
    <n v="0.03"/>
    <n v="537.38969999999995"/>
    <x v="1"/>
  </r>
  <r>
    <x v="316"/>
    <s v="Atkinson, Camacho and Oliver"/>
    <s v="Sports"/>
    <n v="3"/>
    <n v="628.17999999999995"/>
    <n v="0.26"/>
    <n v="1394.5596"/>
    <x v="0"/>
  </r>
  <r>
    <x v="164"/>
    <s v="Atkinson, Camacho and Oliver"/>
    <s v="Sports"/>
    <n v="2"/>
    <n v="714.21"/>
    <n v="0.14000000000000001"/>
    <n v="1228.4412"/>
    <x v="0"/>
  </r>
  <r>
    <x v="169"/>
    <s v="Atkinson, Camacho and Oliver"/>
    <s v="Sports"/>
    <n v="4"/>
    <n v="651.36"/>
    <n v="0.13"/>
    <n v="2266.7328000000002"/>
    <x v="0"/>
  </r>
  <r>
    <x v="275"/>
    <s v="Cline-Mccarthy"/>
    <s v="Beauty"/>
    <n v="1"/>
    <n v="992.37"/>
    <n v="0.24"/>
    <n v="754.20119999999997"/>
    <x v="1"/>
  </r>
  <r>
    <x v="81"/>
    <s v="Gibson, Green and Lopez"/>
    <s v="Beauty"/>
    <n v="4"/>
    <n v="445.57279999999997"/>
    <n v="0.04"/>
    <n v="1782.4512"/>
    <x v="1"/>
  </r>
  <r>
    <x v="313"/>
    <s v="Gibson, Green and Lopez"/>
    <s v="Beauty"/>
    <n v="2"/>
    <n v="92.64"/>
    <n v="0.14000000000000001"/>
    <n v="159.3408"/>
    <x v="1"/>
  </r>
  <r>
    <x v="148"/>
    <s v="Gibson, Green and Lopez"/>
    <s v="Beauty"/>
    <n v="4"/>
    <n v="106.48"/>
    <n v="0.1"/>
    <n v="383.32799999999997"/>
    <x v="1"/>
  </r>
  <r>
    <x v="317"/>
    <s v="Murray, Gould and Ware"/>
    <s v="Electronics"/>
    <n v="4"/>
    <n v="676.58"/>
    <n v="0.23"/>
    <n v="2083.8663999999999"/>
    <x v="1"/>
  </r>
  <r>
    <x v="313"/>
    <s v="Murray, Gould and Ware"/>
    <s v="Electronics"/>
    <n v="4"/>
    <n v="267.36"/>
    <n v="0.27"/>
    <n v="780.69119999999998"/>
    <x v="2"/>
  </r>
  <r>
    <x v="318"/>
    <s v="Murray, Gould and Ware"/>
    <s v="Electronics"/>
    <n v="1"/>
    <n v="331.73"/>
    <n v="0.04"/>
    <n v="318.46080000000001"/>
    <x v="0"/>
  </r>
  <r>
    <x v="183"/>
    <s v="Anderson-Riley"/>
    <s v="Beauty"/>
    <n v="3"/>
    <n v="953.74"/>
    <n v="0.04"/>
    <n v="2746.7712000000001"/>
    <x v="0"/>
  </r>
  <r>
    <x v="124"/>
    <s v="Anderson-Riley"/>
    <s v="Beauty"/>
    <n v="3"/>
    <n v="217.13"/>
    <n v="0.28000000000000003"/>
    <n v="469.00080000000003"/>
    <x v="0"/>
  </r>
  <r>
    <x v="82"/>
    <s v="Flores-Davis"/>
    <s v="Electronics"/>
    <n v="3"/>
    <n v="115.39"/>
    <n v="0.02"/>
    <n v="339.2466"/>
    <x v="2"/>
  </r>
  <r>
    <x v="156"/>
    <s v="Flores-Davis"/>
    <s v="Electronics"/>
    <n v="1"/>
    <n v="470.55"/>
    <n v="0.23"/>
    <n v="362.32350000000002"/>
    <x v="2"/>
  </r>
  <r>
    <x v="319"/>
    <s v="Wolfe, Ross and Hester"/>
    <s v="Home"/>
    <n v="4"/>
    <n v="463.16"/>
    <n v="0.27"/>
    <n v="1352.4272000000001"/>
    <x v="2"/>
  </r>
  <r>
    <x v="247"/>
    <s v="Wolfe, Ross and Hester"/>
    <s v="Home"/>
    <n v="1"/>
    <n v="289.82"/>
    <n v="0.18"/>
    <n v="237.6524"/>
    <x v="1"/>
  </r>
  <r>
    <x v="320"/>
    <s v="Wolfe, Ross and Hester"/>
    <s v="Home"/>
    <n v="4"/>
    <n v="408.72"/>
    <n v="0.16"/>
    <n v="1373.2991999999999"/>
    <x v="1"/>
  </r>
  <r>
    <x v="46"/>
    <s v="Hopkins Ltd"/>
    <s v="Beauty"/>
    <n v="2"/>
    <n v="649.54999999999995"/>
    <n v="0.28999999999999998"/>
    <n v="922.36099999999988"/>
    <x v="2"/>
  </r>
  <r>
    <x v="321"/>
    <s v="Davis PLC"/>
    <s v="Sports"/>
    <n v="1"/>
    <n v="735.1"/>
    <n v="0.1"/>
    <n v="661.59"/>
    <x v="2"/>
  </r>
  <r>
    <x v="100"/>
    <s v="French Ltd"/>
    <s v="Sports"/>
    <n v="3"/>
    <n v="239.57"/>
    <n v="0.16"/>
    <n v="603.71640000000002"/>
    <x v="0"/>
  </r>
  <r>
    <x v="38"/>
    <s v="French Ltd"/>
    <s v="Sports"/>
    <n v="4"/>
    <n v="457.33"/>
    <n v="0.1"/>
    <n v="1646.3879999999999"/>
    <x v="0"/>
  </r>
  <r>
    <x v="220"/>
    <s v="French Ltd"/>
    <s v="Sports"/>
    <n v="4"/>
    <n v="528.22"/>
    <n v="0.2"/>
    <n v="1690.3040000000001"/>
    <x v="2"/>
  </r>
  <r>
    <x v="143"/>
    <s v="French Ltd"/>
    <s v="Sports"/>
    <n v="3"/>
    <n v="717.32"/>
    <n v="0.23"/>
    <n v="1657.0092"/>
    <x v="1"/>
  </r>
  <r>
    <x v="153"/>
    <s v="French Ltd"/>
    <s v="Sports"/>
    <n v="4"/>
    <n v="922.69"/>
    <n v="0.16"/>
    <n v="3100.2384000000002"/>
    <x v="0"/>
  </r>
  <r>
    <x v="317"/>
    <s v="Larson Ltd"/>
    <s v="Electronics"/>
    <n v="4"/>
    <n v="528.23"/>
    <n v="0.15"/>
    <n v="1795.982"/>
    <x v="1"/>
  </r>
  <r>
    <x v="281"/>
    <s v="Larson Ltd"/>
    <s v="Electronics"/>
    <n v="3"/>
    <n v="948.69"/>
    <n v="0.28999999999999998"/>
    <n v="2020.7097000000001"/>
    <x v="0"/>
  </r>
  <r>
    <x v="124"/>
    <s v="White, Reeves and Woods"/>
    <s v="Electronics"/>
    <n v="3"/>
    <n v="865.96"/>
    <n v="0.12"/>
    <n v="2286.1343999999999"/>
    <x v="2"/>
  </r>
  <r>
    <x v="322"/>
    <s v="Hernandez Inc"/>
    <s v="Home"/>
    <n v="2"/>
    <n v="838.22"/>
    <n v="0.3"/>
    <n v="1173.508"/>
    <x v="0"/>
  </r>
  <r>
    <x v="236"/>
    <s v="Ramirez-Hanson"/>
    <s v="Home"/>
    <n v="1"/>
    <n v="823.61"/>
    <n v="0.28000000000000003"/>
    <n v="592.99919999999997"/>
    <x v="1"/>
  </r>
  <r>
    <x v="116"/>
    <s v="Perez-Johnston"/>
    <s v="Electronics"/>
    <n v="2"/>
    <n v="194.09"/>
    <n v="0.18"/>
    <n v="318.30759999999998"/>
    <x v="2"/>
  </r>
  <r>
    <x v="323"/>
    <s v="Robinson-Brown"/>
    <s v="Sports"/>
    <n v="1"/>
    <n v="747.9"/>
    <n v="0.21"/>
    <n v="590.84100000000001"/>
    <x v="1"/>
  </r>
  <r>
    <x v="241"/>
    <s v="Collins-Stephenson"/>
    <s v="Home"/>
    <n v="4"/>
    <n v="341.95"/>
    <n v="0.25"/>
    <n v="1025.8499999999999"/>
    <x v="0"/>
  </r>
  <r>
    <x v="98"/>
    <s v="Collins-Stephenson"/>
    <s v="Home"/>
    <n v="3"/>
    <n v="904.96"/>
    <n v="7.0000000000000007E-2"/>
    <n v="2524.8384000000001"/>
    <x v="1"/>
  </r>
  <r>
    <x v="80"/>
    <s v="Collins-Stephenson"/>
    <s v="Home"/>
    <n v="1"/>
    <n v="520.92999999999995"/>
    <n v="0.15"/>
    <n v="442.79050000000001"/>
    <x v="0"/>
  </r>
  <r>
    <x v="243"/>
    <s v="Collins-Stephenson"/>
    <s v="Home"/>
    <n v="2"/>
    <n v="905.26"/>
    <n v="0.15"/>
    <n v="1538.942"/>
    <x v="1"/>
  </r>
  <r>
    <x v="324"/>
    <s v="Richardson-Carrillo"/>
    <s v="Clothing"/>
    <n v="2"/>
    <n v="652.29999999999995"/>
    <n v="0.16"/>
    <n v="1095.864"/>
    <x v="1"/>
  </r>
  <r>
    <x v="325"/>
    <s v="Taylor, Dodson and Johnston"/>
    <s v="Home"/>
    <n v="4"/>
    <n v="292.31"/>
    <n v="0.27"/>
    <n v="853.54520000000002"/>
    <x v="2"/>
  </r>
  <r>
    <x v="196"/>
    <s v="Taylor, Dodson and Johnston"/>
    <s v="Home"/>
    <n v="4"/>
    <n v="817.92"/>
    <n v="0.21"/>
    <n v="2584.6271999999999"/>
    <x v="0"/>
  </r>
  <r>
    <x v="326"/>
    <s v="Aguilar, Horton and Lewis"/>
    <s v="Home"/>
    <n v="3"/>
    <n v="926.85"/>
    <n v="0.18"/>
    <n v="2280.0509999999999"/>
    <x v="1"/>
  </r>
  <r>
    <x v="327"/>
    <s v="Aguilar, Horton and Lewis"/>
    <s v="Home"/>
    <n v="1"/>
    <n v="575.94000000000005"/>
    <n v="0.17"/>
    <n v="478.03019999999998"/>
    <x v="0"/>
  </r>
  <r>
    <x v="328"/>
    <s v="Olsen-Daniels"/>
    <s v="Sports"/>
    <n v="4"/>
    <n v="451.41"/>
    <n v="0.06"/>
    <n v="1697.3016"/>
    <x v="2"/>
  </r>
  <r>
    <x v="155"/>
    <s v="Hill PLC"/>
    <s v="Sports"/>
    <n v="4"/>
    <n v="243.13"/>
    <n v="0.25"/>
    <n v="729.39"/>
    <x v="1"/>
  </r>
  <r>
    <x v="134"/>
    <s v="Sharp, Taylor and Rodriguez"/>
    <s v="Electronics"/>
    <n v="1"/>
    <n v="822.6"/>
    <n v="0.28999999999999998"/>
    <n v="584.04599999999994"/>
    <x v="2"/>
  </r>
  <r>
    <x v="329"/>
    <s v="Sharp, Taylor and Rodriguez"/>
    <s v="Electronics"/>
    <n v="1"/>
    <n v="752.45"/>
    <n v="0.21"/>
    <n v="594.43550000000005"/>
    <x v="1"/>
  </r>
  <r>
    <x v="243"/>
    <s v="Smith-Charles"/>
    <s v="Clothing"/>
    <n v="4"/>
    <n v="853.26"/>
    <n v="0.24"/>
    <n v="2593.9104000000002"/>
    <x v="1"/>
  </r>
  <r>
    <x v="330"/>
    <s v="Martin LLC"/>
    <s v="Electronics"/>
    <n v="2"/>
    <n v="153.84"/>
    <n v="0.27"/>
    <n v="224.60640000000001"/>
    <x v="2"/>
  </r>
  <r>
    <x v="236"/>
    <s v="Hoffman-Williams"/>
    <s v="Beauty"/>
    <n v="2"/>
    <n v="209.66"/>
    <n v="0.21"/>
    <n v="331.26280000000003"/>
    <x v="0"/>
  </r>
  <r>
    <x v="78"/>
    <s v="Hoffman-Williams"/>
    <s v="Beauty"/>
    <n v="2"/>
    <n v="822.59"/>
    <n v="0.22"/>
    <n v="1283.2403999999999"/>
    <x v="2"/>
  </r>
  <r>
    <x v="56"/>
    <s v="Phillips and Sons"/>
    <s v="Clothing"/>
    <n v="2"/>
    <n v="629.86"/>
    <n v="0.15"/>
    <n v="1070.7619999999999"/>
    <x v="2"/>
  </r>
  <r>
    <x v="1"/>
    <s v="Khan LLC"/>
    <s v="Sports"/>
    <n v="1"/>
    <n v="439.55"/>
    <n v="0.28999999999999998"/>
    <n v="312.08049999999997"/>
    <x v="1"/>
  </r>
  <r>
    <x v="112"/>
    <s v="Khan LLC"/>
    <s v="Sports"/>
    <n v="2"/>
    <n v="394.5"/>
    <n v="0.28999999999999998"/>
    <n v="560.18999999999994"/>
    <x v="1"/>
  </r>
  <r>
    <x v="195"/>
    <s v="Flores-King"/>
    <s v="Electronics"/>
    <n v="3"/>
    <n v="758.87"/>
    <n v="0.11"/>
    <n v="2026.1829"/>
    <x v="2"/>
  </r>
  <r>
    <x v="57"/>
    <s v="Campbell Ltd"/>
    <s v="Home"/>
    <n v="2"/>
    <n v="314.39999999999998"/>
    <n v="7.0000000000000007E-2"/>
    <n v="584.78399999999988"/>
    <x v="2"/>
  </r>
  <r>
    <x v="331"/>
    <s v="Hunt Inc"/>
    <s v="Electronics"/>
    <n v="1"/>
    <n v="449.6"/>
    <n v="0.01"/>
    <n v="445.10399999999998"/>
    <x v="2"/>
  </r>
  <r>
    <x v="259"/>
    <s v="Terry-Moore"/>
    <s v="Clothing"/>
    <n v="4"/>
    <n v="146.12"/>
    <n v="0.12"/>
    <n v="514.3424"/>
    <x v="1"/>
  </r>
  <r>
    <x v="69"/>
    <s v="Hamilton Group"/>
    <s v="Home"/>
    <n v="1"/>
    <n v="874.59"/>
    <n v="0.28999999999999998"/>
    <n v="620.95889999999997"/>
    <x v="2"/>
  </r>
  <r>
    <x v="192"/>
    <s v="Rice LLC"/>
    <s v="Beauty"/>
    <n v="1"/>
    <n v="424.83"/>
    <n v="0.05"/>
    <n v="403.58850000000001"/>
    <x v="1"/>
  </r>
  <r>
    <x v="177"/>
    <s v="Dawson-Perkins"/>
    <s v="Electronics"/>
    <n v="2"/>
    <n v="859.47"/>
    <n v="0.01"/>
    <n v="1701.7506000000001"/>
    <x v="0"/>
  </r>
  <r>
    <x v="332"/>
    <s v="Luna, Anderson and Bowman"/>
    <s v="Home"/>
    <n v="3"/>
    <n v="970.89"/>
    <n v="0.11"/>
    <n v="2592.2763"/>
    <x v="1"/>
  </r>
  <r>
    <x v="122"/>
    <s v="Thomas LLC"/>
    <s v="Electronics"/>
    <n v="1"/>
    <n v="31.36"/>
    <n v="0.21"/>
    <n v="24.7744"/>
    <x v="1"/>
  </r>
  <r>
    <x v="333"/>
    <s v="Erickson-Green"/>
    <s v="Beauty"/>
    <n v="4"/>
    <n v="761.35"/>
    <n v="0.08"/>
    <n v="2801.768"/>
    <x v="0"/>
  </r>
  <r>
    <x v="27"/>
    <s v="Ford, Murphy and Wilson"/>
    <s v="Sports"/>
    <n v="1"/>
    <n v="878.69"/>
    <n v="0.3"/>
    <n v="615.08299999999997"/>
    <x v="2"/>
  </r>
  <r>
    <x v="330"/>
    <s v="Ford, Murphy and Wilson"/>
    <s v="Sports"/>
    <n v="2"/>
    <n v="456.38"/>
    <n v="0.12"/>
    <n v="803.22879999999998"/>
    <x v="0"/>
  </r>
  <r>
    <x v="298"/>
    <s v="Ford, Murphy and Wilson"/>
    <s v="Sports"/>
    <n v="1"/>
    <n v="880.89"/>
    <n v="0.13"/>
    <n v="766.37429999999995"/>
    <x v="1"/>
  </r>
  <r>
    <x v="334"/>
    <s v="Ford, Murphy and Wilson"/>
    <s v="Sports"/>
    <n v="4"/>
    <n v="329.06"/>
    <n v="0.04"/>
    <n v="1263.5904"/>
    <x v="1"/>
  </r>
  <r>
    <x v="312"/>
    <s v="Ford, Murphy and Wilson"/>
    <s v="Sports"/>
    <n v="4"/>
    <n v="884.71"/>
    <n v="0.09"/>
    <n v="3220.3444"/>
    <x v="2"/>
  </r>
  <r>
    <x v="335"/>
    <s v="Guerra-Hendrix"/>
    <s v="Clothing"/>
    <n v="3"/>
    <n v="991.37"/>
    <n v="0.1"/>
    <n v="2676.6990000000001"/>
    <x v="2"/>
  </r>
  <r>
    <x v="12"/>
    <s v="Guerra-Hendrix"/>
    <s v="Clothing"/>
    <n v="4"/>
    <n v="317.11"/>
    <n v="0.16"/>
    <n v="1065.4896000000001"/>
    <x v="2"/>
  </r>
  <r>
    <x v="336"/>
    <s v="May-Reese"/>
    <s v="Sports"/>
    <n v="2"/>
    <n v="760.14"/>
    <n v="0.02"/>
    <n v="1489.8743999999999"/>
    <x v="1"/>
  </r>
  <r>
    <x v="312"/>
    <s v="May-Reese"/>
    <s v="Sports"/>
    <n v="1"/>
    <n v="90.72"/>
    <n v="0.1"/>
    <n v="81.647999999999996"/>
    <x v="2"/>
  </r>
  <r>
    <x v="337"/>
    <s v="Sims Inc"/>
    <s v="Clothing"/>
    <n v="4"/>
    <n v="971.9"/>
    <n v="0.28000000000000003"/>
    <n v="2799.0720000000001"/>
    <x v="2"/>
  </r>
  <r>
    <x v="338"/>
    <s v="Soto-Ellis"/>
    <s v="Sports"/>
    <n v="2"/>
    <n v="740.57"/>
    <n v="0.06"/>
    <n v="1392.2716"/>
    <x v="0"/>
  </r>
  <r>
    <x v="339"/>
    <s v="Gardner-Montes"/>
    <s v="Home"/>
    <n v="1"/>
    <n v="977.97"/>
    <n v="0.06"/>
    <n v="919.29179999999997"/>
    <x v="1"/>
  </r>
  <r>
    <x v="222"/>
    <s v="Flores, Pineda and Rodriguez"/>
    <s v="Sports"/>
    <n v="1"/>
    <n v="958.44"/>
    <n v="0.21"/>
    <n v="757.16760000000011"/>
    <x v="0"/>
  </r>
  <r>
    <x v="324"/>
    <s v="Flores, Pineda and Rodriguez"/>
    <s v="Sports"/>
    <n v="2"/>
    <n v="833.62"/>
    <n v="0.18"/>
    <n v="1367.1368"/>
    <x v="0"/>
  </r>
  <r>
    <x v="204"/>
    <s v="Flores, Pineda and Rodriguez"/>
    <s v="Sports"/>
    <n v="1"/>
    <n v="588.29999999999995"/>
    <n v="0.26"/>
    <n v="435.34199999999998"/>
    <x v="1"/>
  </r>
  <r>
    <x v="95"/>
    <s v="Cook Ltd"/>
    <s v="Sports"/>
    <n v="1"/>
    <n v="278.63"/>
    <n v="7.0000000000000007E-2"/>
    <n v="259.1259"/>
    <x v="0"/>
  </r>
  <r>
    <x v="340"/>
    <s v="Brown and Sons"/>
    <s v="Clothing"/>
    <n v="2"/>
    <n v="855.4"/>
    <n v="0.08"/>
    <n v="1573.9359999999999"/>
    <x v="1"/>
  </r>
  <r>
    <x v="279"/>
    <s v="Reed-Schmidt"/>
    <s v="Electronics"/>
    <n v="4"/>
    <n v="652.28"/>
    <n v="0.15"/>
    <n v="2217.752"/>
    <x v="0"/>
  </r>
  <r>
    <x v="257"/>
    <s v="Khan, Jones and Paul"/>
    <s v="Home"/>
    <n v="3"/>
    <n v="672.98"/>
    <n v="0.23"/>
    <n v="1554.5838000000001"/>
    <x v="2"/>
  </r>
  <r>
    <x v="341"/>
    <s v="Khan, Jones and Paul"/>
    <s v="Home"/>
    <n v="4"/>
    <n v="459.83"/>
    <n v="0.12"/>
    <n v="1618.6016"/>
    <x v="1"/>
  </r>
  <r>
    <x v="262"/>
    <s v="Khan, Jones and Paul"/>
    <s v="Home"/>
    <n v="4"/>
    <n v="757.71"/>
    <n v="0.26"/>
    <n v="2242.8216000000002"/>
    <x v="1"/>
  </r>
  <r>
    <x v="300"/>
    <s v="Hoffman Group"/>
    <s v="Home"/>
    <n v="2"/>
    <n v="722.45"/>
    <n v="0.22"/>
    <n v="1127.0219999999999"/>
    <x v="2"/>
  </r>
  <r>
    <x v="291"/>
    <s v="Nolan-Snow"/>
    <s v="Sports"/>
    <n v="4"/>
    <n v="471.89"/>
    <n v="0.12"/>
    <n v="1661.0527999999999"/>
    <x v="1"/>
  </r>
  <r>
    <x v="87"/>
    <s v="Weiss-Watson"/>
    <s v="Home"/>
    <n v="1"/>
    <n v="255.02"/>
    <n v="0.3"/>
    <n v="178.51400000000001"/>
    <x v="0"/>
  </r>
  <r>
    <x v="342"/>
    <s v="Smith-Mills"/>
    <s v="Clothing"/>
    <n v="1"/>
    <n v="850.83"/>
    <n v="0.28000000000000003"/>
    <n v="612.59760000000006"/>
    <x v="2"/>
  </r>
  <r>
    <x v="207"/>
    <s v="Hogan-Lee"/>
    <s v="Clothing"/>
    <n v="4"/>
    <n v="746.36"/>
    <n v="0.02"/>
    <n v="2925.7312000000002"/>
    <x v="0"/>
  </r>
  <r>
    <x v="257"/>
    <s v="Sims-Smith"/>
    <s v="Sports"/>
    <n v="2"/>
    <n v="833.64"/>
    <n v="0.24"/>
    <n v="1267.1328000000001"/>
    <x v="2"/>
  </r>
  <r>
    <x v="140"/>
    <s v="Sims-Smith"/>
    <s v="Sports"/>
    <n v="2"/>
    <n v="574.58000000000004"/>
    <n v="0.06"/>
    <n v="1080.2103999999999"/>
    <x v="0"/>
  </r>
  <r>
    <x v="303"/>
    <s v="Sims-Smith"/>
    <s v="Sports"/>
    <n v="4"/>
    <n v="867.19"/>
    <n v="7.0000000000000007E-2"/>
    <n v="3225.9468000000002"/>
    <x v="1"/>
  </r>
  <r>
    <x v="238"/>
    <s v="Cummings and Sons"/>
    <s v="Electronics"/>
    <n v="1"/>
    <n v="405.8"/>
    <n v="0.11"/>
    <n v="361.16199999999998"/>
    <x v="2"/>
  </r>
  <r>
    <x v="301"/>
    <s v="Cummings and Sons"/>
    <s v="Electronics"/>
    <n v="3"/>
    <n v="343.97"/>
    <n v="0.04"/>
    <n v="990.6336"/>
    <x v="1"/>
  </r>
  <r>
    <x v="78"/>
    <s v="Taylor-Hart"/>
    <s v="Electronics"/>
    <n v="3"/>
    <n v="62.03"/>
    <n v="0.01"/>
    <n v="184.22909999999999"/>
    <x v="1"/>
  </r>
  <r>
    <x v="55"/>
    <s v="Carroll, Long and Mendoza"/>
    <s v="Sports"/>
    <n v="4"/>
    <n v="108.55"/>
    <n v="0.18"/>
    <n v="356.04399999999998"/>
    <x v="2"/>
  </r>
  <r>
    <x v="343"/>
    <s v="Holmes LLC"/>
    <s v="Electronics"/>
    <n v="2"/>
    <n v="567.95000000000005"/>
    <n v="0.12"/>
    <n v="999.5920000000001"/>
    <x v="2"/>
  </r>
  <r>
    <x v="104"/>
    <s v="Bridges, Banks and Cummings"/>
    <s v="Sports"/>
    <n v="2"/>
    <n v="984.96"/>
    <n v="0.16"/>
    <n v="1654.7328"/>
    <x v="2"/>
  </r>
  <r>
    <x v="344"/>
    <s v="Kelly, Smith and Perez"/>
    <s v="Clothing"/>
    <n v="1"/>
    <n v="588.53"/>
    <n v="0.1"/>
    <n v="529.67700000000002"/>
    <x v="0"/>
  </r>
  <r>
    <x v="118"/>
    <s v="Cook Inc"/>
    <s v="Beauty"/>
    <n v="2"/>
    <n v="680.16"/>
    <n v="0.28000000000000003"/>
    <n v="979.43039999999996"/>
    <x v="0"/>
  </r>
  <r>
    <x v="35"/>
    <s v="Byrd, Stewart and Valdez"/>
    <s v="Electronics"/>
    <n v="1"/>
    <n v="994.63"/>
    <n v="0.28000000000000003"/>
    <n v="716.1336"/>
    <x v="0"/>
  </r>
  <r>
    <x v="74"/>
    <s v="Baldwin, Garza and Gonzalez"/>
    <s v="Clothing"/>
    <n v="1"/>
    <n v="38.880000000000003"/>
    <n v="0.16"/>
    <n v="32.659199999999998"/>
    <x v="1"/>
  </r>
  <r>
    <x v="59"/>
    <s v="Bautista, Green and Hale"/>
    <s v="Electronics"/>
    <n v="3"/>
    <n v="287.70999999999998"/>
    <n v="0.03"/>
    <n v="837.23609999999985"/>
    <x v="1"/>
  </r>
  <r>
    <x v="44"/>
    <s v="Bautista, Green and Hale"/>
    <s v="Electronics"/>
    <n v="4"/>
    <n v="860.78"/>
    <n v="0.03"/>
    <n v="3339.8263999999999"/>
    <x v="0"/>
  </r>
  <r>
    <x v="194"/>
    <s v="Thompson-French"/>
    <s v="Sports"/>
    <n v="1"/>
    <n v="606.01"/>
    <n v="0.04"/>
    <n v="581.76959999999997"/>
    <x v="2"/>
  </r>
  <r>
    <x v="345"/>
    <s v="Hernandez, Kennedy and Porter"/>
    <s v="Home"/>
    <n v="3"/>
    <n v="169.43"/>
    <n v="0.19"/>
    <n v="411.71490000000011"/>
    <x v="0"/>
  </r>
  <r>
    <x v="343"/>
    <s v="Cline-Mccarthy"/>
    <s v="Beauty"/>
    <n v="2"/>
    <n v="37.21"/>
    <n v="0.19"/>
    <n v="60.280200000000008"/>
    <x v="0"/>
  </r>
  <r>
    <x v="302"/>
    <s v="Cline-Mccarthy"/>
    <s v="Beauty"/>
    <n v="1"/>
    <n v="509.08"/>
    <n v="0.04"/>
    <n v="488.71679999999998"/>
    <x v="2"/>
  </r>
  <r>
    <x v="346"/>
    <s v="Cline-Mccarthy"/>
    <s v="Beauty"/>
    <n v="2"/>
    <n v="579.52"/>
    <n v="0.01"/>
    <n v="1147.4495999999999"/>
    <x v="2"/>
  </r>
  <r>
    <x v="214"/>
    <s v="Gibson, Green and Lopez"/>
    <s v="Beauty"/>
    <n v="3"/>
    <n v="769.56"/>
    <n v="0.08"/>
    <n v="2123.9856"/>
    <x v="0"/>
  </r>
  <r>
    <x v="58"/>
    <s v="Murray, Gould and Ware"/>
    <s v="Electronics"/>
    <n v="2"/>
    <n v="233.33"/>
    <n v="0.05"/>
    <n v="443.327"/>
    <x v="0"/>
  </r>
  <r>
    <x v="239"/>
    <s v="Murray, Gould and Ware"/>
    <s v="Electronics"/>
    <n v="1"/>
    <n v="145.43"/>
    <n v="0.08"/>
    <n v="133.79560000000001"/>
    <x v="0"/>
  </r>
  <r>
    <x v="347"/>
    <s v="Murray, Gould and Ware"/>
    <s v="Electronics"/>
    <n v="3"/>
    <n v="969.83"/>
    <n v="0.02"/>
    <n v="2851.3002000000001"/>
    <x v="0"/>
  </r>
  <r>
    <x v="348"/>
    <s v="Murray, Gould and Ware"/>
    <s v="Electronics"/>
    <n v="2"/>
    <n v="837.76"/>
    <n v="0.03"/>
    <n v="1625.2544"/>
    <x v="1"/>
  </r>
  <r>
    <x v="156"/>
    <s v="Zhang Inc"/>
    <s v="Beauty"/>
    <n v="2"/>
    <n v="891.8"/>
    <n v="0.28999999999999998"/>
    <n v="1266.356"/>
    <x v="1"/>
  </r>
  <r>
    <x v="349"/>
    <s v="Montgomery, Benton and Miller"/>
    <s v="Sports"/>
    <n v="2"/>
    <n v="546.41"/>
    <n v="0.08"/>
    <n v="1005.3944"/>
    <x v="1"/>
  </r>
  <r>
    <x v="342"/>
    <s v="Montgomery, Benton and Miller"/>
    <s v="Sports"/>
    <n v="4"/>
    <n v="611.91999999999996"/>
    <n v="0.2"/>
    <n v="1958.144"/>
    <x v="2"/>
  </r>
  <r>
    <x v="78"/>
    <s v="Wolfe, Ross and Hester"/>
    <s v="Home"/>
    <n v="4"/>
    <n v="207.41"/>
    <n v="0.02"/>
    <n v="813.04719999999998"/>
    <x v="0"/>
  </r>
  <r>
    <x v="350"/>
    <s v="Wolfe, Ross and Hester"/>
    <s v="Home"/>
    <n v="1"/>
    <n v="522.72"/>
    <n v="0.25"/>
    <n v="392.04"/>
    <x v="2"/>
  </r>
  <r>
    <x v="224"/>
    <s v="Fitzpatrick Ltd"/>
    <s v="Clothing"/>
    <n v="4"/>
    <n v="593.84"/>
    <n v="0.24"/>
    <n v="1805.2736"/>
    <x v="2"/>
  </r>
  <r>
    <x v="16"/>
    <s v="Fitzpatrick Ltd"/>
    <s v="Clothing"/>
    <n v="2"/>
    <n v="527.05999999999995"/>
    <n v="0.17"/>
    <n v="874.91959999999983"/>
    <x v="2"/>
  </r>
  <r>
    <x v="351"/>
    <s v="Fitzpatrick Ltd"/>
    <s v="Clothing"/>
    <n v="2"/>
    <n v="478.62"/>
    <n v="0.17"/>
    <n v="794.50919999999996"/>
    <x v="1"/>
  </r>
  <r>
    <x v="352"/>
    <s v="Duran Group"/>
    <s v="Home"/>
    <n v="1"/>
    <n v="108.27"/>
    <n v="0.1"/>
    <n v="97.442999999999998"/>
    <x v="1"/>
  </r>
  <r>
    <x v="98"/>
    <s v="Duran Group"/>
    <s v="Home"/>
    <n v="2"/>
    <n v="47.3"/>
    <n v="0.01"/>
    <n v="93.653999999999996"/>
    <x v="2"/>
  </r>
  <r>
    <x v="353"/>
    <s v="Duran Group"/>
    <s v="Home"/>
    <n v="2"/>
    <n v="424.53"/>
    <n v="0.14000000000000001"/>
    <n v="730.19159999999999"/>
    <x v="1"/>
  </r>
  <r>
    <x v="354"/>
    <s v="Duran Group"/>
    <s v="Home"/>
    <n v="2"/>
    <n v="247.67"/>
    <n v="0.1"/>
    <n v="445.80599999999998"/>
    <x v="2"/>
  </r>
  <r>
    <x v="156"/>
    <s v="Hopkins Ltd"/>
    <s v="Beauty"/>
    <n v="4"/>
    <n v="715.85"/>
    <n v="0.25"/>
    <n v="2147.5500000000002"/>
    <x v="2"/>
  </r>
  <r>
    <x v="186"/>
    <s v="Davis PLC"/>
    <s v="Sports"/>
    <n v="3"/>
    <n v="336.09"/>
    <n v="0.01"/>
    <n v="998.18729999999994"/>
    <x v="2"/>
  </r>
  <r>
    <x v="79"/>
    <s v="French Ltd"/>
    <s v="Sports"/>
    <n v="2"/>
    <n v="720.15"/>
    <n v="0.22"/>
    <n v="1123.434"/>
    <x v="1"/>
  </r>
  <r>
    <x v="355"/>
    <s v="Bruce-Bowen"/>
    <s v="Electronics"/>
    <n v="2"/>
    <n v="611.21"/>
    <n v="0.22"/>
    <n v="953.48760000000004"/>
    <x v="1"/>
  </r>
  <r>
    <x v="356"/>
    <s v="Larson Ltd"/>
    <s v="Electronics"/>
    <n v="3"/>
    <n v="291.05"/>
    <n v="0.3"/>
    <n v="611.20500000000004"/>
    <x v="0"/>
  </r>
  <r>
    <x v="23"/>
    <s v="Larson Ltd"/>
    <s v="Electronics"/>
    <n v="2"/>
    <n v="720.32"/>
    <n v="0.26"/>
    <n v="1066.0735999999999"/>
    <x v="0"/>
  </r>
  <r>
    <x v="127"/>
    <s v="White, Reeves and Woods"/>
    <s v="Electronics"/>
    <n v="3"/>
    <n v="212.87"/>
    <n v="0.18"/>
    <n v="523.66020000000003"/>
    <x v="0"/>
  </r>
  <r>
    <x v="326"/>
    <s v="Hernandez Inc"/>
    <s v="Home"/>
    <n v="3"/>
    <n v="240.51"/>
    <n v="7.0000000000000007E-2"/>
    <n v="671.02289999999994"/>
    <x v="0"/>
  </r>
  <r>
    <x v="357"/>
    <s v="Butler Group"/>
    <s v="Beauty"/>
    <n v="2"/>
    <n v="541.39"/>
    <n v="0.03"/>
    <n v="1050.2965999999999"/>
    <x v="1"/>
  </r>
  <r>
    <x v="125"/>
    <s v="Collins-Stephenson"/>
    <s v="Home"/>
    <n v="1"/>
    <n v="46.66"/>
    <n v="0.2"/>
    <n v="37.328000000000003"/>
    <x v="0"/>
  </r>
  <r>
    <x v="27"/>
    <s v="Olsen-Daniels"/>
    <s v="Sports"/>
    <n v="1"/>
    <n v="883.36"/>
    <n v="0.11"/>
    <n v="786.19040000000007"/>
    <x v="2"/>
  </r>
  <r>
    <x v="308"/>
    <s v="Olsen-Daniels"/>
    <s v="Sports"/>
    <n v="4"/>
    <n v="450.42"/>
    <n v="0.08"/>
    <n v="1657.5455999999999"/>
    <x v="1"/>
  </r>
  <r>
    <x v="358"/>
    <s v="Taylor-Elliott"/>
    <s v="Beauty"/>
    <n v="1"/>
    <n v="174.27"/>
    <n v="0.27"/>
    <n v="127.2171"/>
    <x v="1"/>
  </r>
  <r>
    <x v="218"/>
    <s v="Taylor-Elliott"/>
    <s v="Beauty"/>
    <n v="4"/>
    <n v="79.75"/>
    <n v="0.18"/>
    <n v="261.58"/>
    <x v="2"/>
  </r>
  <r>
    <x v="114"/>
    <s v="Smith-Charles"/>
    <s v="Clothing"/>
    <n v="3"/>
    <n v="690.27"/>
    <n v="7.0000000000000007E-2"/>
    <n v="1925.8533"/>
    <x v="2"/>
  </r>
  <r>
    <x v="292"/>
    <s v="Green, Powell and Palmer"/>
    <s v="Home"/>
    <n v="3"/>
    <n v="972.58"/>
    <n v="0.28000000000000003"/>
    <n v="2100.7728000000002"/>
    <x v="1"/>
  </r>
  <r>
    <x v="359"/>
    <s v="Green, Powell and Palmer"/>
    <s v="Home"/>
    <n v="3"/>
    <n v="361.65"/>
    <n v="0.15"/>
    <n v="922.20749999999987"/>
    <x v="1"/>
  </r>
  <r>
    <x v="266"/>
    <s v="Martin LLC"/>
    <s v="Electronics"/>
    <n v="1"/>
    <n v="744.88"/>
    <n v="0.15"/>
    <n v="633.14800000000002"/>
    <x v="1"/>
  </r>
  <r>
    <x v="114"/>
    <s v="Hoffman-Williams"/>
    <s v="Beauty"/>
    <n v="1"/>
    <n v="269.94"/>
    <n v="7.0000000000000007E-2"/>
    <n v="251.04419999999999"/>
    <x v="1"/>
  </r>
  <r>
    <x v="7"/>
    <s v="Wilson Group"/>
    <s v="Sports"/>
    <n v="2"/>
    <n v="100.42"/>
    <n v="0.06"/>
    <n v="188.78960000000001"/>
    <x v="0"/>
  </r>
  <r>
    <x v="319"/>
    <s v="Wilson Group"/>
    <s v="Sports"/>
    <n v="4"/>
    <n v="20.09"/>
    <n v="0.16"/>
    <n v="67.502399999999994"/>
    <x v="2"/>
  </r>
  <r>
    <x v="192"/>
    <s v="Wilson Group"/>
    <s v="Sports"/>
    <n v="2"/>
    <n v="452.29"/>
    <n v="0.01"/>
    <n v="895.53420000000006"/>
    <x v="1"/>
  </r>
  <r>
    <x v="360"/>
    <s v="Phillips and Sons"/>
    <s v="Clothing"/>
    <n v="3"/>
    <n v="950.83"/>
    <n v="0.06"/>
    <n v="2681.3406"/>
    <x v="2"/>
  </r>
  <r>
    <x v="320"/>
    <s v="Flores-King"/>
    <s v="Electronics"/>
    <n v="4"/>
    <n v="912.61"/>
    <n v="0.14000000000000001"/>
    <n v="3139.3784000000001"/>
    <x v="0"/>
  </r>
  <r>
    <x v="185"/>
    <s v="Hunt Inc"/>
    <s v="Electronics"/>
    <n v="3"/>
    <n v="407.39"/>
    <n v="0.08"/>
    <n v="1124.3964000000001"/>
    <x v="2"/>
  </r>
  <r>
    <x v="361"/>
    <s v="Terry-Moore"/>
    <s v="Clothing"/>
    <n v="2"/>
    <n v="462.93"/>
    <n v="0.17"/>
    <n v="768.46379999999999"/>
    <x v="2"/>
  </r>
  <r>
    <x v="139"/>
    <s v="Terry-Moore"/>
    <s v="Clothing"/>
    <n v="3"/>
    <n v="402.3"/>
    <n v="0.21"/>
    <n v="953.45100000000014"/>
    <x v="2"/>
  </r>
  <r>
    <x v="53"/>
    <s v="Hamilton Group"/>
    <s v="Home"/>
    <n v="2"/>
    <n v="188.25"/>
    <n v="0.08"/>
    <n v="346.38"/>
    <x v="2"/>
  </r>
  <r>
    <x v="131"/>
    <s v="Hamilton Group"/>
    <s v="Home"/>
    <n v="4"/>
    <n v="316.18"/>
    <n v="0.12"/>
    <n v="1112.9536000000001"/>
    <x v="0"/>
  </r>
  <r>
    <x v="362"/>
    <s v="Gibson, Hobbs and Weaver"/>
    <s v="Electronics"/>
    <n v="3"/>
    <n v="121.64"/>
    <n v="7.0000000000000007E-2"/>
    <n v="339.37560000000002"/>
    <x v="2"/>
  </r>
  <r>
    <x v="314"/>
    <s v="Gibson, Hobbs and Weaver"/>
    <s v="Electronics"/>
    <n v="4"/>
    <n v="632.24"/>
    <n v="0.25"/>
    <n v="1896.72"/>
    <x v="2"/>
  </r>
  <r>
    <x v="179"/>
    <s v="Gibson, Hobbs and Weaver"/>
    <s v="Electronics"/>
    <n v="2"/>
    <n v="298.01"/>
    <n v="0.05"/>
    <n v="566.21899999999994"/>
    <x v="0"/>
  </r>
  <r>
    <x v="355"/>
    <s v="Gibson, Hobbs and Weaver"/>
    <s v="Electronics"/>
    <n v="4"/>
    <n v="369.22"/>
    <n v="0.18"/>
    <n v="1211.0416"/>
    <x v="1"/>
  </r>
  <r>
    <x v="363"/>
    <s v="Rice LLC"/>
    <s v="Beauty"/>
    <n v="2"/>
    <n v="562.97"/>
    <n v="0.2"/>
    <n v="900.75200000000007"/>
    <x v="0"/>
  </r>
  <r>
    <x v="189"/>
    <s v="Rice LLC"/>
    <s v="Beauty"/>
    <n v="4"/>
    <n v="889.47"/>
    <n v="0.24"/>
    <n v="2703.9888000000001"/>
    <x v="0"/>
  </r>
  <r>
    <x v="75"/>
    <s v="Dawson-Perkins"/>
    <s v="Electronics"/>
    <n v="2"/>
    <n v="65.44"/>
    <n v="0.05"/>
    <n v="124.336"/>
    <x v="2"/>
  </r>
  <r>
    <x v="364"/>
    <s v="Dawson-Perkins"/>
    <s v="Electronics"/>
    <n v="1"/>
    <n v="206.45"/>
    <n v="0.15"/>
    <n v="175.48249999999999"/>
    <x v="2"/>
  </r>
  <r>
    <x v="199"/>
    <s v="Luna, Anderson and Bowman"/>
    <s v="Home"/>
    <n v="4"/>
    <n v="973.9"/>
    <n v="0.02"/>
    <n v="3817.6880000000001"/>
    <x v="1"/>
  </r>
  <r>
    <x v="241"/>
    <s v="Thomas LLC"/>
    <s v="Electronics"/>
    <n v="2"/>
    <n v="280.37"/>
    <n v="0.22"/>
    <n v="437.37720000000002"/>
    <x v="1"/>
  </r>
  <r>
    <x v="122"/>
    <s v="Thomas LLC"/>
    <s v="Electronics"/>
    <n v="2"/>
    <n v="899.27"/>
    <n v="0.17"/>
    <n v="1492.7882"/>
    <x v="0"/>
  </r>
  <r>
    <x v="348"/>
    <s v="Thomas LLC"/>
    <s v="Electronics"/>
    <n v="3"/>
    <n v="248.43"/>
    <n v="0.24"/>
    <n v="566.42039999999997"/>
    <x v="1"/>
  </r>
  <r>
    <x v="365"/>
    <s v="Ford, Murphy and Wilson"/>
    <s v="Sports"/>
    <n v="4"/>
    <n v="742.15"/>
    <n v="0.1"/>
    <n v="2671.74"/>
    <x v="1"/>
  </r>
  <r>
    <x v="366"/>
    <s v="Guerra-Hendrix"/>
    <s v="Clothing"/>
    <n v="1"/>
    <n v="124.98"/>
    <n v="7.0000000000000007E-2"/>
    <n v="116.23139999999999"/>
    <x v="1"/>
  </r>
  <r>
    <x v="367"/>
    <s v="May-Reese"/>
    <s v="Sports"/>
    <n v="3"/>
    <n v="543.22"/>
    <n v="0.05"/>
    <n v="1548.1769999999999"/>
    <x v="1"/>
  </r>
  <r>
    <x v="139"/>
    <s v="May-Reese"/>
    <s v="Sports"/>
    <n v="1"/>
    <n v="512.16"/>
    <n v="0.02"/>
    <n v="501.91680000000002"/>
    <x v="1"/>
  </r>
  <r>
    <x v="2"/>
    <s v="Sims Inc"/>
    <s v="Clothing"/>
    <n v="4"/>
    <n v="601.5"/>
    <n v="0.18"/>
    <n v="1972.92"/>
    <x v="0"/>
  </r>
  <r>
    <x v="368"/>
    <s v="Moon, Mora and Santos"/>
    <s v="Clothing"/>
    <n v="1"/>
    <n v="352.43"/>
    <n v="0.14000000000000001"/>
    <n v="303.08980000000003"/>
    <x v="2"/>
  </r>
  <r>
    <x v="369"/>
    <s v="Moon, Mora and Santos"/>
    <s v="Clothing"/>
    <n v="1"/>
    <n v="563.32000000000005"/>
    <n v="0.01"/>
    <n v="557.68680000000006"/>
    <x v="2"/>
  </r>
  <r>
    <x v="169"/>
    <s v="Cook Ltd"/>
    <s v="Sports"/>
    <n v="4"/>
    <n v="403.47"/>
    <n v="0.28999999999999998"/>
    <n v="1145.8548000000001"/>
    <x v="2"/>
  </r>
  <r>
    <x v="335"/>
    <s v="Brown and Sons"/>
    <s v="Clothing"/>
    <n v="4"/>
    <n v="94.13"/>
    <n v="0.15"/>
    <n v="320.04199999999997"/>
    <x v="0"/>
  </r>
  <r>
    <x v="199"/>
    <s v="Brown and Sons"/>
    <s v="Clothing"/>
    <n v="2"/>
    <n v="795.37"/>
    <n v="0.2"/>
    <n v="1272.5920000000001"/>
    <x v="1"/>
  </r>
  <r>
    <x v="53"/>
    <s v="Brown and Sons"/>
    <s v="Clothing"/>
    <n v="1"/>
    <n v="857.35"/>
    <n v="0.28000000000000003"/>
    <n v="617.29200000000003"/>
    <x v="2"/>
  </r>
  <r>
    <x v="33"/>
    <s v="Brown and Sons"/>
    <s v="Clothing"/>
    <n v="3"/>
    <n v="504.97"/>
    <n v="0.3"/>
    <n v="1060.4369999999999"/>
    <x v="0"/>
  </r>
  <r>
    <x v="112"/>
    <s v="Pineda Ltd"/>
    <s v="Clothing"/>
    <n v="1"/>
    <n v="74.290000000000006"/>
    <n v="0.3"/>
    <n v="52.003"/>
    <x v="1"/>
  </r>
  <r>
    <x v="133"/>
    <s v="Nolan-Snow"/>
    <s v="Sports"/>
    <n v="3"/>
    <n v="108.14"/>
    <n v="0.19"/>
    <n v="262.78019999999998"/>
    <x v="1"/>
  </r>
  <r>
    <x v="332"/>
    <s v="Nolan-Snow"/>
    <s v="Sports"/>
    <n v="2"/>
    <n v="31.28"/>
    <n v="0.2"/>
    <n v="50.048000000000002"/>
    <x v="1"/>
  </r>
  <r>
    <x v="370"/>
    <s v="Griffin Ltd"/>
    <s v="Beauty"/>
    <n v="1"/>
    <n v="223.25"/>
    <n v="0.28999999999999998"/>
    <n v="158.50749999999999"/>
    <x v="0"/>
  </r>
  <r>
    <x v="244"/>
    <s v="Weiss-Watson"/>
    <s v="Home"/>
    <n v="2"/>
    <n v="667.17"/>
    <n v="0.1"/>
    <n v="1200.9059999999999"/>
    <x v="2"/>
  </r>
  <r>
    <x v="136"/>
    <s v="Weiss-Watson"/>
    <s v="Home"/>
    <n v="1"/>
    <n v="161.16999999999999"/>
    <n v="0.05"/>
    <n v="153.11150000000001"/>
    <x v="0"/>
  </r>
  <r>
    <x v="269"/>
    <s v="Lucero LLC"/>
    <s v="Electronics"/>
    <n v="2"/>
    <n v="696.61"/>
    <n v="0.17"/>
    <n v="1156.3725999999999"/>
    <x v="2"/>
  </r>
  <r>
    <x v="371"/>
    <s v="Lucero LLC"/>
    <s v="Electronics"/>
    <n v="2"/>
    <n v="223.73"/>
    <n v="0.11"/>
    <n v="398.23939999999999"/>
    <x v="2"/>
  </r>
  <r>
    <x v="32"/>
    <s v="Jones LLC"/>
    <s v="Home"/>
    <n v="4"/>
    <n v="642.04999999999995"/>
    <n v="0.25"/>
    <n v="1926.15"/>
    <x v="0"/>
  </r>
  <r>
    <x v="372"/>
    <s v="Hogan-Lee"/>
    <s v="Clothing"/>
    <n v="3"/>
    <n v="281.95999999999998"/>
    <n v="0.01"/>
    <n v="837.42119999999989"/>
    <x v="1"/>
  </r>
  <r>
    <x v="293"/>
    <s v="Hogan-Lee"/>
    <s v="Clothing"/>
    <n v="4"/>
    <n v="184.57"/>
    <n v="0.28000000000000003"/>
    <n v="531.5616"/>
    <x v="0"/>
  </r>
  <r>
    <x v="373"/>
    <s v="Sims-Smith"/>
    <s v="Sports"/>
    <n v="2"/>
    <n v="235.39"/>
    <n v="0.27"/>
    <n v="343.6694"/>
    <x v="1"/>
  </r>
  <r>
    <x v="320"/>
    <s v="Sims-Smith"/>
    <s v="Sports"/>
    <n v="4"/>
    <n v="132.88999999999999"/>
    <n v="0.12"/>
    <n v="467.77280000000002"/>
    <x v="0"/>
  </r>
  <r>
    <x v="310"/>
    <s v="Cummings and Sons"/>
    <s v="Electronics"/>
    <n v="2"/>
    <n v="768.08"/>
    <n v="0.26"/>
    <n v="1136.7583999999999"/>
    <x v="2"/>
  </r>
  <r>
    <x v="127"/>
    <s v="Cummings and Sons"/>
    <s v="Electronics"/>
    <n v="3"/>
    <n v="836.27"/>
    <n v="0.16"/>
    <n v="2107.4004"/>
    <x v="0"/>
  </r>
  <r>
    <x v="200"/>
    <s v="Taylor-Hart"/>
    <s v="Electronics"/>
    <n v="1"/>
    <n v="517.82000000000005"/>
    <n v="0.28999999999999998"/>
    <n v="367.65219999999999"/>
    <x v="0"/>
  </r>
  <r>
    <x v="33"/>
    <s v="Robinson Inc"/>
    <s v="Electronics"/>
    <n v="3"/>
    <n v="791.75"/>
    <n v="0.28999999999999998"/>
    <n v="1686.4275"/>
    <x v="0"/>
  </r>
  <r>
    <x v="374"/>
    <s v="Bridges, Banks and Cummings"/>
    <s v="Sports"/>
    <n v="3"/>
    <n v="674.66"/>
    <n v="0.23"/>
    <n v="1558.4646"/>
    <x v="0"/>
  </r>
  <r>
    <x v="375"/>
    <s v="Bridges, Banks and Cummings"/>
    <s v="Sports"/>
    <n v="1"/>
    <n v="496.19"/>
    <n v="0.08"/>
    <n v="456.4948"/>
    <x v="1"/>
  </r>
  <r>
    <x v="195"/>
    <s v="Kelly, Smith and Perez"/>
    <s v="Clothing"/>
    <n v="4"/>
    <n v="614.99"/>
    <n v="0.16"/>
    <n v="2066.3663999999999"/>
    <x v="2"/>
  </r>
  <r>
    <x v="376"/>
    <s v="Byrd, Stewart and Valdez"/>
    <s v="Electronics"/>
    <n v="1"/>
    <n v="135.13"/>
    <n v="0.04"/>
    <n v="129.72479999999999"/>
    <x v="0"/>
  </r>
  <r>
    <x v="37"/>
    <s v="Sullivan and Sons"/>
    <s v="Beauty"/>
    <n v="3"/>
    <n v="225.14"/>
    <n v="0.15"/>
    <n v="574.10699999999997"/>
    <x v="1"/>
  </r>
  <r>
    <x v="15"/>
    <s v="Thompson-French"/>
    <s v="Sports"/>
    <n v="3"/>
    <n v="789.05"/>
    <n v="0"/>
    <n v="2367.15"/>
    <x v="2"/>
  </r>
  <r>
    <x v="377"/>
    <s v="Thompson-French"/>
    <s v="Sports"/>
    <n v="2"/>
    <n v="536.84"/>
    <n v="0.09"/>
    <n v="977.04880000000014"/>
    <x v="1"/>
  </r>
  <r>
    <x v="378"/>
    <s v="Cline-Mccarthy"/>
    <s v="Beauty"/>
    <n v="3"/>
    <n v="597.46"/>
    <n v="0.02"/>
    <n v="1756.5324000000001"/>
    <x v="2"/>
  </r>
  <r>
    <x v="379"/>
    <s v="Cline-Mccarthy"/>
    <s v="Beauty"/>
    <n v="1"/>
    <n v="935.66"/>
    <n v="0.26"/>
    <n v="692.38839999999993"/>
    <x v="2"/>
  </r>
  <r>
    <x v="380"/>
    <s v="Gibson, Green and Lopez"/>
    <s v="Beauty"/>
    <n v="1"/>
    <n v="145.96"/>
    <n v="0.3"/>
    <n v="102.172"/>
    <x v="0"/>
  </r>
  <r>
    <x v="111"/>
    <s v="Lopez LLC"/>
    <s v="Sports"/>
    <n v="3"/>
    <n v="259.98"/>
    <n v="7.0000000000000007E-2"/>
    <n v="725.3442"/>
    <x v="1"/>
  </r>
  <r>
    <x v="275"/>
    <s v="Lopez LLC"/>
    <s v="Sports"/>
    <n v="4"/>
    <n v="385.5"/>
    <n v="0.03"/>
    <n v="1495.74"/>
    <x v="2"/>
  </r>
  <r>
    <x v="56"/>
    <s v="Murray, Gould and Ware"/>
    <s v="Electronics"/>
    <n v="3"/>
    <n v="252.63"/>
    <n v="0.28000000000000003"/>
    <n v="545.68079999999998"/>
    <x v="0"/>
  </r>
  <r>
    <x v="37"/>
    <s v="Murray, Gould and Ware"/>
    <s v="Electronics"/>
    <n v="3"/>
    <n v="920.82"/>
    <n v="0.1"/>
    <n v="2486.2139999999999"/>
    <x v="2"/>
  </r>
  <r>
    <x v="335"/>
    <s v="Zhang Inc"/>
    <s v="Beauty"/>
    <n v="3"/>
    <n v="543.44000000000005"/>
    <n v="0.13"/>
    <n v="1418.3784000000001"/>
    <x v="2"/>
  </r>
  <r>
    <x v="136"/>
    <s v="Zhang Inc"/>
    <s v="Beauty"/>
    <n v="2"/>
    <n v="558.9"/>
    <n v="0.05"/>
    <n v="1061.9100000000001"/>
    <x v="1"/>
  </r>
  <r>
    <x v="381"/>
    <s v="Montgomery, Benton and Miller"/>
    <s v="Sports"/>
    <n v="1"/>
    <n v="524"/>
    <n v="0.28000000000000003"/>
    <n v="377.28"/>
    <x v="0"/>
  </r>
  <r>
    <x v="74"/>
    <s v="Flores-Davis"/>
    <s v="Electronics"/>
    <n v="1"/>
    <n v="687.82"/>
    <n v="0.27"/>
    <n v="502.10860000000002"/>
    <x v="1"/>
  </r>
  <r>
    <x v="382"/>
    <s v="Harrell LLC"/>
    <s v="Home"/>
    <n v="3"/>
    <n v="754.02"/>
    <n v="0.1"/>
    <n v="2035.854"/>
    <x v="1"/>
  </r>
  <r>
    <x v="197"/>
    <s v="Harrell LLC"/>
    <s v="Home"/>
    <n v="1"/>
    <n v="384.57"/>
    <n v="0.06"/>
    <n v="361.49579999999997"/>
    <x v="2"/>
  </r>
  <r>
    <x v="383"/>
    <s v="Duran Group"/>
    <s v="Home"/>
    <n v="3"/>
    <n v="360.18"/>
    <n v="0.03"/>
    <n v="1048.1238000000001"/>
    <x v="0"/>
  </r>
  <r>
    <x v="62"/>
    <s v="Hopkins Ltd"/>
    <s v="Beauty"/>
    <n v="2"/>
    <n v="985"/>
    <n v="0.25"/>
    <n v="1477.5"/>
    <x v="0"/>
  </r>
  <r>
    <x v="331"/>
    <s v="Bruce-Bowen"/>
    <s v="Electronics"/>
    <n v="2"/>
    <n v="25.3"/>
    <n v="0.21"/>
    <n v="39.973999999999997"/>
    <x v="0"/>
  </r>
  <r>
    <x v="124"/>
    <s v="Bruce-Bowen"/>
    <s v="Electronics"/>
    <n v="4"/>
    <n v="592.14"/>
    <n v="0.12"/>
    <n v="2084.3328000000001"/>
    <x v="1"/>
  </r>
  <r>
    <x v="236"/>
    <s v="Hernandez Inc"/>
    <s v="Home"/>
    <n v="3"/>
    <n v="442.36"/>
    <n v="0.06"/>
    <n v="1247.4552000000001"/>
    <x v="2"/>
  </r>
  <r>
    <x v="384"/>
    <s v="Perez-Johnston"/>
    <s v="Electronics"/>
    <n v="1"/>
    <n v="43.58"/>
    <n v="0.01"/>
    <n v="43.144199999999998"/>
    <x v="1"/>
  </r>
  <r>
    <x v="385"/>
    <s v="Allison Ltd"/>
    <s v="Home"/>
    <n v="2"/>
    <n v="949.3"/>
    <n v="0.08"/>
    <n v="1746.712"/>
    <x v="1"/>
  </r>
  <r>
    <x v="204"/>
    <s v="Allison Ltd"/>
    <s v="Home"/>
    <n v="4"/>
    <n v="643.96"/>
    <n v="0.16"/>
    <n v="2163.7055999999998"/>
    <x v="2"/>
  </r>
  <r>
    <x v="187"/>
    <s v="Robinson-Brown"/>
    <s v="Sports"/>
    <n v="2"/>
    <n v="457.83"/>
    <n v="0.01"/>
    <n v="906.50339999999994"/>
    <x v="1"/>
  </r>
  <r>
    <x v="343"/>
    <s v="Butler Group"/>
    <s v="Beauty"/>
    <n v="3"/>
    <n v="71.23"/>
    <n v="0.03"/>
    <n v="207.27930000000001"/>
    <x v="0"/>
  </r>
  <r>
    <x v="51"/>
    <s v="Butler Group"/>
    <s v="Beauty"/>
    <n v="1"/>
    <n v="140.72"/>
    <n v="0"/>
    <n v="140.72"/>
    <x v="1"/>
  </r>
  <r>
    <x v="190"/>
    <s v="Butler Group"/>
    <s v="Beauty"/>
    <n v="1"/>
    <n v="860.84"/>
    <n v="7.0000000000000007E-2"/>
    <n v="800.58119999999997"/>
    <x v="2"/>
  </r>
  <r>
    <x v="104"/>
    <s v="Collins-Stephenson"/>
    <s v="Home"/>
    <n v="1"/>
    <n v="907.97"/>
    <n v="0.26"/>
    <n v="671.89779999999996"/>
    <x v="1"/>
  </r>
  <r>
    <x v="211"/>
    <s v="Taylor, Dodson and Johnston"/>
    <s v="Home"/>
    <n v="2"/>
    <n v="384.92"/>
    <n v="0.09"/>
    <n v="700.5544000000001"/>
    <x v="0"/>
  </r>
  <r>
    <x v="166"/>
    <s v="Aguilar, Horton and Lewis"/>
    <s v="Home"/>
    <n v="4"/>
    <n v="72.63"/>
    <n v="0.06"/>
    <n v="273.08879999999999"/>
    <x v="2"/>
  </r>
  <r>
    <x v="196"/>
    <s v="Olsen-Daniels"/>
    <s v="Sports"/>
    <n v="2"/>
    <n v="315.27"/>
    <n v="0.23"/>
    <n v="485.51580000000001"/>
    <x v="0"/>
  </r>
  <r>
    <x v="348"/>
    <s v="Olsen-Daniels"/>
    <s v="Sports"/>
    <n v="3"/>
    <n v="920.61"/>
    <n v="0.04"/>
    <n v="2651.3568"/>
    <x v="0"/>
  </r>
  <r>
    <x v="341"/>
    <s v="Taylor-Elliott"/>
    <s v="Beauty"/>
    <n v="4"/>
    <n v="569.98"/>
    <n v="0.23"/>
    <n v="1755.5383999999999"/>
    <x v="0"/>
  </r>
  <r>
    <x v="311"/>
    <s v="Taylor-Elliott"/>
    <s v="Beauty"/>
    <n v="3"/>
    <n v="882.05"/>
    <n v="0.06"/>
    <n v="2487.3809999999989"/>
    <x v="2"/>
  </r>
  <r>
    <x v="334"/>
    <s v="Taylor-Elliott"/>
    <s v="Beauty"/>
    <n v="4"/>
    <n v="904.82"/>
    <n v="0.09"/>
    <n v="3293.5448000000001"/>
    <x v="2"/>
  </r>
  <r>
    <x v="165"/>
    <s v="Hill PLC"/>
    <s v="Sports"/>
    <n v="4"/>
    <n v="355.14"/>
    <n v="0.16"/>
    <n v="1193.2704000000001"/>
    <x v="1"/>
  </r>
  <r>
    <x v="276"/>
    <s v="Sharp, Taylor and Rodriguez"/>
    <s v="Electronics"/>
    <n v="4"/>
    <n v="75.37"/>
    <n v="0.02"/>
    <n v="295.4504"/>
    <x v="1"/>
  </r>
  <r>
    <x v="188"/>
    <s v="Martin LLC"/>
    <s v="Electronics"/>
    <n v="3"/>
    <n v="199.13"/>
    <n v="0.24"/>
    <n v="454.01639999999998"/>
    <x v="0"/>
  </r>
  <r>
    <x v="382"/>
    <s v="Hoffman-Williams"/>
    <s v="Beauty"/>
    <n v="4"/>
    <n v="603.52"/>
    <n v="0.25"/>
    <n v="1810.56"/>
    <x v="0"/>
  </r>
  <r>
    <x v="386"/>
    <s v="Hoffman-Williams"/>
    <s v="Beauty"/>
    <n v="1"/>
    <n v="509.63"/>
    <n v="0.27"/>
    <n v="372.0299"/>
    <x v="1"/>
  </r>
  <r>
    <x v="77"/>
    <s v="Wilson Group"/>
    <s v="Sports"/>
    <n v="2"/>
    <n v="463.52"/>
    <n v="0.27"/>
    <n v="676.73919999999998"/>
    <x v="2"/>
  </r>
  <r>
    <x v="355"/>
    <s v="Wilson Group"/>
    <s v="Sports"/>
    <n v="4"/>
    <n v="284.24"/>
    <n v="0.1"/>
    <n v="1023.264"/>
    <x v="0"/>
  </r>
  <r>
    <x v="207"/>
    <s v="Wilson Group"/>
    <s v="Sports"/>
    <n v="4"/>
    <n v="918.1"/>
    <n v="0.19"/>
    <n v="2974.6439999999998"/>
    <x v="1"/>
  </r>
  <r>
    <x v="318"/>
    <s v="Khan LLC"/>
    <s v="Sports"/>
    <n v="4"/>
    <n v="493.8"/>
    <n v="0.24"/>
    <n v="1501.152"/>
    <x v="1"/>
  </r>
  <r>
    <x v="117"/>
    <s v="Hunt Inc"/>
    <s v="Electronics"/>
    <n v="3"/>
    <n v="60.26"/>
    <n v="0.04"/>
    <n v="173.5488"/>
    <x v="0"/>
  </r>
  <r>
    <x v="239"/>
    <s v="Hunt Inc"/>
    <s v="Electronics"/>
    <n v="4"/>
    <n v="897.93"/>
    <n v="0.05"/>
    <n v="3412.134"/>
    <x v="1"/>
  </r>
  <r>
    <x v="223"/>
    <s v="Hunt Inc"/>
    <s v="Electronics"/>
    <n v="3"/>
    <n v="279.45"/>
    <n v="0.15"/>
    <n v="712.59749999999985"/>
    <x v="1"/>
  </r>
  <r>
    <x v="27"/>
    <s v="Terry-Moore"/>
    <s v="Clothing"/>
    <n v="2"/>
    <n v="508.52"/>
    <n v="0.11"/>
    <n v="905.16559999999993"/>
    <x v="1"/>
  </r>
  <r>
    <x v="387"/>
    <s v="Terry-Moore"/>
    <s v="Clothing"/>
    <n v="1"/>
    <n v="783.25"/>
    <n v="0.3"/>
    <n v="548.27499999999998"/>
    <x v="0"/>
  </r>
  <r>
    <x v="152"/>
    <s v="Hamilton Group"/>
    <s v="Home"/>
    <n v="2"/>
    <n v="848.87"/>
    <n v="0.09"/>
    <n v="1544.9434000000001"/>
    <x v="1"/>
  </r>
  <r>
    <x v="306"/>
    <s v="Hamilton Group"/>
    <s v="Home"/>
    <n v="2"/>
    <n v="700.27"/>
    <n v="0.16"/>
    <n v="1176.4536000000001"/>
    <x v="0"/>
  </r>
  <r>
    <x v="388"/>
    <s v="Gibson, Hobbs and Weaver"/>
    <s v="Electronics"/>
    <n v="3"/>
    <n v="866.78"/>
    <n v="0.27"/>
    <n v="1898.2482"/>
    <x v="2"/>
  </r>
  <r>
    <x v="234"/>
    <s v="Dawson-Perkins"/>
    <s v="Electronics"/>
    <n v="2"/>
    <n v="330.59"/>
    <n v="0.14000000000000001"/>
    <n v="568.61479999999995"/>
    <x v="0"/>
  </r>
  <r>
    <x v="389"/>
    <s v="Dawson-Perkins"/>
    <s v="Electronics"/>
    <n v="4"/>
    <n v="561.24"/>
    <n v="0.24"/>
    <n v="1706.1695999999999"/>
    <x v="0"/>
  </r>
  <r>
    <x v="390"/>
    <s v="Thomas LLC"/>
    <s v="Electronics"/>
    <n v="3"/>
    <n v="262.69"/>
    <n v="0.04"/>
    <n v="756.54719999999986"/>
    <x v="2"/>
  </r>
  <r>
    <x v="152"/>
    <s v="Thomas LLC"/>
    <s v="Electronics"/>
    <n v="4"/>
    <n v="370.63"/>
    <n v="0.08"/>
    <n v="1363.9184"/>
    <x v="0"/>
  </r>
  <r>
    <x v="391"/>
    <s v="Erickson-Green"/>
    <s v="Beauty"/>
    <n v="2"/>
    <n v="126.02"/>
    <n v="0.09"/>
    <n v="229.35640000000001"/>
    <x v="1"/>
  </r>
  <r>
    <x v="392"/>
    <s v="Erickson-Green"/>
    <s v="Beauty"/>
    <n v="2"/>
    <n v="753.92"/>
    <n v="0.17"/>
    <n v="1251.5072"/>
    <x v="2"/>
  </r>
  <r>
    <x v="162"/>
    <s v="Ford, Murphy and Wilson"/>
    <s v="Sports"/>
    <n v="1"/>
    <n v="519.91"/>
    <n v="0.05"/>
    <n v="493.91449999999992"/>
    <x v="1"/>
  </r>
  <r>
    <x v="318"/>
    <s v="Ford, Murphy and Wilson"/>
    <s v="Sports"/>
    <n v="3"/>
    <n v="123.74"/>
    <n v="0.23"/>
    <n v="285.83940000000001"/>
    <x v="2"/>
  </r>
  <r>
    <x v="142"/>
    <s v="May-Reese"/>
    <s v="Sports"/>
    <n v="2"/>
    <n v="22.47"/>
    <n v="0.22"/>
    <n v="35.053199999999997"/>
    <x v="2"/>
  </r>
  <r>
    <x v="283"/>
    <s v="Sims Inc"/>
    <s v="Clothing"/>
    <n v="1"/>
    <n v="372.75"/>
    <n v="0.12"/>
    <n v="328.02"/>
    <x v="0"/>
  </r>
  <r>
    <x v="226"/>
    <s v="Gardner-Montes"/>
    <s v="Home"/>
    <n v="4"/>
    <n v="714.89"/>
    <n v="0.15"/>
    <n v="2430.6260000000002"/>
    <x v="0"/>
  </r>
  <r>
    <x v="25"/>
    <s v="Gardner-Montes"/>
    <s v="Home"/>
    <n v="2"/>
    <n v="384.66"/>
    <n v="0.08"/>
    <n v="707.77440000000013"/>
    <x v="1"/>
  </r>
  <r>
    <x v="323"/>
    <s v="Flores, Pineda and Rodriguez"/>
    <s v="Sports"/>
    <n v="4"/>
    <n v="300.12"/>
    <n v="0.05"/>
    <n v="1140.4559999999999"/>
    <x v="2"/>
  </r>
  <r>
    <x v="393"/>
    <s v="Moon, Mora and Santos"/>
    <s v="Clothing"/>
    <n v="2"/>
    <n v="425.06"/>
    <n v="0.09"/>
    <n v="773.60919999999999"/>
    <x v="2"/>
  </r>
  <r>
    <x v="83"/>
    <s v="Cook Ltd"/>
    <s v="Sports"/>
    <n v="2"/>
    <n v="409.52"/>
    <n v="0.06"/>
    <n v="769.8975999999999"/>
    <x v="1"/>
  </r>
  <r>
    <x v="394"/>
    <s v="Brown and Sons"/>
    <s v="Clothing"/>
    <n v="4"/>
    <n v="627.73"/>
    <n v="0.11"/>
    <n v="2234.7188000000001"/>
    <x v="1"/>
  </r>
  <r>
    <x v="252"/>
    <s v="Khan, Jones and Paul"/>
    <s v="Home"/>
    <n v="2"/>
    <n v="270.66000000000003"/>
    <n v="0.1"/>
    <n v="487.18799999999999"/>
    <x v="1"/>
  </r>
  <r>
    <x v="269"/>
    <s v="Khan, Jones and Paul"/>
    <s v="Home"/>
    <n v="4"/>
    <n v="310.79000000000002"/>
    <n v="0.22"/>
    <n v="969.66480000000013"/>
    <x v="1"/>
  </r>
  <r>
    <x v="208"/>
    <s v="Burns-Hansen"/>
    <s v="Sports"/>
    <n v="2"/>
    <n v="619.12"/>
    <n v="0.28000000000000003"/>
    <n v="891.53279999999995"/>
    <x v="1"/>
  </r>
  <r>
    <x v="350"/>
    <s v="Hoffman Group"/>
    <s v="Home"/>
    <n v="1"/>
    <n v="850.06"/>
    <n v="0.28999999999999998"/>
    <n v="603.54259999999988"/>
    <x v="2"/>
  </r>
  <r>
    <x v="90"/>
    <s v="Pineda Ltd"/>
    <s v="Clothing"/>
    <n v="1"/>
    <n v="402.47"/>
    <n v="0.19"/>
    <n v="326.00070000000011"/>
    <x v="2"/>
  </r>
  <r>
    <x v="208"/>
    <s v="Stevens, Fernandez and Martin"/>
    <s v="Home"/>
    <n v="1"/>
    <n v="703.16"/>
    <n v="0.28999999999999998"/>
    <n v="499.24360000000001"/>
    <x v="0"/>
  </r>
  <r>
    <x v="92"/>
    <s v="Stevens, Fernandez and Martin"/>
    <s v="Home"/>
    <n v="1"/>
    <n v="101.84"/>
    <n v="0.17"/>
    <n v="84.527199999999993"/>
    <x v="0"/>
  </r>
  <r>
    <x v="395"/>
    <s v="Nolan-Snow"/>
    <s v="Sports"/>
    <n v="3"/>
    <n v="938.68"/>
    <n v="0.14000000000000001"/>
    <n v="2421.7944000000002"/>
    <x v="0"/>
  </r>
  <r>
    <x v="26"/>
    <s v="Lucero LLC"/>
    <s v="Electronics"/>
    <n v="4"/>
    <n v="362.81"/>
    <n v="0.21"/>
    <n v="1146.4795999999999"/>
    <x v="1"/>
  </r>
  <r>
    <x v="396"/>
    <s v="Lucero LLC"/>
    <s v="Electronics"/>
    <n v="2"/>
    <n v="858.15"/>
    <n v="0.03"/>
    <n v="1664.8109999999999"/>
    <x v="0"/>
  </r>
  <r>
    <x v="381"/>
    <s v="Lucero LLC"/>
    <s v="Electronics"/>
    <n v="4"/>
    <n v="450.12"/>
    <n v="0.28999999999999998"/>
    <n v="1278.3407999999999"/>
    <x v="1"/>
  </r>
  <r>
    <x v="397"/>
    <s v="Lucero LLC"/>
    <s v="Electronics"/>
    <n v="4"/>
    <n v="115.42"/>
    <n v="0.03"/>
    <n v="447.82960000000003"/>
    <x v="1"/>
  </r>
  <r>
    <x v="20"/>
    <s v="Lucero LLC"/>
    <s v="Electronics"/>
    <n v="2"/>
    <n v="316.89999999999998"/>
    <n v="0.3"/>
    <n v="443.66"/>
    <x v="2"/>
  </r>
  <r>
    <x v="398"/>
    <s v="Hogan-Lee"/>
    <s v="Clothing"/>
    <n v="4"/>
    <n v="21.12"/>
    <n v="0.18"/>
    <n v="69.273600000000002"/>
    <x v="1"/>
  </r>
  <r>
    <x v="334"/>
    <s v="Hogan-Lee"/>
    <s v="Clothing"/>
    <n v="2"/>
    <n v="472.08"/>
    <n v="7.0000000000000007E-2"/>
    <n v="878.0687999999999"/>
    <x v="0"/>
  </r>
  <r>
    <x v="396"/>
    <s v="Hogan-Lee"/>
    <s v="Clothing"/>
    <n v="1"/>
    <n v="628.98"/>
    <n v="0.03"/>
    <n v="610.11059999999998"/>
    <x v="1"/>
  </r>
  <r>
    <x v="254"/>
    <s v="Holmes LLC"/>
    <s v="Electronics"/>
    <n v="1"/>
    <n v="653.91"/>
    <n v="0.3"/>
    <n v="457.73700000000002"/>
    <x v="2"/>
  </r>
  <r>
    <x v="302"/>
    <s v="Cox Inc"/>
    <s v="Sports"/>
    <n v="1"/>
    <n v="442.36"/>
    <n v="0.14000000000000001"/>
    <n v="380.42959999999999"/>
    <x v="0"/>
  </r>
  <r>
    <x v="223"/>
    <s v="Bridges, Banks and Cummings"/>
    <s v="Sports"/>
    <n v="1"/>
    <n v="853.12"/>
    <n v="0.19"/>
    <n v="691.02719999999999"/>
    <x v="1"/>
  </r>
  <r>
    <x v="37"/>
    <s v="Kelly, Smith and Perez"/>
    <s v="Clothing"/>
    <n v="2"/>
    <n v="780.9"/>
    <n v="0.24"/>
    <n v="1186.9680000000001"/>
    <x v="2"/>
  </r>
  <r>
    <x v="125"/>
    <s v="Cook Inc"/>
    <s v="Beauty"/>
    <n v="3"/>
    <n v="64.2"/>
    <n v="0.08"/>
    <n v="177.19200000000001"/>
    <x v="1"/>
  </r>
  <r>
    <x v="295"/>
    <s v="Byrd, Stewart and Valdez"/>
    <s v="Electronics"/>
    <n v="1"/>
    <n v="775.84"/>
    <n v="0.26"/>
    <n v="574.12160000000006"/>
    <x v="0"/>
  </r>
  <r>
    <x v="399"/>
    <s v="Baldwin, Garza and Gonzalez"/>
    <s v="Clothing"/>
    <n v="2"/>
    <n v="530.54"/>
    <n v="0.28000000000000003"/>
    <n v="763.97759999999994"/>
    <x v="1"/>
  </r>
  <r>
    <x v="224"/>
    <s v="Bautista, Green and Hale"/>
    <s v="Electronics"/>
    <n v="1"/>
    <n v="408.66"/>
    <n v="0.13"/>
    <n v="355.5342"/>
    <x v="1"/>
  </r>
  <r>
    <x v="179"/>
    <s v="Bautista, Green and Hale"/>
    <s v="Electronics"/>
    <n v="1"/>
    <n v="272.2"/>
    <n v="0.3"/>
    <n v="190.54"/>
    <x v="0"/>
  </r>
  <r>
    <x v="35"/>
    <s v="Thompson-French"/>
    <s v="Sports"/>
    <n v="3"/>
    <n v="183.44"/>
    <n v="0.28000000000000003"/>
    <n v="396.23039999999992"/>
    <x v="1"/>
  </r>
  <r>
    <x v="146"/>
    <s v="Hatfield, Baird and Torres"/>
    <s v="Home"/>
    <n v="4"/>
    <n v="613.16999999999996"/>
    <n v="0.26"/>
    <n v="1814.9831999999999"/>
    <x v="0"/>
  </r>
  <r>
    <x v="76"/>
    <s v="Hatfield, Baird and Torres"/>
    <s v="Home"/>
    <n v="4"/>
    <n v="750.26"/>
    <n v="0.01"/>
    <n v="2971.0295999999998"/>
    <x v="2"/>
  </r>
  <r>
    <x v="139"/>
    <s v="Hatfield, Baird and Torres"/>
    <s v="Home"/>
    <n v="4"/>
    <n v="570.38"/>
    <n v="0.26"/>
    <n v="1688.3248000000001"/>
    <x v="2"/>
  </r>
  <r>
    <x v="400"/>
    <s v="Hernandez, Kennedy and Porter"/>
    <s v="Home"/>
    <n v="3"/>
    <n v="753.47"/>
    <n v="0.25"/>
    <n v="1695.3074999999999"/>
    <x v="2"/>
  </r>
  <r>
    <x v="323"/>
    <s v="Hernandez, Kennedy and Porter"/>
    <s v="Home"/>
    <n v="2"/>
    <n v="805.08"/>
    <n v="0.27"/>
    <n v="1175.4168"/>
    <x v="2"/>
  </r>
  <r>
    <x v="23"/>
    <s v="Atkinson, Camacho and Oliver"/>
    <s v="Sports"/>
    <n v="4"/>
    <n v="689.67"/>
    <n v="0.05"/>
    <n v="2620.7460000000001"/>
    <x v="1"/>
  </r>
  <r>
    <x v="4"/>
    <s v="Shepherd-Gould"/>
    <s v="Clothing"/>
    <n v="3"/>
    <n v="666.39"/>
    <n v="0.21"/>
    <n v="1579.3443"/>
    <x v="1"/>
  </r>
  <r>
    <x v="236"/>
    <s v="Davidson PLC"/>
    <s v="Beauty"/>
    <n v="2"/>
    <n v="733.87"/>
    <n v="0.1"/>
    <n v="1320.9659999999999"/>
    <x v="2"/>
  </r>
  <r>
    <x v="327"/>
    <s v="Davidson PLC"/>
    <s v="Beauty"/>
    <n v="2"/>
    <n v="824.34"/>
    <n v="0.1"/>
    <n v="1483.8119999999999"/>
    <x v="1"/>
  </r>
  <r>
    <x v="116"/>
    <s v="Gibson, Green and Lopez"/>
    <s v="Beauty"/>
    <n v="4"/>
    <n v="537.15"/>
    <n v="0.06"/>
    <n v="2019.684"/>
    <x v="1"/>
  </r>
  <r>
    <x v="400"/>
    <s v="Lopez LLC"/>
    <s v="Sports"/>
    <n v="1"/>
    <n v="299.13"/>
    <n v="0.1"/>
    <n v="269.21699999999998"/>
    <x v="1"/>
  </r>
  <r>
    <x v="375"/>
    <s v="Lopez LLC"/>
    <s v="Sports"/>
    <n v="2"/>
    <n v="780.57"/>
    <n v="0.26"/>
    <n v="1155.2436"/>
    <x v="0"/>
  </r>
  <r>
    <x v="377"/>
    <s v="Murray, Gould and Ware"/>
    <s v="Electronics"/>
    <n v="3"/>
    <n v="198.76"/>
    <n v="0.28000000000000003"/>
    <n v="429.32159999999999"/>
    <x v="1"/>
  </r>
  <r>
    <x v="401"/>
    <s v="Anderson-Riley"/>
    <s v="Beauty"/>
    <n v="1"/>
    <n v="664.71"/>
    <n v="0.1"/>
    <n v="598.23900000000003"/>
    <x v="2"/>
  </r>
  <r>
    <x v="198"/>
    <s v="Anderson-Riley"/>
    <s v="Beauty"/>
    <n v="3"/>
    <n v="841.37"/>
    <n v="0.28999999999999998"/>
    <n v="1792.1180999999999"/>
    <x v="2"/>
  </r>
  <r>
    <x v="402"/>
    <s v="Zhang Inc"/>
    <s v="Beauty"/>
    <n v="1"/>
    <n v="453.41"/>
    <n v="0.04"/>
    <n v="435.27359999999999"/>
    <x v="1"/>
  </r>
  <r>
    <x v="403"/>
    <s v="Montgomery, Benton and Miller"/>
    <s v="Sports"/>
    <n v="3"/>
    <n v="578.47"/>
    <n v="0.06"/>
    <n v="1631.2854"/>
    <x v="1"/>
  </r>
  <r>
    <x v="104"/>
    <s v="Torres, Spencer and Potter"/>
    <s v="Beauty"/>
    <n v="4"/>
    <n v="805.99"/>
    <n v="0.06"/>
    <n v="3030.5223999999998"/>
    <x v="0"/>
  </r>
  <r>
    <x v="93"/>
    <s v="Wolfe, Ross and Hester"/>
    <s v="Home"/>
    <n v="1"/>
    <n v="414.97"/>
    <n v="0.22"/>
    <n v="323.67660000000001"/>
    <x v="2"/>
  </r>
  <r>
    <x v="304"/>
    <s v="Fitzpatrick Ltd"/>
    <s v="Clothing"/>
    <n v="1"/>
    <n v="696.13"/>
    <n v="0.06"/>
    <n v="654.36219999999992"/>
    <x v="1"/>
  </r>
  <r>
    <x v="25"/>
    <s v="Fitzpatrick Ltd"/>
    <s v="Clothing"/>
    <n v="3"/>
    <n v="847.21"/>
    <n v="0.06"/>
    <n v="2389.1322"/>
    <x v="2"/>
  </r>
  <r>
    <x v="300"/>
    <s v="Harrell LLC"/>
    <s v="Home"/>
    <n v="2"/>
    <n v="362.7"/>
    <n v="0.09"/>
    <n v="660.11400000000003"/>
    <x v="0"/>
  </r>
  <r>
    <x v="173"/>
    <s v="Duran Group"/>
    <s v="Home"/>
    <n v="4"/>
    <n v="579.24"/>
    <n v="0.04"/>
    <n v="2224.2815999999998"/>
    <x v="1"/>
  </r>
  <r>
    <x v="340"/>
    <s v="Duran Group"/>
    <s v="Home"/>
    <n v="1"/>
    <n v="505.83"/>
    <n v="0.14000000000000001"/>
    <n v="435.0138"/>
    <x v="1"/>
  </r>
  <r>
    <x v="404"/>
    <s v="Hopkins Ltd"/>
    <s v="Beauty"/>
    <n v="3"/>
    <n v="575.24"/>
    <n v="0.12"/>
    <n v="1518.6335999999999"/>
    <x v="1"/>
  </r>
  <r>
    <x v="191"/>
    <s v="Poole PLC"/>
    <s v="Clothing"/>
    <n v="1"/>
    <n v="745.15"/>
    <n v="0.25"/>
    <n v="558.86249999999995"/>
    <x v="1"/>
  </r>
  <r>
    <x v="352"/>
    <s v="Larson Ltd"/>
    <s v="Electronics"/>
    <n v="2"/>
    <n v="675.61"/>
    <n v="0.08"/>
    <n v="1243.1224"/>
    <x v="1"/>
  </r>
  <r>
    <x v="221"/>
    <s v="Larson Ltd"/>
    <s v="Electronics"/>
    <n v="3"/>
    <n v="761.8"/>
    <n v="0.06"/>
    <n v="2148.2759999999989"/>
    <x v="1"/>
  </r>
  <r>
    <x v="207"/>
    <s v="Larson Ltd"/>
    <s v="Electronics"/>
    <n v="1"/>
    <n v="539.9"/>
    <n v="7.0000000000000007E-2"/>
    <n v="502.10700000000003"/>
    <x v="0"/>
  </r>
  <r>
    <x v="391"/>
    <s v="Hernandez Inc"/>
    <s v="Home"/>
    <n v="1"/>
    <n v="418.69"/>
    <n v="0.06"/>
    <n v="393.5686"/>
    <x v="2"/>
  </r>
  <r>
    <x v="358"/>
    <s v="Hernandez Inc"/>
    <s v="Home"/>
    <n v="3"/>
    <n v="392.84"/>
    <n v="0.27"/>
    <n v="860.31959999999992"/>
    <x v="2"/>
  </r>
  <r>
    <x v="371"/>
    <s v="Ramirez-Hanson"/>
    <s v="Home"/>
    <n v="1"/>
    <n v="650.47"/>
    <n v="0.13"/>
    <n v="565.90890000000002"/>
    <x v="2"/>
  </r>
  <r>
    <x v="69"/>
    <s v="Perez-Johnston"/>
    <s v="Electronics"/>
    <n v="3"/>
    <n v="581.09"/>
    <n v="0.1"/>
    <n v="1568.943"/>
    <x v="1"/>
  </r>
  <r>
    <x v="399"/>
    <s v="Perez-Johnston"/>
    <s v="Electronics"/>
    <n v="1"/>
    <n v="394.35"/>
    <n v="0.09"/>
    <n v="358.85849999999999"/>
    <x v="2"/>
  </r>
  <r>
    <x v="405"/>
    <s v="Allison Ltd"/>
    <s v="Home"/>
    <n v="3"/>
    <n v="483.63"/>
    <n v="0"/>
    <n v="1450.89"/>
    <x v="0"/>
  </r>
  <r>
    <x v="33"/>
    <s v="Reese-Watson"/>
    <s v="Sports"/>
    <n v="1"/>
    <n v="756.63"/>
    <n v="0.04"/>
    <n v="726.36479999999995"/>
    <x v="2"/>
  </r>
  <r>
    <x v="228"/>
    <s v="Collins-Stephenson"/>
    <s v="Home"/>
    <n v="3"/>
    <n v="366.08"/>
    <n v="0.05"/>
    <n v="1043.328"/>
    <x v="0"/>
  </r>
  <r>
    <x v="186"/>
    <s v="Richardson-Carrillo"/>
    <s v="Clothing"/>
    <n v="3"/>
    <n v="615.30999999999995"/>
    <n v="0.14000000000000001"/>
    <n v="1587.4998000000001"/>
    <x v="2"/>
  </r>
  <r>
    <x v="338"/>
    <s v="Richardson-Carrillo"/>
    <s v="Clothing"/>
    <n v="3"/>
    <n v="416.44"/>
    <n v="0.27"/>
    <n v="912.00359999999989"/>
    <x v="0"/>
  </r>
  <r>
    <x v="210"/>
    <s v="Taylor, Dodson and Johnston"/>
    <s v="Home"/>
    <n v="2"/>
    <n v="215.59"/>
    <n v="0.18"/>
    <n v="353.56760000000003"/>
    <x v="0"/>
  </r>
  <r>
    <x v="45"/>
    <s v="Taylor, Dodson and Johnston"/>
    <s v="Home"/>
    <n v="3"/>
    <n v="738.47"/>
    <n v="0.28000000000000003"/>
    <n v="1595.0952"/>
    <x v="0"/>
  </r>
  <r>
    <x v="5"/>
    <s v="Taylor, Dodson and Johnston"/>
    <s v="Home"/>
    <n v="4"/>
    <n v="164.93"/>
    <n v="0.11"/>
    <n v="587.1508"/>
    <x v="0"/>
  </r>
  <r>
    <x v="406"/>
    <s v="Olsen-Daniels"/>
    <s v="Sports"/>
    <n v="3"/>
    <n v="649.95000000000005"/>
    <n v="0.28000000000000003"/>
    <n v="1403.8920000000001"/>
    <x v="1"/>
  </r>
  <r>
    <x v="371"/>
    <s v="Taylor-Elliott"/>
    <s v="Beauty"/>
    <n v="2"/>
    <n v="122.23"/>
    <n v="0.21"/>
    <n v="193.1234"/>
    <x v="1"/>
  </r>
  <r>
    <x v="89"/>
    <s v="Taylor-Elliott"/>
    <s v="Beauty"/>
    <n v="2"/>
    <n v="635.22"/>
    <n v="0.3"/>
    <n v="889.30799999999999"/>
    <x v="1"/>
  </r>
  <r>
    <x v="172"/>
    <s v="Hill PLC"/>
    <s v="Sports"/>
    <n v="2"/>
    <n v="409.14"/>
    <n v="0.01"/>
    <n v="810.09719999999993"/>
    <x v="2"/>
  </r>
  <r>
    <x v="152"/>
    <s v="Hill PLC"/>
    <s v="Sports"/>
    <n v="4"/>
    <n v="583.21"/>
    <n v="0.2"/>
    <n v="1866.2719999999999"/>
    <x v="0"/>
  </r>
  <r>
    <x v="40"/>
    <s v="Sharp, Taylor and Rodriguez"/>
    <s v="Electronics"/>
    <n v="1"/>
    <n v="269.25"/>
    <n v="0.14000000000000001"/>
    <n v="231.55500000000001"/>
    <x v="2"/>
  </r>
  <r>
    <x v="71"/>
    <s v="Smith-Charles"/>
    <s v="Clothing"/>
    <n v="4"/>
    <n v="969.55"/>
    <n v="0.09"/>
    <n v="3529.1619999999998"/>
    <x v="1"/>
  </r>
  <r>
    <x v="9"/>
    <s v="Smith-Charles"/>
    <s v="Clothing"/>
    <n v="1"/>
    <n v="499.59"/>
    <n v="0.03"/>
    <n v="484.60230000000001"/>
    <x v="1"/>
  </r>
  <r>
    <x v="6"/>
    <s v="Green, Powell and Palmer"/>
    <s v="Home"/>
    <n v="1"/>
    <n v="553.38"/>
    <n v="0.21"/>
    <n v="437.17020000000002"/>
    <x v="2"/>
  </r>
  <r>
    <x v="23"/>
    <s v="Martin LLC"/>
    <s v="Electronics"/>
    <n v="1"/>
    <n v="468.94"/>
    <n v="0.12"/>
    <n v="412.66719999999998"/>
    <x v="0"/>
  </r>
  <r>
    <x v="134"/>
    <s v="Hoffman-Williams"/>
    <s v="Beauty"/>
    <n v="3"/>
    <n v="517.98"/>
    <n v="0.01"/>
    <n v="1538.4005999999999"/>
    <x v="2"/>
  </r>
  <r>
    <x v="117"/>
    <s v="Phillips and Sons"/>
    <s v="Clothing"/>
    <n v="1"/>
    <n v="893.14"/>
    <n v="0.09"/>
    <n v="812.75739999999996"/>
    <x v="0"/>
  </r>
  <r>
    <x v="407"/>
    <s v="Phillips and Sons"/>
    <s v="Clothing"/>
    <n v="1"/>
    <n v="835.17"/>
    <n v="0.02"/>
    <n v="818.46659999999997"/>
    <x v="1"/>
  </r>
  <r>
    <x v="297"/>
    <s v="Campbell Ltd"/>
    <s v="Home"/>
    <n v="4"/>
    <n v="820.78"/>
    <n v="0.25"/>
    <n v="2462.34"/>
    <x v="0"/>
  </r>
  <r>
    <x v="137"/>
    <s v="Hunt Inc"/>
    <s v="Electronics"/>
    <n v="2"/>
    <n v="310.33"/>
    <n v="0.26"/>
    <n v="459.28840000000002"/>
    <x v="0"/>
  </r>
  <r>
    <x v="342"/>
    <s v="Hunt Inc"/>
    <s v="Electronics"/>
    <n v="1"/>
    <n v="522.69000000000005"/>
    <n v="0.06"/>
    <n v="491.32860000000011"/>
    <x v="1"/>
  </r>
  <r>
    <x v="12"/>
    <s v="Hunt Inc"/>
    <s v="Electronics"/>
    <n v="3"/>
    <n v="241.64"/>
    <n v="0.28999999999999998"/>
    <n v="514.69319999999993"/>
    <x v="2"/>
  </r>
  <r>
    <x v="408"/>
    <s v="Hamilton Group"/>
    <s v="Home"/>
    <n v="3"/>
    <n v="707.95"/>
    <n v="0.18"/>
    <n v="1741.557"/>
    <x v="2"/>
  </r>
  <r>
    <x v="37"/>
    <s v="Hamilton Group"/>
    <s v="Home"/>
    <n v="3"/>
    <n v="121.76"/>
    <n v="0.27"/>
    <n v="266.65440000000001"/>
    <x v="2"/>
  </r>
  <r>
    <x v="235"/>
    <s v="Gibson, Hobbs and Weaver"/>
    <s v="Electronics"/>
    <n v="4"/>
    <n v="838.7"/>
    <n v="0.21"/>
    <n v="2650.2919999999999"/>
    <x v="1"/>
  </r>
  <r>
    <x v="361"/>
    <s v="Gibson, Hobbs and Weaver"/>
    <s v="Electronics"/>
    <n v="2"/>
    <n v="813.01"/>
    <n v="0.06"/>
    <n v="1528.4588000000001"/>
    <x v="2"/>
  </r>
  <r>
    <x v="100"/>
    <s v="Luna, Anderson and Bowman"/>
    <s v="Home"/>
    <n v="4"/>
    <n v="839.74"/>
    <n v="0.13"/>
    <n v="2922.2952"/>
    <x v="2"/>
  </r>
  <r>
    <x v="374"/>
    <s v="Erickson-Green"/>
    <s v="Beauty"/>
    <n v="3"/>
    <n v="484.39"/>
    <n v="0.28999999999999998"/>
    <n v="1031.7507000000001"/>
    <x v="1"/>
  </r>
  <r>
    <x v="273"/>
    <s v="Ford, Murphy and Wilson"/>
    <s v="Sports"/>
    <n v="1"/>
    <n v="391.77"/>
    <n v="0.1"/>
    <n v="352.59300000000002"/>
    <x v="2"/>
  </r>
  <r>
    <x v="13"/>
    <s v="Sims Inc"/>
    <s v="Clothing"/>
    <n v="4"/>
    <n v="127.58"/>
    <n v="0.15"/>
    <n v="433.77199999999999"/>
    <x v="0"/>
  </r>
  <r>
    <x v="281"/>
    <s v="Moon, Mora and Santos"/>
    <s v="Clothing"/>
    <n v="3"/>
    <n v="644.73"/>
    <n v="0.01"/>
    <n v="1914.8480999999999"/>
    <x v="1"/>
  </r>
  <r>
    <x v="137"/>
    <s v="Moon, Mora and Santos"/>
    <s v="Clothing"/>
    <n v="3"/>
    <n v="373.35"/>
    <n v="0.2"/>
    <n v="896.04000000000019"/>
    <x v="1"/>
  </r>
  <r>
    <x v="409"/>
    <s v="Brown and Sons"/>
    <s v="Clothing"/>
    <n v="3"/>
    <n v="852.72"/>
    <n v="0.16"/>
    <n v="2148.8544000000002"/>
    <x v="0"/>
  </r>
  <r>
    <x v="410"/>
    <s v="Brown and Sons"/>
    <s v="Clothing"/>
    <n v="3"/>
    <n v="849.77"/>
    <n v="0.12"/>
    <n v="2243.3928000000001"/>
    <x v="2"/>
  </r>
  <r>
    <x v="10"/>
    <s v="Reed-Schmidt"/>
    <s v="Electronics"/>
    <n v="3"/>
    <n v="543.92999999999995"/>
    <n v="0.3"/>
    <n v="1142.2529999999999"/>
    <x v="1"/>
  </r>
  <r>
    <x v="251"/>
    <s v="Reed-Schmidt"/>
    <s v="Electronics"/>
    <n v="2"/>
    <n v="519.29999999999995"/>
    <n v="0.09"/>
    <n v="945.12599999999998"/>
    <x v="2"/>
  </r>
  <r>
    <x v="120"/>
    <s v="Burns-Hansen"/>
    <s v="Sports"/>
    <n v="4"/>
    <n v="377.18"/>
    <n v="0.24"/>
    <n v="1146.6271999999999"/>
    <x v="2"/>
  </r>
  <r>
    <x v="2"/>
    <s v="Burns-Hansen"/>
    <s v="Sports"/>
    <n v="2"/>
    <n v="289.14"/>
    <n v="0.12"/>
    <n v="508.88639999999998"/>
    <x v="1"/>
  </r>
  <r>
    <x v="312"/>
    <s v="Burns-Hansen"/>
    <s v="Sports"/>
    <n v="4"/>
    <n v="320.64"/>
    <n v="0.2"/>
    <n v="1026.048"/>
    <x v="1"/>
  </r>
  <r>
    <x v="226"/>
    <s v="Stevens, Fernandez and Martin"/>
    <s v="Home"/>
    <n v="1"/>
    <n v="350.67"/>
    <n v="0.22"/>
    <n v="273.52260000000001"/>
    <x v="2"/>
  </r>
  <r>
    <x v="411"/>
    <s v="Nolan-Snow"/>
    <s v="Sports"/>
    <n v="1"/>
    <n v="659.27"/>
    <n v="0.15"/>
    <n v="560.37950000000001"/>
    <x v="2"/>
  </r>
  <r>
    <x v="329"/>
    <s v="Nolan-Snow"/>
    <s v="Sports"/>
    <n v="2"/>
    <n v="872.93"/>
    <n v="0.28999999999999998"/>
    <n v="1239.5606"/>
    <x v="1"/>
  </r>
  <r>
    <x v="14"/>
    <s v="Griffin Ltd"/>
    <s v="Beauty"/>
    <n v="3"/>
    <n v="182.91"/>
    <n v="0.28999999999999998"/>
    <n v="389.59829999999999"/>
    <x v="0"/>
  </r>
  <r>
    <x v="17"/>
    <s v="Weiss-Watson"/>
    <s v="Home"/>
    <n v="3"/>
    <n v="623.82000000000005"/>
    <n v="0.13"/>
    <n v="1628.1702"/>
    <x v="1"/>
  </r>
  <r>
    <x v="297"/>
    <s v="Weiss-Watson"/>
    <s v="Home"/>
    <n v="2.1607009492020444"/>
    <n v="863.11"/>
    <n v="0.28000000000000003"/>
    <n v="1864.3176000000001"/>
    <x v="2"/>
  </r>
  <r>
    <x v="21"/>
    <s v="Weiss-Watson"/>
    <s v="Home"/>
    <n v="3"/>
    <n v="858.81"/>
    <n v="7.0000000000000007E-2"/>
    <n v="2396.0799000000002"/>
    <x v="0"/>
  </r>
  <r>
    <x v="412"/>
    <s v="Lucero LLC"/>
    <s v="Electronics"/>
    <n v="4"/>
    <n v="931.26"/>
    <n v="0.04"/>
    <n v="3576.0383999999999"/>
    <x v="0"/>
  </r>
  <r>
    <x v="383"/>
    <s v="Lucero LLC"/>
    <s v="Electronics"/>
    <n v="3"/>
    <n v="336.17"/>
    <n v="0.04"/>
    <n v="968.16959999999995"/>
    <x v="1"/>
  </r>
  <r>
    <x v="372"/>
    <s v="Jones LLC"/>
    <s v="Home"/>
    <n v="1"/>
    <n v="222.94"/>
    <n v="0.19"/>
    <n v="180.5814"/>
    <x v="0"/>
  </r>
  <r>
    <x v="30"/>
    <s v="Smith-Mills"/>
    <s v="Clothing"/>
    <n v="2"/>
    <n v="637.55999999999995"/>
    <n v="0.05"/>
    <n v="1211.364"/>
    <x v="1"/>
  </r>
  <r>
    <x v="369"/>
    <s v="Sims-Smith"/>
    <s v="Sports"/>
    <n v="3"/>
    <n v="453.19"/>
    <n v="0.08"/>
    <n v="1250.8044"/>
    <x v="1"/>
  </r>
  <r>
    <x v="392"/>
    <s v="Sims-Smith"/>
    <s v="Sports"/>
    <n v="2"/>
    <n v="839.24"/>
    <n v="0.21"/>
    <n v="1325.9992"/>
    <x v="2"/>
  </r>
  <r>
    <x v="350"/>
    <s v="Sims-Smith"/>
    <s v="Sports"/>
    <n v="4"/>
    <n v="347.82"/>
    <n v="0.02"/>
    <n v="1363.4544000000001"/>
    <x v="1"/>
  </r>
  <r>
    <x v="390"/>
    <s v="Cummings and Sons"/>
    <s v="Electronics"/>
    <n v="1"/>
    <n v="623.88"/>
    <n v="0.25"/>
    <n v="467.91"/>
    <x v="0"/>
  </r>
  <r>
    <x v="102"/>
    <s v="Gonzales-Davis"/>
    <s v="Clothing"/>
    <n v="2"/>
    <n v="892.88"/>
    <n v="0.17"/>
    <n v="1482.1808000000001"/>
    <x v="2"/>
  </r>
  <r>
    <x v="57"/>
    <s v="Gonzales-Davis"/>
    <s v="Clothing"/>
    <n v="1"/>
    <n v="227.28"/>
    <n v="0.13"/>
    <n v="197.7336"/>
    <x v="1"/>
  </r>
  <r>
    <x v="316"/>
    <s v="Taylor-Hart"/>
    <s v="Electronics"/>
    <n v="3"/>
    <n v="551.22"/>
    <n v="0.12"/>
    <n v="1455.2208000000001"/>
    <x v="2"/>
  </r>
  <r>
    <x v="105"/>
    <s v="Taylor-Hart"/>
    <s v="Electronics"/>
    <n v="4"/>
    <n v="502.95"/>
    <n v="0.14000000000000001"/>
    <n v="1730.1479999999999"/>
    <x v="1"/>
  </r>
  <r>
    <x v="325"/>
    <s v="Carroll, Long and Mendoza"/>
    <s v="Sports"/>
    <n v="1"/>
    <n v="640.54999999999995"/>
    <n v="0.25"/>
    <n v="480.41250000000002"/>
    <x v="0"/>
  </r>
  <r>
    <x v="207"/>
    <s v="Carroll, Long and Mendoza"/>
    <s v="Sports"/>
    <n v="4"/>
    <n v="982.45"/>
    <n v="0.2"/>
    <n v="3143.84"/>
    <x v="2"/>
  </r>
  <r>
    <x v="413"/>
    <s v="Holmes LLC"/>
    <s v="Electronics"/>
    <n v="1"/>
    <n v="361.09"/>
    <n v="0.06"/>
    <n v="339.42459999999988"/>
    <x v="2"/>
  </r>
  <r>
    <x v="276"/>
    <s v="Cox Inc"/>
    <s v="Sports"/>
    <n v="1"/>
    <n v="517.13"/>
    <n v="0.28000000000000003"/>
    <n v="372.33359999999999"/>
    <x v="0"/>
  </r>
  <r>
    <x v="375"/>
    <s v="Bridges, Banks and Cummings"/>
    <s v="Sports"/>
    <n v="3"/>
    <n v="144.66999999999999"/>
    <n v="0.28999999999999998"/>
    <n v="308.14710000000002"/>
    <x v="1"/>
  </r>
  <r>
    <x v="414"/>
    <s v="Kelly, Smith and Perez"/>
    <s v="Clothing"/>
    <n v="4"/>
    <n v="569.36"/>
    <n v="0.27"/>
    <n v="1662.5311999999999"/>
    <x v="2"/>
  </r>
  <r>
    <x v="389"/>
    <s v="Kelly, Smith and Perez"/>
    <s v="Clothing"/>
    <n v="1"/>
    <n v="773.57"/>
    <n v="0.05"/>
    <n v="773.5200000000001"/>
    <x v="1"/>
  </r>
  <r>
    <x v="375"/>
    <s v="Kelly, Smith and Perez"/>
    <s v="Clothing"/>
    <n v="1"/>
    <n v="708.88"/>
    <n v="0.09"/>
    <n v="645.08080000000007"/>
    <x v="0"/>
  </r>
  <r>
    <x v="402"/>
    <s v="Cook Inc"/>
    <s v="Beauty"/>
    <n v="2"/>
    <n v="274.08999999999997"/>
    <n v="0.13"/>
    <n v="476.91660000000002"/>
    <x v="2"/>
  </r>
  <r>
    <x v="184"/>
    <s v="Byrd, Stewart and Valdez"/>
    <s v="Electronics"/>
    <n v="2"/>
    <n v="204.89"/>
    <n v="0.24"/>
    <n v="311.43279999999999"/>
    <x v="0"/>
  </r>
  <r>
    <x v="196"/>
    <s v="Sullivan and Sons"/>
    <s v="Beauty"/>
    <n v="2"/>
    <n v="869.43"/>
    <n v="0.24"/>
    <n v="1321.5336"/>
    <x v="1"/>
  </r>
  <r>
    <x v="132"/>
    <s v="Sullivan and Sons"/>
    <s v="Beauty"/>
    <n v="1"/>
    <n v="540.1"/>
    <n v="0.22"/>
    <n v="421.27800000000002"/>
    <x v="0"/>
  </r>
  <r>
    <x v="415"/>
    <s v="Smith-King"/>
    <s v="Sports"/>
    <n v="1"/>
    <n v="498.61"/>
    <n v="0.04"/>
    <n v="478.66559999999998"/>
    <x v="2"/>
  </r>
  <r>
    <x v="74"/>
    <s v="Thompson-French"/>
    <s v="Sports"/>
    <n v="2"/>
    <n v="700.91"/>
    <n v="0.1"/>
    <n v="1261.6379999999999"/>
    <x v="2"/>
  </r>
  <r>
    <x v="193"/>
    <s v="Thompson-French"/>
    <s v="Sports"/>
    <n v="3"/>
    <n v="683.74"/>
    <n v="0.24"/>
    <n v="1558.9272000000001"/>
    <x v="0"/>
  </r>
  <r>
    <x v="39"/>
    <s v="Hernandez, Kennedy and Porter"/>
    <s v="Home"/>
    <n v="2"/>
    <n v="981.35"/>
    <n v="0.16"/>
    <n v="1648.6679999999999"/>
    <x v="2"/>
  </r>
  <r>
    <x v="416"/>
    <s v="Atkinson, Camacho and Oliver"/>
    <s v="Sports"/>
    <n v="2"/>
    <n v="218.11"/>
    <n v="0.02"/>
    <n v="427.49560000000002"/>
    <x v="1"/>
  </r>
  <r>
    <x v="173"/>
    <s v="Shepherd-Gould"/>
    <s v="Clothing"/>
    <n v="4"/>
    <n v="377.26"/>
    <n v="0.22"/>
    <n v="1177.0512000000001"/>
    <x v="1"/>
  </r>
  <r>
    <x v="324"/>
    <s v="Shepherd-Gould"/>
    <s v="Clothing"/>
    <n v="3"/>
    <n v="622.98"/>
    <n v="0.28000000000000003"/>
    <n v="1345.6368"/>
    <x v="2"/>
  </r>
  <r>
    <x v="234"/>
    <s v="Shepherd-Gould"/>
    <s v="Clothing"/>
    <n v="1"/>
    <n v="803.37"/>
    <n v="0.3"/>
    <n v="562.35899999999992"/>
    <x v="2"/>
  </r>
  <r>
    <x v="346"/>
    <s v="Cline-Mccarthy"/>
    <s v="Beauty"/>
    <n v="2"/>
    <n v="102.85"/>
    <n v="0.08"/>
    <n v="189.244"/>
    <x v="2"/>
  </r>
  <r>
    <x v="278"/>
    <s v="Davidson PLC"/>
    <s v="Beauty"/>
    <n v="1"/>
    <n v="631"/>
    <n v="0.04"/>
    <n v="605.76"/>
    <x v="0"/>
  </r>
  <r>
    <x v="417"/>
    <s v="Gibson, Green and Lopez"/>
    <s v="Beauty"/>
    <n v="1"/>
    <n v="889.19"/>
    <n v="0.03"/>
    <n v="862.51430000000005"/>
    <x v="0"/>
  </r>
  <r>
    <x v="163"/>
    <s v="Lopez LLC"/>
    <s v="Sports"/>
    <n v="2"/>
    <n v="352.63"/>
    <n v="0.15"/>
    <n v="599.471"/>
    <x v="2"/>
  </r>
  <r>
    <x v="19"/>
    <s v="Anderson-Riley"/>
    <s v="Beauty"/>
    <n v="4"/>
    <n v="194.67"/>
    <n v="0.23"/>
    <n v="599.58359999999993"/>
    <x v="2"/>
  </r>
  <r>
    <x v="396"/>
    <s v="Montgomery, Benton and Miller"/>
    <s v="Sports"/>
    <n v="3"/>
    <n v="681.58"/>
    <n v="0.23"/>
    <n v="1574.4498000000001"/>
    <x v="0"/>
  </r>
  <r>
    <x v="130"/>
    <s v="Torres, Spencer and Potter"/>
    <s v="Beauty"/>
    <n v="1"/>
    <n v="440.19"/>
    <n v="0.03"/>
    <n v="426.98430000000002"/>
    <x v="2"/>
  </r>
  <r>
    <x v="418"/>
    <s v="Flores-Davis"/>
    <s v="Electronics"/>
    <n v="1"/>
    <n v="762.55"/>
    <n v="0.19"/>
    <n v="617.66549999999995"/>
    <x v="0"/>
  </r>
  <r>
    <x v="257"/>
    <s v="Wolfe, Ross and Hester"/>
    <s v="Home"/>
    <n v="4"/>
    <n v="255.67"/>
    <n v="0.17"/>
    <n v="848.82439999999997"/>
    <x v="0"/>
  </r>
  <r>
    <x v="307"/>
    <s v="Fitzpatrick Ltd"/>
    <s v="Clothing"/>
    <n v="4"/>
    <n v="477.52"/>
    <n v="7.0000000000000007E-2"/>
    <n v="1776.3743999999999"/>
    <x v="2"/>
  </r>
  <r>
    <x v="419"/>
    <s v="Harrell LLC"/>
    <s v="Home"/>
    <n v="4"/>
    <n v="929.26"/>
    <n v="0.23"/>
    <n v="2862.1208000000001"/>
    <x v="2"/>
  </r>
  <r>
    <x v="351"/>
    <s v="Harrell LLC"/>
    <s v="Home"/>
    <n v="4"/>
    <n v="716.39"/>
    <n v="0.03"/>
    <n v="2779.5931999999998"/>
    <x v="2"/>
  </r>
  <r>
    <x v="420"/>
    <s v="Duran Group"/>
    <s v="Home"/>
    <n v="3"/>
    <n v="190.04"/>
    <n v="7.0000000000000007E-2"/>
    <n v="530.21159999999998"/>
    <x v="2"/>
  </r>
  <r>
    <x v="421"/>
    <s v="Hopkins Ltd"/>
    <s v="Beauty"/>
    <n v="1"/>
    <n v="613.17999999999995"/>
    <n v="0.14000000000000001"/>
    <n v="527.33479999999997"/>
    <x v="1"/>
  </r>
  <r>
    <x v="209"/>
    <s v="Davis PLC"/>
    <s v="Sports"/>
    <n v="3"/>
    <n v="986.04"/>
    <n v="0.27"/>
    <n v="2159.4276"/>
    <x v="1"/>
  </r>
  <r>
    <x v="196"/>
    <s v="Davis PLC"/>
    <s v="Sports"/>
    <n v="1"/>
    <n v="389.12"/>
    <n v="0.18"/>
    <n v="319.07839999999999"/>
    <x v="2"/>
  </r>
  <r>
    <x v="118"/>
    <s v="Davis PLC"/>
    <s v="Sports"/>
    <n v="2"/>
    <n v="736.75"/>
    <n v="0.18"/>
    <n v="1208.27"/>
    <x v="0"/>
  </r>
  <r>
    <x v="284"/>
    <s v="Bruce-Bowen"/>
    <s v="Electronics"/>
    <n v="4"/>
    <n v="529.04"/>
    <n v="0.1"/>
    <n v="1904.5440000000001"/>
    <x v="2"/>
  </r>
  <r>
    <x v="118"/>
    <s v="Bruce-Bowen"/>
    <s v="Electronics"/>
    <n v="3"/>
    <n v="104.47"/>
    <n v="0.27"/>
    <n v="228.7893"/>
    <x v="2"/>
  </r>
  <r>
    <x v="422"/>
    <s v="Poole PLC"/>
    <s v="Clothing"/>
    <n v="3"/>
    <n v="202.07"/>
    <n v="0.23"/>
    <n v="466.78170000000011"/>
    <x v="2"/>
  </r>
  <r>
    <x v="423"/>
    <s v="Larson Ltd"/>
    <s v="Electronics"/>
    <n v="4"/>
    <n v="661.39"/>
    <n v="7.0000000000000007E-2"/>
    <n v="2460.3708000000001"/>
    <x v="0"/>
  </r>
  <r>
    <x v="346"/>
    <s v="Larson Ltd"/>
    <s v="Electronics"/>
    <n v="3"/>
    <n v="207.8"/>
    <n v="0.15"/>
    <n v="529.8900000000001"/>
    <x v="0"/>
  </r>
  <r>
    <x v="424"/>
    <s v="Larson Ltd"/>
    <s v="Electronics"/>
    <n v="2"/>
    <n v="877.21"/>
    <n v="0.1"/>
    <n v="1578.9780000000001"/>
    <x v="0"/>
  </r>
  <r>
    <x v="68"/>
    <s v="Larson Ltd"/>
    <s v="Electronics"/>
    <n v="3"/>
    <n v="915.81"/>
    <n v="0.17"/>
    <n v="2280.3669"/>
    <x v="1"/>
  </r>
  <r>
    <x v="23"/>
    <s v="White, Reeves and Woods"/>
    <s v="Electronics"/>
    <n v="1"/>
    <n v="748.75"/>
    <n v="0.1"/>
    <n v="673.875"/>
    <x v="1"/>
  </r>
  <r>
    <x v="422"/>
    <s v="Ramirez-Hanson"/>
    <s v="Home"/>
    <n v="2"/>
    <n v="418.23"/>
    <n v="0.28000000000000003"/>
    <n v="602.25120000000004"/>
    <x v="0"/>
  </r>
  <r>
    <x v="133"/>
    <s v="Perez-Johnston"/>
    <s v="Electronics"/>
    <n v="3"/>
    <n v="170.48"/>
    <n v="0.06"/>
    <n v="480.75359999999989"/>
    <x v="1"/>
  </r>
  <r>
    <x v="325"/>
    <s v="Allison Ltd"/>
    <s v="Home"/>
    <n v="1"/>
    <n v="846.04"/>
    <n v="0.08"/>
    <n v="778.35680000000002"/>
    <x v="2"/>
  </r>
  <r>
    <x v="1"/>
    <s v="Allison Ltd"/>
    <s v="Home"/>
    <n v="2"/>
    <n v="588.9"/>
    <n v="0.19"/>
    <n v="954.01800000000003"/>
    <x v="2"/>
  </r>
  <r>
    <x v="391"/>
    <s v="Allison Ltd"/>
    <s v="Home"/>
    <n v="4"/>
    <n v="408.76"/>
    <n v="0.12"/>
    <n v="1438.8352"/>
    <x v="1"/>
  </r>
  <r>
    <x v="30"/>
    <s v="Reese-Watson"/>
    <s v="Sports"/>
    <n v="4"/>
    <n v="461.52"/>
    <n v="0"/>
    <n v="1846.08"/>
    <x v="1"/>
  </r>
  <r>
    <x v="425"/>
    <s v="Reese-Watson"/>
    <s v="Sports"/>
    <n v="2"/>
    <n v="160.21"/>
    <n v="0.09"/>
    <n v="291.5822"/>
    <x v="0"/>
  </r>
  <r>
    <x v="406"/>
    <s v="Butler Group"/>
    <s v="Beauty"/>
    <n v="3"/>
    <n v="816.87"/>
    <n v="0.14000000000000001"/>
    <n v="2107.5246000000002"/>
    <x v="2"/>
  </r>
  <r>
    <x v="359"/>
    <s v="Butler Group"/>
    <s v="Beauty"/>
    <n v="3"/>
    <n v="63.36"/>
    <n v="0.28999999999999998"/>
    <n v="134.95679999999999"/>
    <x v="1"/>
  </r>
  <r>
    <x v="256"/>
    <s v="Collins-Stephenson"/>
    <s v="Home"/>
    <n v="4"/>
    <n v="604.87"/>
    <n v="0.28000000000000003"/>
    <n v="1742.0255999999999"/>
    <x v="2"/>
  </r>
  <r>
    <x v="152"/>
    <s v="Collins-Stephenson"/>
    <s v="Home"/>
    <n v="1"/>
    <n v="235.44"/>
    <n v="0.19"/>
    <n v="190.7064"/>
    <x v="1"/>
  </r>
  <r>
    <x v="168"/>
    <s v="Collins-Stephenson"/>
    <s v="Home"/>
    <n v="3"/>
    <n v="846.31"/>
    <n v="0.18"/>
    <n v="2081.9225999999999"/>
    <x v="1"/>
  </r>
  <r>
    <x v="273"/>
    <s v="Richardson-Carrillo"/>
    <s v="Clothing"/>
    <n v="4"/>
    <n v="626.35"/>
    <n v="0.25"/>
    <n v="1879.05"/>
    <x v="1"/>
  </r>
  <r>
    <x v="281"/>
    <s v="Taylor, Dodson and Johnston"/>
    <s v="Home"/>
    <n v="4"/>
    <n v="338.73"/>
    <n v="0.18"/>
    <n v="1111.0344"/>
    <x v="0"/>
  </r>
  <r>
    <x v="169"/>
    <s v="Taylor-Elliott"/>
    <s v="Beauty"/>
    <n v="2"/>
    <n v="433.07"/>
    <n v="0.25"/>
    <n v="649.60500000000002"/>
    <x v="1"/>
  </r>
  <r>
    <x v="177"/>
    <s v="Smith-Charles"/>
    <s v="Clothing"/>
    <n v="1"/>
    <n v="230.32"/>
    <n v="0.05"/>
    <n v="218.804"/>
    <x v="1"/>
  </r>
  <r>
    <x v="184"/>
    <s v="Smith-Charles"/>
    <s v="Clothing"/>
    <n v="2"/>
    <n v="601.33000000000004"/>
    <n v="0.16"/>
    <n v="1010.2344000000001"/>
    <x v="2"/>
  </r>
  <r>
    <x v="127"/>
    <s v="Green, Powell and Palmer"/>
    <s v="Home"/>
    <n v="3"/>
    <n v="259.74"/>
    <n v="0.24"/>
    <n v="592.20720000000006"/>
    <x v="0"/>
  </r>
  <r>
    <x v="241"/>
    <s v="Martin LLC"/>
    <s v="Electronics"/>
    <n v="4"/>
    <n v="825.78"/>
    <n v="0.02"/>
    <n v="3237.0576000000001"/>
    <x v="0"/>
  </r>
  <r>
    <x v="133"/>
    <s v="Hoffman-Williams"/>
    <s v="Beauty"/>
    <n v="4"/>
    <n v="212.96"/>
    <n v="0.17"/>
    <n v="707.02719999999999"/>
    <x v="0"/>
  </r>
  <r>
    <x v="180"/>
    <s v="Hoffman-Williams"/>
    <s v="Beauty"/>
    <n v="1"/>
    <n v="355.31"/>
    <n v="0.27"/>
    <n v="259.37630000000001"/>
    <x v="0"/>
  </r>
  <r>
    <x v="273"/>
    <s v="Wilson Group"/>
    <s v="Sports"/>
    <n v="1"/>
    <n v="219.81"/>
    <n v="0.22"/>
    <n v="171.45179999999999"/>
    <x v="1"/>
  </r>
  <r>
    <x v="191"/>
    <s v="Wilson Group"/>
    <s v="Sports"/>
    <n v="4"/>
    <n v="52.35"/>
    <n v="0.23"/>
    <n v="161.238"/>
    <x v="1"/>
  </r>
  <r>
    <x v="5"/>
    <s v="Phillips and Sons"/>
    <s v="Clothing"/>
    <n v="2"/>
    <n v="977.18"/>
    <n v="0.19"/>
    <n v="1583.0316"/>
    <x v="0"/>
  </r>
  <r>
    <x v="240"/>
    <s v="Campbell Ltd"/>
    <s v="Home"/>
    <n v="2"/>
    <n v="856.57"/>
    <n v="0.24"/>
    <n v="1301.9864"/>
    <x v="0"/>
  </r>
  <r>
    <x v="130"/>
    <s v="Campbell Ltd"/>
    <s v="Home"/>
    <n v="3"/>
    <n v="507.33"/>
    <n v="0.06"/>
    <n v="1430.6705999999999"/>
    <x v="2"/>
  </r>
  <r>
    <x v="244"/>
    <s v="Hamilton Group"/>
    <s v="Home"/>
    <n v="2"/>
    <n v="635.39"/>
    <n v="0.28999999999999998"/>
    <n v="902.25379999999996"/>
    <x v="1"/>
  </r>
  <r>
    <x v="79"/>
    <s v="Rice LLC"/>
    <s v="Beauty"/>
    <n v="3"/>
    <n v="877.71"/>
    <n v="0.12"/>
    <n v="2317.1543999999999"/>
    <x v="2"/>
  </r>
  <r>
    <x v="426"/>
    <s v="Rice LLC"/>
    <s v="Beauty"/>
    <n v="4"/>
    <n v="705.64"/>
    <n v="0.11"/>
    <n v="2512.0783999999999"/>
    <x v="2"/>
  </r>
  <r>
    <x v="427"/>
    <s v="Rice LLC"/>
    <s v="Beauty"/>
    <n v="4"/>
    <n v="700.98"/>
    <n v="0.12"/>
    <n v="2467.4495999999999"/>
    <x v="2"/>
  </r>
  <r>
    <x v="282"/>
    <s v="Rice LLC"/>
    <s v="Beauty"/>
    <n v="1"/>
    <n v="548.15"/>
    <n v="0.11"/>
    <n v="487.8535"/>
    <x v="0"/>
  </r>
  <r>
    <x v="74"/>
    <s v="Dawson-Perkins"/>
    <s v="Electronics"/>
    <n v="1"/>
    <n v="350.58"/>
    <n v="0.03"/>
    <n v="340.06259999999997"/>
    <x v="1"/>
  </r>
  <r>
    <x v="160"/>
    <s v="Dawson-Perkins"/>
    <s v="Electronics"/>
    <n v="4"/>
    <n v="266.98"/>
    <n v="0.16"/>
    <n v="897.05280000000005"/>
    <x v="0"/>
  </r>
  <r>
    <x v="373"/>
    <s v="Thomas LLC"/>
    <s v="Electronics"/>
    <n v="2"/>
    <n v="669.12"/>
    <n v="0.22"/>
    <n v="1043.8271999999999"/>
    <x v="0"/>
  </r>
  <r>
    <x v="184"/>
    <s v="Thomas LLC"/>
    <s v="Electronics"/>
    <n v="3"/>
    <n v="197.93"/>
    <n v="0"/>
    <n v="593.79"/>
    <x v="1"/>
  </r>
  <r>
    <x v="208"/>
    <s v="Erickson-Green"/>
    <s v="Beauty"/>
    <n v="3"/>
    <n v="434.55"/>
    <n v="0.08"/>
    <n v="1199.3579999999999"/>
    <x v="1"/>
  </r>
  <r>
    <x v="428"/>
    <s v="Ford, Murphy and Wilson"/>
    <s v="Sports"/>
    <n v="4"/>
    <n v="34.39"/>
    <n v="0.03"/>
    <n v="133.4332"/>
    <x v="2"/>
  </r>
  <r>
    <x v="236"/>
    <s v="Guerra-Hendrix"/>
    <s v="Clothing"/>
    <n v="1"/>
    <n v="235.28"/>
    <n v="0.05"/>
    <n v="223.51599999999999"/>
    <x v="2"/>
  </r>
  <r>
    <x v="404"/>
    <s v="May-Reese"/>
    <s v="Sports"/>
    <n v="4"/>
    <n v="573.37"/>
    <n v="0.04"/>
    <n v="2201.7408"/>
    <x v="1"/>
  </r>
  <r>
    <x v="346"/>
    <s v="May-Reese"/>
    <s v="Sports"/>
    <n v="3"/>
    <n v="551.72"/>
    <n v="0.03"/>
    <n v="1605.5052000000001"/>
    <x v="1"/>
  </r>
  <r>
    <x v="172"/>
    <s v="May-Reese"/>
    <s v="Sports"/>
    <n v="3"/>
    <n v="726.97"/>
    <n v="0.04"/>
    <n v="2093.6736000000001"/>
    <x v="2"/>
  </r>
  <r>
    <x v="109"/>
    <s v="Soto-Ellis"/>
    <s v="Sports"/>
    <n v="1"/>
    <n v="27.83"/>
    <n v="0.3"/>
    <n v="19.481000000000002"/>
    <x v="2"/>
  </r>
  <r>
    <x v="414"/>
    <s v="Soto-Ellis"/>
    <s v="Sports"/>
    <n v="3"/>
    <n v="94.83"/>
    <n v="0.16"/>
    <n v="238.9716"/>
    <x v="1"/>
  </r>
  <r>
    <x v="36"/>
    <s v="Soto-Ellis"/>
    <s v="Sports"/>
    <n v="4"/>
    <n v="558.83000000000004"/>
    <n v="0.16"/>
    <n v="1877.6687999999999"/>
    <x v="2"/>
  </r>
  <r>
    <x v="228"/>
    <s v="Flores, Pineda and Rodriguez"/>
    <s v="Sports"/>
    <n v="2"/>
    <n v="761.71"/>
    <n v="0.02"/>
    <n v="1492.9516000000001"/>
    <x v="2"/>
  </r>
  <r>
    <x v="279"/>
    <s v="Flores, Pineda and Rodriguez"/>
    <s v="Sports"/>
    <n v="1"/>
    <n v="678.2"/>
    <n v="0.14000000000000001"/>
    <n v="583.25200000000007"/>
    <x v="0"/>
  </r>
  <r>
    <x v="138"/>
    <s v="Moon, Mora and Santos"/>
    <s v="Clothing"/>
    <n v="1"/>
    <n v="616.82000000000005"/>
    <n v="0.24"/>
    <n v="468.78320000000002"/>
    <x v="0"/>
  </r>
  <r>
    <x v="215"/>
    <s v="Cook Ltd"/>
    <s v="Sports"/>
    <n v="4"/>
    <n v="641.45000000000005"/>
    <n v="0.16"/>
    <n v="2155.2719999999999"/>
    <x v="1"/>
  </r>
  <r>
    <x v="429"/>
    <s v="Cook Ltd"/>
    <s v="Sports"/>
    <n v="4"/>
    <n v="757.9"/>
    <n v="0.22"/>
    <n v="2364.6480000000001"/>
    <x v="2"/>
  </r>
  <r>
    <x v="122"/>
    <s v="Brown and Sons"/>
    <s v="Clothing"/>
    <n v="1"/>
    <n v="401.18"/>
    <n v="0.15"/>
    <n v="341.00299999999999"/>
    <x v="1"/>
  </r>
  <r>
    <x v="177"/>
    <s v="Brown and Sons"/>
    <s v="Clothing"/>
    <n v="3"/>
    <n v="336.1"/>
    <n v="0.12"/>
    <n v="887.30400000000009"/>
    <x v="1"/>
  </r>
  <r>
    <x v="41"/>
    <s v="Reed-Schmidt"/>
    <s v="Electronics"/>
    <n v="1"/>
    <n v="179.77"/>
    <n v="0.23"/>
    <n v="138.4229"/>
    <x v="1"/>
  </r>
  <r>
    <x v="208"/>
    <s v="Burns-Hansen"/>
    <s v="Sports"/>
    <n v="1"/>
    <n v="514.19000000000005"/>
    <n v="0.2"/>
    <n v="411.35200000000009"/>
    <x v="0"/>
  </r>
  <r>
    <x v="108"/>
    <s v="Hoffman Group"/>
    <s v="Home"/>
    <n v="1"/>
    <n v="758.54"/>
    <n v="0.28999999999999998"/>
    <n v="538.5634"/>
    <x v="2"/>
  </r>
  <r>
    <x v="409"/>
    <s v="Nolan-Snow"/>
    <s v="Sports"/>
    <n v="2"/>
    <n v="46.39"/>
    <n v="7.0000000000000007E-2"/>
    <n v="86.285399999999996"/>
    <x v="0"/>
  </r>
  <r>
    <x v="172"/>
    <s v="Nolan-Snow"/>
    <s v="Sports"/>
    <n v="2"/>
    <n v="671.69"/>
    <n v="0.19"/>
    <n v="1088.1378"/>
    <x v="0"/>
  </r>
  <r>
    <x v="217"/>
    <s v="Nolan-Snow"/>
    <s v="Sports"/>
    <n v="2"/>
    <n v="695.02"/>
    <n v="0.3"/>
    <n v="973.02799999999991"/>
    <x v="1"/>
  </r>
  <r>
    <x v="430"/>
    <s v="Weiss-Watson"/>
    <s v="Home"/>
    <n v="2"/>
    <n v="350.12"/>
    <n v="0.12"/>
    <n v="616.21119999999996"/>
    <x v="1"/>
  </r>
  <r>
    <x v="3"/>
    <s v="Lucero LLC"/>
    <s v="Electronics"/>
    <n v="4"/>
    <n v="953.98"/>
    <n v="0.16"/>
    <n v="3205.3728000000001"/>
    <x v="0"/>
  </r>
  <r>
    <x v="52"/>
    <s v="Jones LLC"/>
    <s v="Home"/>
    <n v="3"/>
    <n v="341.51"/>
    <n v="0.22"/>
    <n v="799.13340000000005"/>
    <x v="1"/>
  </r>
  <r>
    <x v="63"/>
    <s v="Jones LLC"/>
    <s v="Home"/>
    <n v="1"/>
    <n v="213.69"/>
    <n v="0.28000000000000003"/>
    <n v="153.85679999999999"/>
    <x v="1"/>
  </r>
  <r>
    <x v="262"/>
    <s v="Hogan-Lee"/>
    <s v="Clothing"/>
    <n v="4"/>
    <n v="85.62"/>
    <n v="0.28000000000000003"/>
    <n v="246.5856"/>
    <x v="1"/>
  </r>
  <r>
    <x v="406"/>
    <s v="Cummings and Sons"/>
    <s v="Electronics"/>
    <n v="2"/>
    <n v="673.02"/>
    <n v="0.11"/>
    <n v="1197.9756"/>
    <x v="2"/>
  </r>
  <r>
    <x v="431"/>
    <s v="Cummings and Sons"/>
    <s v="Electronics"/>
    <n v="3"/>
    <n v="529.89"/>
    <n v="0.21"/>
    <n v="1255.8393000000001"/>
    <x v="0"/>
  </r>
  <r>
    <x v="265"/>
    <s v="Gonzales-Davis"/>
    <s v="Clothing"/>
    <n v="3"/>
    <n v="217.22"/>
    <n v="0.06"/>
    <n v="612.56039999999996"/>
    <x v="2"/>
  </r>
  <r>
    <x v="146"/>
    <s v="Gonzales-Davis"/>
    <s v="Clothing"/>
    <n v="4"/>
    <n v="299.45999999999998"/>
    <n v="0.18"/>
    <n v="982.22879999999998"/>
    <x v="1"/>
  </r>
  <r>
    <x v="111"/>
    <s v="Taylor-Hart"/>
    <s v="Electronics"/>
    <n v="4"/>
    <n v="38.380000000000003"/>
    <n v="0.16"/>
    <n v="128.95679999999999"/>
    <x v="1"/>
  </r>
  <r>
    <x v="432"/>
    <s v="Taylor-Hart"/>
    <s v="Electronics"/>
    <n v="2"/>
    <n v="356.28"/>
    <n v="0.11"/>
    <n v="634.17840000000001"/>
    <x v="1"/>
  </r>
  <r>
    <x v="31"/>
    <s v="Taylor-Hart"/>
    <s v="Electronics"/>
    <n v="1"/>
    <n v="470.34"/>
    <n v="0.18"/>
    <n v="385.67880000000002"/>
    <x v="1"/>
  </r>
  <r>
    <x v="358"/>
    <s v="Carroll, Long and Mendoza"/>
    <s v="Sports"/>
    <n v="2"/>
    <n v="602.54999999999995"/>
    <n v="0.23"/>
    <n v="927.92699999999991"/>
    <x v="1"/>
  </r>
  <r>
    <x v="136"/>
    <s v="Holmes LLC"/>
    <s v="Electronics"/>
    <n v="2"/>
    <n v="953.26"/>
    <n v="0.1"/>
    <n v="1715.8679999999999"/>
    <x v="1"/>
  </r>
  <r>
    <x v="433"/>
    <s v="Robinson Inc"/>
    <s v="Electronics"/>
    <n v="4"/>
    <n v="975.47"/>
    <n v="0.04"/>
    <n v="3745.8047999999999"/>
    <x v="0"/>
  </r>
  <r>
    <x v="316"/>
    <s v="Robinson Inc"/>
    <s v="Electronics"/>
    <n v="3"/>
    <n v="962.98"/>
    <n v="0.21"/>
    <n v="2282.2626"/>
    <x v="0"/>
  </r>
  <r>
    <x v="24"/>
    <s v="Robinson Inc"/>
    <s v="Electronics"/>
    <n v="1"/>
    <n v="589.55999999999995"/>
    <n v="0.22"/>
    <n v="459.85680000000002"/>
    <x v="0"/>
  </r>
  <r>
    <x v="40"/>
    <s v="Cox Inc"/>
    <s v="Sports"/>
    <n v="1"/>
    <n v="459.42"/>
    <n v="0.28000000000000003"/>
    <n v="330.7824"/>
    <x v="1"/>
  </r>
  <r>
    <x v="317"/>
    <s v="Bridges, Banks and Cummings"/>
    <s v="Sports"/>
    <n v="1"/>
    <n v="459.89"/>
    <n v="0.18"/>
    <n v="377.10980000000001"/>
    <x v="1"/>
  </r>
  <r>
    <x v="404"/>
    <s v="Kelly, Smith and Perez"/>
    <s v="Clothing"/>
    <n v="1"/>
    <n v="804.9"/>
    <n v="0.03"/>
    <n v="780.75299999999993"/>
    <x v="2"/>
  </r>
  <r>
    <x v="388"/>
    <s v="Byrd, Stewart and Valdez"/>
    <s v="Electronics"/>
    <n v="4"/>
    <n v="106.23"/>
    <n v="0.28000000000000003"/>
    <n v="305.94240000000002"/>
    <x v="1"/>
  </r>
  <r>
    <x v="35"/>
    <s v="Bautista, Green and Hale"/>
    <s v="Electronics"/>
    <n v="2"/>
    <n v="86.72"/>
    <n v="0.28000000000000003"/>
    <n v="124.8768"/>
    <x v="1"/>
  </r>
  <r>
    <x v="32"/>
    <s v="Harris Inc"/>
    <s v="Sports"/>
    <n v="3"/>
    <n v="634.45000000000005"/>
    <n v="0.17"/>
    <n v="1579.7805000000001"/>
    <x v="2"/>
  </r>
  <r>
    <x v="434"/>
    <s v="Harris Inc"/>
    <s v="Sports"/>
    <n v="1"/>
    <n v="73.88"/>
    <n v="0.04"/>
    <n v="70.924799999999991"/>
    <x v="0"/>
  </r>
  <r>
    <x v="15"/>
    <s v="Thompson-French"/>
    <s v="Sports"/>
    <n v="2"/>
    <n v="528.29999999999995"/>
    <n v="0.24"/>
    <n v="803.01599999999996"/>
    <x v="0"/>
  </r>
  <r>
    <x v="395"/>
    <s v="Thompson-French"/>
    <s v="Sports"/>
    <n v="2"/>
    <n v="810.81"/>
    <n v="0.11"/>
    <n v="1443.2418"/>
    <x v="1"/>
  </r>
  <r>
    <x v="108"/>
    <s v="Hatfield, Baird and Torres"/>
    <s v="Home"/>
    <n v="3"/>
    <n v="471.27"/>
    <n v="0.27"/>
    <n v="1032.0813000000001"/>
    <x v="1"/>
  </r>
  <r>
    <x v="298"/>
    <s v="Hernandez, Kennedy and Porter"/>
    <s v="Home"/>
    <n v="1"/>
    <n v="75.8"/>
    <n v="0.28999999999999998"/>
    <n v="53.817999999999998"/>
    <x v="2"/>
  </r>
  <r>
    <x v="116"/>
    <s v="Hernandez, Kennedy and Porter"/>
    <s v="Home"/>
    <n v="3"/>
    <n v="439.21"/>
    <n v="0.28000000000000003"/>
    <n v="948.69359999999983"/>
    <x v="1"/>
  </r>
  <r>
    <x v="292"/>
    <s v="Hernandez, Kennedy and Porter"/>
    <s v="Home"/>
    <n v="1"/>
    <n v="772.07"/>
    <n v="0.26"/>
    <n v="571.33180000000004"/>
    <x v="2"/>
  </r>
  <r>
    <x v="421"/>
    <s v="Shepherd-Gould"/>
    <s v="Clothing"/>
    <n v="3"/>
    <n v="658.33"/>
    <n v="0.12"/>
    <n v="1737.9911999999999"/>
    <x v="1"/>
  </r>
  <r>
    <x v="202"/>
    <s v="Cline-Mccarthy"/>
    <s v="Beauty"/>
    <n v="3"/>
    <n v="178.22"/>
    <n v="0.15"/>
    <n v="454.46100000000001"/>
    <x v="1"/>
  </r>
  <r>
    <x v="66"/>
    <s v="Cline-Mccarthy"/>
    <s v="Beauty"/>
    <n v="4"/>
    <n v="790.38"/>
    <n v="0.22"/>
    <n v="2465.9856"/>
    <x v="1"/>
  </r>
  <r>
    <x v="77"/>
    <s v="Davidson PLC"/>
    <s v="Beauty"/>
    <n v="4"/>
    <n v="96.78"/>
    <n v="0.11"/>
    <n v="344.53680000000003"/>
    <x v="2"/>
  </r>
  <r>
    <x v="331"/>
    <s v="Gibson, Green and Lopez"/>
    <s v="Beauty"/>
    <n v="1"/>
    <n v="146.49"/>
    <n v="0.28000000000000003"/>
    <n v="105.47280000000001"/>
    <x v="0"/>
  </r>
  <r>
    <x v="435"/>
    <s v="Gibson, Green and Lopez"/>
    <s v="Beauty"/>
    <n v="3"/>
    <n v="345.43"/>
    <n v="0.08"/>
    <n v="953.38679999999999"/>
    <x v="1"/>
  </r>
  <r>
    <x v="405"/>
    <s v="Zhang Inc"/>
    <s v="Beauty"/>
    <n v="1"/>
    <n v="711.08"/>
    <n v="0.24"/>
    <n v="540.42079999999999"/>
    <x v="2"/>
  </r>
  <r>
    <x v="241"/>
    <s v="Torres, Spencer and Potter"/>
    <s v="Beauty"/>
    <n v="2"/>
    <n v="864.09"/>
    <n v="0.06"/>
    <n v="1624.4892"/>
    <x v="1"/>
  </r>
  <r>
    <x v="208"/>
    <s v="Torres, Spencer and Potter"/>
    <s v="Beauty"/>
    <n v="4"/>
    <n v="99.92"/>
    <n v="0.11"/>
    <n v="355.71519999999998"/>
    <x v="1"/>
  </r>
  <r>
    <x v="269"/>
    <s v="Flores-Davis"/>
    <s v="Electronics"/>
    <n v="2"/>
    <n v="947.56"/>
    <n v="0.02"/>
    <n v="1857.2175999999999"/>
    <x v="1"/>
  </r>
  <r>
    <x v="318"/>
    <s v="Flores-Davis"/>
    <s v="Electronics"/>
    <n v="1"/>
    <n v="980.26"/>
    <n v="0.14000000000000001"/>
    <n v="843.02359999999999"/>
    <x v="2"/>
  </r>
  <r>
    <x v="436"/>
    <s v="Harrell LLC"/>
    <s v="Home"/>
    <n v="4"/>
    <n v="241.32"/>
    <n v="0.28999999999999998"/>
    <n v="685.34879999999998"/>
    <x v="1"/>
  </r>
  <r>
    <x v="398"/>
    <s v="Duran Group"/>
    <s v="Home"/>
    <n v="2"/>
    <n v="623.38"/>
    <n v="0.13"/>
    <n v="1084.6812"/>
    <x v="0"/>
  </r>
  <r>
    <x v="147"/>
    <s v="Duran Group"/>
    <s v="Home"/>
    <n v="1"/>
    <n v="914.75"/>
    <n v="0.1"/>
    <n v="823.27499999999998"/>
    <x v="1"/>
  </r>
  <r>
    <x v="327"/>
    <s v="Duran Group"/>
    <s v="Home"/>
    <n v="4"/>
    <n v="883.31"/>
    <n v="0.27"/>
    <n v="2579.2651999999998"/>
    <x v="0"/>
  </r>
  <r>
    <x v="79"/>
    <s v="Hopkins Ltd"/>
    <s v="Beauty"/>
    <n v="1"/>
    <n v="250.95"/>
    <n v="0.03"/>
    <n v="243.42150000000001"/>
    <x v="2"/>
  </r>
  <r>
    <x v="333"/>
    <s v="Hopkins Ltd"/>
    <s v="Beauty"/>
    <n v="4"/>
    <n v="622.27"/>
    <n v="0.02"/>
    <n v="2439.2984000000001"/>
    <x v="2"/>
  </r>
  <r>
    <x v="416"/>
    <s v="Hopkins Ltd"/>
    <s v="Beauty"/>
    <n v="3"/>
    <n v="385.74"/>
    <n v="0.27"/>
    <n v="844.77059999999994"/>
    <x v="0"/>
  </r>
  <r>
    <x v="158"/>
    <s v="Bruce-Bowen"/>
    <s v="Electronics"/>
    <n v="1"/>
    <n v="478.08"/>
    <n v="7.0000000000000007E-2"/>
    <n v="444.61439999999988"/>
    <x v="1"/>
  </r>
  <r>
    <x v="192"/>
    <s v="Bruce-Bowen"/>
    <s v="Electronics"/>
    <n v="2"/>
    <n v="464.43"/>
    <n v="0.24"/>
    <n v="705.93360000000007"/>
    <x v="1"/>
  </r>
  <r>
    <x v="396"/>
    <s v="Bruce-Bowen"/>
    <s v="Electronics"/>
    <n v="4"/>
    <n v="475.98"/>
    <n v="0.19"/>
    <n v="1542.1751999999999"/>
    <x v="2"/>
  </r>
  <r>
    <x v="64"/>
    <s v="Poole PLC"/>
    <s v="Clothing"/>
    <n v="3"/>
    <n v="717.22"/>
    <n v="0.24"/>
    <n v="1635.2616"/>
    <x v="2"/>
  </r>
  <r>
    <x v="87"/>
    <s v="Larson Ltd"/>
    <s v="Electronics"/>
    <n v="1"/>
    <n v="533.04999999999995"/>
    <n v="0.11"/>
    <n v="474.41449999999998"/>
    <x v="2"/>
  </r>
  <r>
    <x v="101"/>
    <s v="White, Reeves and Woods"/>
    <s v="Electronics"/>
    <n v="2"/>
    <n v="68.31"/>
    <n v="0.28999999999999998"/>
    <n v="97.000199999999992"/>
    <x v="1"/>
  </r>
  <r>
    <x v="68"/>
    <s v="White, Reeves and Woods"/>
    <s v="Electronics"/>
    <n v="4"/>
    <n v="463.17"/>
    <n v="0.06"/>
    <n v="1741.5192"/>
    <x v="2"/>
  </r>
  <r>
    <x v="338"/>
    <s v="Ramirez-Hanson"/>
    <s v="Home"/>
    <n v="2"/>
    <n v="504.26"/>
    <n v="0.04"/>
    <n v="968.17919999999992"/>
    <x v="2"/>
  </r>
  <r>
    <x v="267"/>
    <s v="Allison Ltd"/>
    <s v="Home"/>
    <n v="2"/>
    <n v="827.81"/>
    <n v="0.04"/>
    <n v="1589.3951999999999"/>
    <x v="2"/>
  </r>
  <r>
    <x v="375"/>
    <s v="Allison Ltd"/>
    <s v="Home"/>
    <n v="1"/>
    <n v="450.11"/>
    <n v="0.17"/>
    <n v="373.59129999999999"/>
    <x v="0"/>
  </r>
  <r>
    <x v="338"/>
    <s v="Robinson-Brown"/>
    <s v="Sports"/>
    <n v="2"/>
    <n v="830.94"/>
    <n v="0.28000000000000003"/>
    <n v="1196.5536"/>
    <x v="2"/>
  </r>
  <r>
    <x v="337"/>
    <s v="Reese-Watson"/>
    <s v="Sports"/>
    <n v="3"/>
    <n v="543.83000000000004"/>
    <n v="0.05"/>
    <n v="1549.9155000000001"/>
    <x v="0"/>
  </r>
  <r>
    <x v="56"/>
    <s v="Butler Group"/>
    <s v="Beauty"/>
    <n v="2"/>
    <n v="354.26"/>
    <n v="0.01"/>
    <n v="701.4348"/>
    <x v="1"/>
  </r>
  <r>
    <x v="153"/>
    <s v="Richardson-Carrillo"/>
    <s v="Clothing"/>
    <n v="2"/>
    <n v="227.97"/>
    <n v="0.08"/>
    <n v="419.46480000000003"/>
    <x v="1"/>
  </r>
  <r>
    <x v="52"/>
    <s v="Taylor, Dodson and Johnston"/>
    <s v="Home"/>
    <n v="1"/>
    <n v="859.3"/>
    <n v="0.16"/>
    <n v="721.8119999999999"/>
    <x v="2"/>
  </r>
  <r>
    <x v="394"/>
    <s v="Taylor-Elliott"/>
    <s v="Beauty"/>
    <n v="1"/>
    <n v="170.43"/>
    <n v="0.03"/>
    <n v="165.31710000000001"/>
    <x v="0"/>
  </r>
  <r>
    <x v="339"/>
    <s v="Sharp, Taylor and Rodriguez"/>
    <s v="Electronics"/>
    <n v="3"/>
    <n v="107.44"/>
    <n v="0.27"/>
    <n v="235.2936"/>
    <x v="2"/>
  </r>
  <r>
    <x v="90"/>
    <s v="Sharp, Taylor and Rodriguez"/>
    <s v="Electronics"/>
    <n v="3"/>
    <n v="105.0226"/>
    <n v="0.06"/>
    <n v="315.24779999999998"/>
    <x v="0"/>
  </r>
  <r>
    <x v="322"/>
    <s v="Smith-Charles"/>
    <s v="Clothing"/>
    <n v="3"/>
    <n v="482.2"/>
    <n v="0.23"/>
    <n v="1113.8820000000001"/>
    <x v="1"/>
  </r>
  <r>
    <x v="402"/>
    <s v="Green, Powell and Palmer"/>
    <s v="Home"/>
    <n v="2"/>
    <n v="177.4"/>
    <n v="0.19"/>
    <n v="287.38799999999998"/>
    <x v="2"/>
  </r>
  <r>
    <x v="437"/>
    <s v="Green, Powell and Palmer"/>
    <s v="Home"/>
    <n v="2"/>
    <n v="682.7"/>
    <n v="0.13"/>
    <n v="1187.8979999999999"/>
    <x v="0"/>
  </r>
  <r>
    <x v="10"/>
    <s v="Green, Powell and Palmer"/>
    <s v="Home"/>
    <n v="2"/>
    <n v="239.92"/>
    <n v="0.16"/>
    <n v="403.06560000000002"/>
    <x v="0"/>
  </r>
  <r>
    <x v="370"/>
    <s v="Green, Powell and Palmer"/>
    <s v="Home"/>
    <n v="1"/>
    <n v="909.04"/>
    <n v="0.11"/>
    <n v="809.04560000000004"/>
    <x v="0"/>
  </r>
  <r>
    <x v="30"/>
    <s v="Phillips and Sons"/>
    <s v="Clothing"/>
    <n v="2"/>
    <n v="891.13"/>
    <n v="0.13"/>
    <n v="1550.5662"/>
    <x v="0"/>
  </r>
  <r>
    <x v="225"/>
    <s v="Flores-King"/>
    <s v="Electronics"/>
    <n v="3"/>
    <n v="981.69"/>
    <n v="0.05"/>
    <n v="2797.8164999999999"/>
    <x v="1"/>
  </r>
  <r>
    <x v="230"/>
    <s v="Campbell Ltd"/>
    <s v="Home"/>
    <n v="1"/>
    <n v="873.18"/>
    <n v="0.03"/>
    <n v="846.98459999999989"/>
    <x v="1"/>
  </r>
  <r>
    <x v="303"/>
    <s v="Hunt Inc"/>
    <s v="Electronics"/>
    <n v="1"/>
    <n v="458.97"/>
    <n v="0.1"/>
    <n v="413.07299999999998"/>
    <x v="2"/>
  </r>
  <r>
    <x v="210"/>
    <s v="Gibson, Hobbs and Weaver"/>
    <s v="Electronics"/>
    <n v="3"/>
    <n v="591.98"/>
    <n v="0.16"/>
    <n v="1491.7896000000001"/>
    <x v="0"/>
  </r>
  <r>
    <x v="83"/>
    <s v="Dawson-Perkins"/>
    <s v="Electronics"/>
    <n v="2"/>
    <n v="889.04"/>
    <n v="0.23"/>
    <n v="1369.1215999999999"/>
    <x v="0"/>
  </r>
  <r>
    <x v="388"/>
    <s v="Thomas LLC"/>
    <s v="Electronics"/>
    <n v="3"/>
    <n v="620.12"/>
    <n v="0.06"/>
    <n v="1748.7384"/>
    <x v="0"/>
  </r>
  <r>
    <x v="199"/>
    <s v="Thomas LLC"/>
    <s v="Electronics"/>
    <n v="1"/>
    <n v="336.51"/>
    <n v="0.11"/>
    <n v="299.4939"/>
    <x v="2"/>
  </r>
  <r>
    <x v="304"/>
    <s v="Thomas LLC"/>
    <s v="Electronics"/>
    <n v="1"/>
    <n v="151.66"/>
    <n v="0.16"/>
    <n v="127.3944"/>
    <x v="1"/>
  </r>
  <r>
    <x v="266"/>
    <s v="Thomas LLC"/>
    <s v="Electronics"/>
    <n v="1"/>
    <n v="332.82"/>
    <n v="0.14000000000000001"/>
    <n v="286.22519999999997"/>
    <x v="2"/>
  </r>
  <r>
    <x v="266"/>
    <s v="Thomas LLC"/>
    <s v="Electronics"/>
    <n v="1"/>
    <n v="582.29"/>
    <n v="0.2"/>
    <n v="465.83199999999999"/>
    <x v="0"/>
  </r>
  <r>
    <x v="405"/>
    <s v="Erickson-Green"/>
    <s v="Beauty"/>
    <n v="2"/>
    <n v="303.67"/>
    <n v="0.05"/>
    <n v="576.97299999999996"/>
    <x v="2"/>
  </r>
  <r>
    <x v="140"/>
    <s v="Erickson-Green"/>
    <s v="Beauty"/>
    <n v="4"/>
    <n v="295.39999999999998"/>
    <n v="0.23"/>
    <n v="909.83199999999999"/>
    <x v="2"/>
  </r>
  <r>
    <x v="191"/>
    <s v="Erickson-Green"/>
    <s v="Beauty"/>
    <n v="1"/>
    <n v="922.78"/>
    <n v="0.28999999999999998"/>
    <n v="655.17379999999991"/>
    <x v="1"/>
  </r>
  <r>
    <x v="352"/>
    <s v="Ford, Murphy and Wilson"/>
    <s v="Sports"/>
    <n v="3"/>
    <n v="997.95"/>
    <n v="0.09"/>
    <n v="2724.4034999999999"/>
    <x v="1"/>
  </r>
  <r>
    <x v="121"/>
    <s v="Ford, Murphy and Wilson"/>
    <s v="Sports"/>
    <n v="1"/>
    <n v="259.2"/>
    <n v="0.27"/>
    <n v="189.21600000000001"/>
    <x v="1"/>
  </r>
  <r>
    <x v="337"/>
    <s v="Ford, Murphy and Wilson"/>
    <s v="Sports"/>
    <n v="1"/>
    <n v="244.25"/>
    <n v="0.09"/>
    <n v="222.26750000000001"/>
    <x v="2"/>
  </r>
  <r>
    <x v="438"/>
    <s v="May-Reese"/>
    <s v="Sports"/>
    <n v="4"/>
    <n v="58.92"/>
    <n v="0.18"/>
    <n v="193.2576"/>
    <x v="0"/>
  </r>
  <r>
    <x v="305"/>
    <s v="Sims Inc"/>
    <s v="Clothing"/>
    <n v="1"/>
    <n v="505.23"/>
    <n v="0.11"/>
    <n v="449.65469999999999"/>
    <x v="0"/>
  </r>
  <r>
    <x v="287"/>
    <s v="Gardner-Montes"/>
    <s v="Home"/>
    <n v="2"/>
    <n v="99.1"/>
    <n v="0.2"/>
    <n v="158.56"/>
    <x v="2"/>
  </r>
  <r>
    <x v="63"/>
    <s v="Flores, Pineda and Rodriguez"/>
    <s v="Sports"/>
    <n v="2"/>
    <n v="873.1"/>
    <n v="0.12"/>
    <n v="1536.6559999999999"/>
    <x v="2"/>
  </r>
  <r>
    <x v="98"/>
    <s v="Moon, Mora and Santos"/>
    <s v="Clothing"/>
    <n v="3"/>
    <n v="648.33000000000004"/>
    <n v="0.2"/>
    <n v="1555.992"/>
    <x v="1"/>
  </r>
  <r>
    <x v="253"/>
    <s v="Cook Ltd"/>
    <s v="Sports"/>
    <n v="3"/>
    <n v="794.59"/>
    <n v="0.03"/>
    <n v="2312.2568999999999"/>
    <x v="2"/>
  </r>
  <r>
    <x v="87"/>
    <s v="Cook Ltd"/>
    <s v="Sports"/>
    <n v="3"/>
    <n v="631.20000000000005"/>
    <n v="0.24"/>
    <n v="1439.136"/>
    <x v="0"/>
  </r>
  <r>
    <x v="262"/>
    <s v="Reed-Schmidt"/>
    <s v="Electronics"/>
    <n v="2"/>
    <n v="873.86"/>
    <n v="7.0000000000000007E-2"/>
    <n v="1625.3796"/>
    <x v="1"/>
  </r>
  <r>
    <x v="10"/>
    <s v="Reed-Schmidt"/>
    <s v="Electronics"/>
    <n v="2"/>
    <n v="800.84"/>
    <n v="0.27"/>
    <n v="1169.2264"/>
    <x v="1"/>
  </r>
  <r>
    <x v="6"/>
    <s v="Khan, Jones and Paul"/>
    <s v="Home"/>
    <n v="4"/>
    <n v="822.32"/>
    <n v="0.26"/>
    <n v="2434.0672"/>
    <x v="2"/>
  </r>
  <r>
    <x v="439"/>
    <s v="Khan, Jones and Paul"/>
    <s v="Home"/>
    <n v="3"/>
    <n v="871.34"/>
    <n v="0.11"/>
    <n v="2326.4778000000001"/>
    <x v="1"/>
  </r>
  <r>
    <x v="440"/>
    <s v="Hoffman Group"/>
    <s v="Home"/>
    <n v="1"/>
    <n v="654.17999999999995"/>
    <n v="0.19"/>
    <n v="529.88580000000002"/>
    <x v="2"/>
  </r>
  <r>
    <x v="278"/>
    <s v="Hoffman Group"/>
    <s v="Home"/>
    <n v="4"/>
    <n v="349.84"/>
    <n v="0.11"/>
    <n v="1245.4304"/>
    <x v="0"/>
  </r>
  <r>
    <x v="441"/>
    <s v="Nolan-Snow"/>
    <s v="Sports"/>
    <n v="3"/>
    <n v="455.82"/>
    <n v="0.01"/>
    <n v="1353.7854"/>
    <x v="2"/>
  </r>
  <r>
    <x v="151"/>
    <s v="Nolan-Snow"/>
    <s v="Sports"/>
    <n v="4"/>
    <n v="327.25"/>
    <n v="0.13"/>
    <n v="1138.83"/>
    <x v="1"/>
  </r>
  <r>
    <x v="404"/>
    <s v="Weiss-Watson"/>
    <s v="Home"/>
    <n v="2"/>
    <n v="892.06"/>
    <n v="0.08"/>
    <n v="1641.3904"/>
    <x v="0"/>
  </r>
  <r>
    <x v="193"/>
    <s v="Weiss-Watson"/>
    <s v="Home"/>
    <n v="4"/>
    <n v="885.57"/>
    <n v="0.27"/>
    <n v="2585.8643999999999"/>
    <x v="0"/>
  </r>
  <r>
    <x v="360"/>
    <s v="Weiss-Watson"/>
    <s v="Home"/>
    <n v="4"/>
    <n v="62.25"/>
    <n v="0.11"/>
    <n v="221.61"/>
    <x v="2"/>
  </r>
  <r>
    <x v="20"/>
    <s v="Smith-Mills"/>
    <s v="Clothing"/>
    <n v="3"/>
    <n v="584.41"/>
    <n v="0"/>
    <n v="1753.23"/>
    <x v="1"/>
  </r>
  <r>
    <x v="13"/>
    <s v="Hogan-Lee"/>
    <s v="Clothing"/>
    <n v="4"/>
    <n v="442.87"/>
    <n v="0.08"/>
    <n v="1629.7616"/>
    <x v="0"/>
  </r>
  <r>
    <x v="343"/>
    <s v="Hogan-Lee"/>
    <s v="Clothing"/>
    <n v="4"/>
    <n v="122.87"/>
    <n v="0.13"/>
    <n v="427.58760000000001"/>
    <x v="0"/>
  </r>
  <r>
    <x v="192"/>
    <s v="Sims-Smith"/>
    <s v="Sports"/>
    <n v="3"/>
    <n v="134.58000000000001"/>
    <n v="0.04"/>
    <n v="387.59039999999999"/>
    <x v="1"/>
  </r>
  <r>
    <x v="123"/>
    <s v="Gonzales-Davis"/>
    <s v="Clothing"/>
    <n v="4"/>
    <n v="603.30999999999995"/>
    <n v="0.15"/>
    <n v="2051.2539999999999"/>
    <x v="0"/>
  </r>
  <r>
    <x v="365"/>
    <s v="Carroll, Long and Mendoza"/>
    <s v="Sports"/>
    <n v="2"/>
    <n v="392.45"/>
    <n v="0.04"/>
    <n v="753.50399999999991"/>
    <x v="2"/>
  </r>
  <r>
    <x v="199"/>
    <s v="Carroll, Long and Mendoza"/>
    <s v="Sports"/>
    <n v="2"/>
    <n v="56.52"/>
    <n v="0.17"/>
    <n v="93.8232"/>
    <x v="2"/>
  </r>
  <r>
    <x v="227"/>
    <s v="Holmes LLC"/>
    <s v="Electronics"/>
    <n v="4"/>
    <n v="150.47999999999999"/>
    <n v="0.09"/>
    <n v="547.74720000000002"/>
    <x v="0"/>
  </r>
  <r>
    <x v="442"/>
    <s v="Robinson Inc"/>
    <s v="Electronics"/>
    <n v="1"/>
    <n v="661.77"/>
    <n v="0.03"/>
    <n v="641.91689999999994"/>
    <x v="2"/>
  </r>
  <r>
    <x v="411"/>
    <s v="Cox Inc"/>
    <s v="Sports"/>
    <n v="2"/>
    <n v="156.72999999999999"/>
    <n v="0.18"/>
    <n v="257.03719999999998"/>
    <x v="1"/>
  </r>
  <r>
    <x v="272"/>
    <s v="Cook Inc"/>
    <s v="Beauty"/>
    <n v="4"/>
    <n v="189.07"/>
    <n v="0.1"/>
    <n v="680.65200000000004"/>
    <x v="1"/>
  </r>
  <r>
    <x v="3"/>
    <s v="Byrd, Stewart and Valdez"/>
    <s v="Electronics"/>
    <n v="3"/>
    <n v="807.95"/>
    <n v="0.1"/>
    <n v="2181.4650000000011"/>
    <x v="2"/>
  </r>
  <r>
    <x v="249"/>
    <s v="Baldwin, Garza and Gonzalez"/>
    <s v="Clothing"/>
    <n v="1"/>
    <n v="429.38"/>
    <n v="0.13"/>
    <n v="373.56060000000002"/>
    <x v="2"/>
  </r>
  <r>
    <x v="443"/>
    <s v="Smith-King"/>
    <s v="Sports"/>
    <n v="4"/>
    <n v="280.16000000000003"/>
    <n v="0.18"/>
    <n v="918.92480000000012"/>
    <x v="1"/>
  </r>
  <r>
    <x v="430"/>
    <s v="Harris Inc"/>
    <s v="Sports"/>
    <n v="2"/>
    <n v="441.03"/>
    <n v="0.23"/>
    <n v="679.18619999999999"/>
    <x v="1"/>
  </r>
  <r>
    <x v="301"/>
    <s v="Hamilton, Woods and Walker"/>
    <s v="Clothing"/>
    <n v="2"/>
    <n v="664.5"/>
    <n v="0.23"/>
    <n v="1023.33"/>
    <x v="0"/>
  </r>
  <r>
    <x v="321"/>
    <s v="Hatfield, Baird and Torres"/>
    <s v="Home"/>
    <n v="1"/>
    <n v="222.95"/>
    <n v="0.02"/>
    <n v="218.49100000000001"/>
    <x v="2"/>
  </r>
  <r>
    <x v="401"/>
    <s v="Hernandez, Kennedy and Porter"/>
    <s v="Home"/>
    <n v="2"/>
    <n v="404.08"/>
    <n v="7.0000000000000007E-2"/>
    <n v="751.58879999999988"/>
    <x v="0"/>
  </r>
  <r>
    <x v="397"/>
    <s v="Hernandez, Kennedy and Porter"/>
    <s v="Home"/>
    <n v="4"/>
    <n v="119.83"/>
    <n v="0.13"/>
    <n v="417.00839999999999"/>
    <x v="0"/>
  </r>
  <r>
    <x v="384"/>
    <s v="Atkinson, Camacho and Oliver"/>
    <s v="Sports"/>
    <n v="3"/>
    <n v="223.64"/>
    <n v="0.05"/>
    <n v="637.37399999999991"/>
    <x v="0"/>
  </r>
  <r>
    <x v="205"/>
    <s v="Atkinson, Camacho and Oliver"/>
    <s v="Sports"/>
    <n v="1"/>
    <n v="120.02"/>
    <n v="0.26"/>
    <n v="88.814799999999991"/>
    <x v="0"/>
  </r>
  <r>
    <x v="397"/>
    <s v="Cline-Mccarthy"/>
    <s v="Beauty"/>
    <n v="4"/>
    <n v="835.61"/>
    <n v="0.03"/>
    <n v="3242.1668"/>
    <x v="0"/>
  </r>
  <r>
    <x v="58"/>
    <s v="Anderson-Riley"/>
    <s v="Beauty"/>
    <n v="4"/>
    <n v="286.27999999999997"/>
    <n v="0.28000000000000003"/>
    <n v="824.48639999999989"/>
    <x v="2"/>
  </r>
  <r>
    <x v="262"/>
    <s v="Zhang Inc"/>
    <s v="Beauty"/>
    <n v="3"/>
    <n v="449.99"/>
    <n v="0.17"/>
    <n v="1120.4751000000001"/>
    <x v="1"/>
  </r>
  <r>
    <x v="60"/>
    <s v="Montgomery, Benton and Miller"/>
    <s v="Sports"/>
    <n v="2"/>
    <n v="451.98"/>
    <n v="0.25"/>
    <n v="677.97"/>
    <x v="0"/>
  </r>
  <r>
    <x v="381"/>
    <s v="Montgomery, Benton and Miller"/>
    <s v="Sports"/>
    <n v="2"/>
    <n v="549.83000000000004"/>
    <n v="7.0000000000000007E-2"/>
    <n v="1022.6838"/>
    <x v="2"/>
  </r>
  <r>
    <x v="317"/>
    <s v="Torres, Spencer and Potter"/>
    <s v="Beauty"/>
    <n v="3"/>
    <n v="626.71"/>
    <n v="7.0000000000000007E-2"/>
    <n v="1748.5209"/>
    <x v="1"/>
  </r>
  <r>
    <x v="213"/>
    <s v="Flores-Davis"/>
    <s v="Electronics"/>
    <n v="2"/>
    <n v="661.53"/>
    <n v="0.2"/>
    <n v="1058.4480000000001"/>
    <x v="2"/>
  </r>
  <r>
    <x v="444"/>
    <s v="Flores-Davis"/>
    <s v="Electronics"/>
    <n v="3"/>
    <n v="968.88"/>
    <n v="0.15"/>
    <n v="2470.6439999999998"/>
    <x v="0"/>
  </r>
  <r>
    <x v="323"/>
    <s v="Wolfe, Ross and Hester"/>
    <s v="Home"/>
    <n v="1"/>
    <n v="671.62"/>
    <n v="0.09"/>
    <n v="611.17420000000004"/>
    <x v="1"/>
  </r>
  <r>
    <x v="385"/>
    <s v="Fitzpatrick Ltd"/>
    <s v="Clothing"/>
    <n v="3"/>
    <n v="74.66"/>
    <n v="0.03"/>
    <n v="217.26060000000001"/>
    <x v="2"/>
  </r>
  <r>
    <x v="26"/>
    <s v="Fitzpatrick Ltd"/>
    <s v="Clothing"/>
    <n v="2"/>
    <n v="108.74"/>
    <n v="0.11"/>
    <n v="193.55719999999999"/>
    <x v="2"/>
  </r>
  <r>
    <x v="46"/>
    <s v="Fitzpatrick Ltd"/>
    <s v="Clothing"/>
    <n v="4"/>
    <n v="373.49"/>
    <n v="0.16"/>
    <n v="1254.9264000000001"/>
    <x v="1"/>
  </r>
  <r>
    <x v="197"/>
    <s v="Davis PLC"/>
    <s v="Sports"/>
    <n v="1"/>
    <n v="44.08"/>
    <n v="0.05"/>
    <n v="41.875999999999998"/>
    <x v="0"/>
  </r>
  <r>
    <x v="445"/>
    <s v="French Ltd"/>
    <s v="Sports"/>
    <n v="4"/>
    <n v="221.49"/>
    <n v="0.26"/>
    <n v="655.61040000000003"/>
    <x v="2"/>
  </r>
  <r>
    <x v="183"/>
    <s v="French Ltd"/>
    <s v="Sports"/>
    <n v="3"/>
    <n v="59.37"/>
    <n v="0.03"/>
    <n v="172.76669999999999"/>
    <x v="2"/>
  </r>
  <r>
    <x v="245"/>
    <s v="French Ltd"/>
    <s v="Sports"/>
    <n v="1"/>
    <n v="727.7"/>
    <n v="0.21"/>
    <n v="574.88300000000004"/>
    <x v="1"/>
  </r>
  <r>
    <x v="1"/>
    <s v="Larson Ltd"/>
    <s v="Electronics"/>
    <n v="3"/>
    <n v="68.45"/>
    <n v="0.17"/>
    <n v="170.44049999999999"/>
    <x v="2"/>
  </r>
  <r>
    <x v="340"/>
    <s v="Larson Ltd"/>
    <s v="Electronics"/>
    <n v="4"/>
    <n v="158.46"/>
    <n v="0.09"/>
    <n v="576.7944"/>
    <x v="2"/>
  </r>
  <r>
    <x v="438"/>
    <s v="White, Reeves and Woods"/>
    <s v="Electronics"/>
    <n v="3"/>
    <n v="401.87"/>
    <n v="0.28999999999999998"/>
    <n v="855.98310000000004"/>
    <x v="1"/>
  </r>
  <r>
    <x v="396"/>
    <s v="Hernandez Inc"/>
    <s v="Home"/>
    <n v="2"/>
    <n v="705.97"/>
    <n v="0.1"/>
    <n v="1270.7460000000001"/>
    <x v="2"/>
  </r>
  <r>
    <x v="164"/>
    <s v="Ramirez-Hanson"/>
    <s v="Home"/>
    <n v="2"/>
    <n v="60.53"/>
    <n v="0.18"/>
    <n v="99.269200000000012"/>
    <x v="0"/>
  </r>
  <r>
    <x v="287"/>
    <s v="Perez-Johnston"/>
    <s v="Electronics"/>
    <n v="4"/>
    <n v="816.28"/>
    <n v="0.15"/>
    <n v="2775.3519999999999"/>
    <x v="1"/>
  </r>
  <r>
    <x v="33"/>
    <s v="Robinson-Brown"/>
    <s v="Sports"/>
    <n v="3"/>
    <n v="825.33"/>
    <n v="0.21"/>
    <n v="1956.0320999999999"/>
    <x v="0"/>
  </r>
  <r>
    <x v="36"/>
    <s v="Reese-Watson"/>
    <s v="Sports"/>
    <n v="1"/>
    <n v="653.87"/>
    <n v="0.14000000000000001"/>
    <n v="562.32820000000004"/>
    <x v="2"/>
  </r>
  <r>
    <x v="438"/>
    <s v="Richardson-Carrillo"/>
    <s v="Clothing"/>
    <n v="3"/>
    <n v="104.33"/>
    <n v="0.13"/>
    <n v="272.30130000000003"/>
    <x v="1"/>
  </r>
  <r>
    <x v="102"/>
    <s v="Taylor-Elliott"/>
    <s v="Beauty"/>
    <n v="4"/>
    <n v="611.29999999999995"/>
    <n v="0.11"/>
    <n v="2176.2280000000001"/>
    <x v="2"/>
  </r>
  <r>
    <x v="399"/>
    <s v="Smith-Charles"/>
    <s v="Clothing"/>
    <n v="2"/>
    <n v="600.03"/>
    <n v="0.26"/>
    <n v="888.0444"/>
    <x v="2"/>
  </r>
  <r>
    <x v="318"/>
    <s v="Smith-Charles"/>
    <s v="Clothing"/>
    <n v="2"/>
    <n v="782.11"/>
    <n v="0.17"/>
    <n v="1298.3026"/>
    <x v="2"/>
  </r>
  <r>
    <x v="204"/>
    <s v="Smith-Charles"/>
    <s v="Clothing"/>
    <n v="3"/>
    <n v="811.16"/>
    <n v="0.1"/>
    <n v="2190.1320000000001"/>
    <x v="1"/>
  </r>
  <r>
    <x v="410"/>
    <s v="Green, Powell and Palmer"/>
    <s v="Home"/>
    <n v="2"/>
    <n v="253.87"/>
    <n v="0.23"/>
    <n v="390.95979999999997"/>
    <x v="1"/>
  </r>
  <r>
    <x v="345"/>
    <s v="Green, Powell and Palmer"/>
    <s v="Home"/>
    <n v="2"/>
    <n v="318.62"/>
    <n v="0.02"/>
    <n v="624.49519999999995"/>
    <x v="1"/>
  </r>
  <r>
    <x v="276"/>
    <s v="Hoffman-Williams"/>
    <s v="Beauty"/>
    <n v="2"/>
    <n v="962.81"/>
    <n v="0.06"/>
    <n v="1810.0827999999999"/>
    <x v="1"/>
  </r>
  <r>
    <x v="183"/>
    <s v="Wilson Group"/>
    <s v="Sports"/>
    <n v="1"/>
    <n v="511.35"/>
    <n v="0"/>
    <n v="511.35"/>
    <x v="0"/>
  </r>
  <r>
    <x v="446"/>
    <s v="Phillips and Sons"/>
    <s v="Clothing"/>
    <n v="4"/>
    <n v="492.71"/>
    <n v="0.08"/>
    <n v="1813.1728000000001"/>
    <x v="0"/>
  </r>
  <r>
    <x v="170"/>
    <s v="Khan LLC"/>
    <s v="Sports"/>
    <n v="2"/>
    <n v="739.95"/>
    <n v="0.1"/>
    <n v="1331.91"/>
    <x v="1"/>
  </r>
  <r>
    <x v="21"/>
    <s v="Khan LLC"/>
    <s v="Sports"/>
    <n v="4"/>
    <n v="715.42"/>
    <n v="0.28999999999999998"/>
    <n v="2031.7927999999999"/>
    <x v="2"/>
  </r>
  <r>
    <x v="305"/>
    <s v="Khan LLC"/>
    <s v="Sports"/>
    <n v="2"/>
    <n v="569.36"/>
    <n v="0.01"/>
    <n v="1138.71"/>
    <x v="2"/>
  </r>
  <r>
    <x v="398"/>
    <s v="Flores-King"/>
    <s v="Electronics"/>
    <n v="3"/>
    <n v="34.97"/>
    <n v="0.01"/>
    <n v="103.8609"/>
    <x v="0"/>
  </r>
  <r>
    <x v="302"/>
    <s v="Flores-King"/>
    <s v="Electronics"/>
    <n v="4"/>
    <n v="281.48"/>
    <n v="0.27"/>
    <n v="821.92160000000001"/>
    <x v="2"/>
  </r>
  <r>
    <x v="205"/>
    <s v="Flores-King"/>
    <s v="Electronics"/>
    <n v="1"/>
    <n v="549.52"/>
    <n v="0.1"/>
    <n v="494.56799999999998"/>
    <x v="2"/>
  </r>
  <r>
    <x v="447"/>
    <s v="Campbell Ltd"/>
    <s v="Home"/>
    <n v="3"/>
    <n v="112.77"/>
    <n v="0.19"/>
    <n v="274.03109999999998"/>
    <x v="0"/>
  </r>
  <r>
    <x v="307"/>
    <s v="Terry-Moore"/>
    <s v="Clothing"/>
    <n v="4"/>
    <n v="204.8"/>
    <n v="0.03"/>
    <n v="794.62400000000002"/>
    <x v="2"/>
  </r>
  <r>
    <x v="151"/>
    <s v="Terry-Moore"/>
    <s v="Clothing"/>
    <n v="3"/>
    <n v="268.95"/>
    <n v="0.04"/>
    <n v="774.57599999999991"/>
    <x v="2"/>
  </r>
  <r>
    <x v="165"/>
    <s v="Rice LLC"/>
    <s v="Beauty"/>
    <n v="1"/>
    <n v="989.17"/>
    <n v="0.2"/>
    <n v="791.33600000000001"/>
    <x v="2"/>
  </r>
  <r>
    <x v="235"/>
    <s v="Dawson-Perkins"/>
    <s v="Electronics"/>
    <n v="1"/>
    <n v="908.5"/>
    <n v="0.2"/>
    <n v="726.80000000000007"/>
    <x v="1"/>
  </r>
  <r>
    <x v="181"/>
    <s v="Dawson-Perkins"/>
    <s v="Electronics"/>
    <n v="2"/>
    <n v="74.209999999999994"/>
    <n v="0.11"/>
    <n v="132.09379999999999"/>
    <x v="2"/>
  </r>
  <r>
    <x v="227"/>
    <s v="Dawson-Perkins"/>
    <s v="Electronics"/>
    <n v="4"/>
    <n v="284.24"/>
    <n v="0.09"/>
    <n v="1034.6335999999999"/>
    <x v="0"/>
  </r>
  <r>
    <x v="224"/>
    <s v="Luna, Anderson and Bowman"/>
    <s v="Home"/>
    <n v="2"/>
    <n v="414.86"/>
    <n v="0.23"/>
    <n v="638.88440000000003"/>
    <x v="0"/>
  </r>
  <r>
    <x v="356"/>
    <s v="Erickson-Green"/>
    <s v="Beauty"/>
    <n v="4"/>
    <n v="268.3"/>
    <n v="0.02"/>
    <n v="1051.7360000000001"/>
    <x v="1"/>
  </r>
  <r>
    <x v="448"/>
    <s v="Ford, Murphy and Wilson"/>
    <s v="Sports"/>
    <n v="3"/>
    <n v="988.53"/>
    <n v="0.3"/>
    <n v="2075.913"/>
    <x v="1"/>
  </r>
  <r>
    <x v="293"/>
    <s v="Sims Inc"/>
    <s v="Clothing"/>
    <n v="1"/>
    <n v="493.45"/>
    <n v="0.09"/>
    <n v="449.03949999999998"/>
    <x v="0"/>
  </r>
  <r>
    <x v="2"/>
    <s v="Gardner-Montes"/>
    <s v="Home"/>
    <n v="1"/>
    <n v="341.17"/>
    <n v="0.15"/>
    <n v="289.99450000000002"/>
    <x v="0"/>
  </r>
  <r>
    <x v="65"/>
    <s v="Flores, Pineda and Rodriguez"/>
    <s v="Sports"/>
    <n v="2"/>
    <n v="419.25"/>
    <n v="0.17"/>
    <n v="695.95499999999993"/>
    <x v="2"/>
  </r>
  <r>
    <x v="0"/>
    <s v="Moon, Mora and Santos"/>
    <s v="Clothing"/>
    <n v="3"/>
    <n v="152.41"/>
    <n v="0.25"/>
    <n v="342.92250000000001"/>
    <x v="0"/>
  </r>
  <r>
    <x v="55"/>
    <s v="Brown and Sons"/>
    <s v="Clothing"/>
    <n v="3"/>
    <n v="377.69"/>
    <n v="7.0000000000000007E-2"/>
    <n v="1053.7551000000001"/>
    <x v="2"/>
  </r>
  <r>
    <x v="369"/>
    <s v="Reed-Schmidt"/>
    <s v="Electronics"/>
    <n v="2"/>
    <n v="182.89"/>
    <n v="0.11"/>
    <n v="325.54419999999999"/>
    <x v="0"/>
  </r>
  <r>
    <x v="207"/>
    <s v="Reed-Schmidt"/>
    <s v="Electronics"/>
    <n v="2"/>
    <n v="593.47"/>
    <n v="0.1"/>
    <n v="1068.2460000000001"/>
    <x v="1"/>
  </r>
  <r>
    <x v="423"/>
    <s v="Burns-Hansen"/>
    <s v="Sports"/>
    <n v="1"/>
    <n v="974.47"/>
    <n v="0.05"/>
    <n v="925.74649999999997"/>
    <x v="0"/>
  </r>
  <r>
    <x v="223"/>
    <s v="Hoffman Group"/>
    <s v="Home"/>
    <n v="1"/>
    <n v="722.57"/>
    <n v="0.18"/>
    <n v="592.50740000000008"/>
    <x v="0"/>
  </r>
  <r>
    <x v="189"/>
    <s v="Pineda Ltd"/>
    <s v="Clothing"/>
    <n v="2"/>
    <n v="371.03"/>
    <n v="0.23"/>
    <n v="571.38619999999992"/>
    <x v="2"/>
  </r>
  <r>
    <x v="171"/>
    <s v="Stevens, Fernandez and Martin"/>
    <s v="Home"/>
    <n v="1"/>
    <n v="790.73"/>
    <n v="0.24"/>
    <n v="600.95479999999998"/>
    <x v="2"/>
  </r>
  <r>
    <x v="449"/>
    <s v="Stevens, Fernandez and Martin"/>
    <s v="Home"/>
    <n v="1"/>
    <n v="788.45"/>
    <n v="0.28999999999999998"/>
    <n v="559.79949999999997"/>
    <x v="2"/>
  </r>
  <r>
    <x v="364"/>
    <s v="Nolan-Snow"/>
    <s v="Sports"/>
    <n v="3"/>
    <n v="826.15"/>
    <n v="0"/>
    <n v="2478.4499999999998"/>
    <x v="2"/>
  </r>
  <r>
    <x v="431"/>
    <s v="Jones LLC"/>
    <s v="Home"/>
    <n v="2"/>
    <n v="355.3"/>
    <n v="0.83"/>
    <n v="589.798"/>
    <x v="2"/>
  </r>
  <r>
    <x v="242"/>
    <s v="Sims-Smith"/>
    <s v="Sports"/>
    <n v="3"/>
    <n v="410.04"/>
    <n v="0.09"/>
    <n v="1119.4092000000001"/>
    <x v="1"/>
  </r>
  <r>
    <x v="105"/>
    <s v="Cummings and Sons"/>
    <s v="Electronics"/>
    <n v="3"/>
    <n v="824.75"/>
    <n v="0.23"/>
    <n v="1905.1724999999999"/>
    <x v="0"/>
  </r>
  <r>
    <x v="450"/>
    <s v="Cummings and Sons"/>
    <s v="Electronics"/>
    <n v="2"/>
    <n v="999.89"/>
    <n v="0.09"/>
    <n v="1819.7998"/>
    <x v="0"/>
  </r>
  <r>
    <x v="352"/>
    <s v="Gonzales-Davis"/>
    <s v="Clothing"/>
    <n v="2"/>
    <n v="409"/>
    <n v="0.17"/>
    <n v="678.93999999999994"/>
    <x v="0"/>
  </r>
  <r>
    <x v="434"/>
    <s v="Taylor-Hart"/>
    <s v="Electronics"/>
    <n v="4"/>
    <n v="54.4"/>
    <n v="0.22"/>
    <n v="169.72800000000001"/>
    <x v="0"/>
  </r>
  <r>
    <x v="191"/>
    <s v="Taylor-Hart"/>
    <s v="Electronics"/>
    <n v="3"/>
    <n v="334.6"/>
    <n v="0.11"/>
    <n v="893.38200000000006"/>
    <x v="2"/>
  </r>
  <r>
    <x v="72"/>
    <s v="Holmes LLC"/>
    <s v="Electronics"/>
    <n v="2"/>
    <n v="42.97"/>
    <n v="0.18"/>
    <n v="70.470799999999997"/>
    <x v="2"/>
  </r>
  <r>
    <x v="87"/>
    <s v="Robinson Inc"/>
    <s v="Electronics"/>
    <n v="3"/>
    <n v="137.77000000000001"/>
    <n v="0.26"/>
    <n v="305.84940000000012"/>
    <x v="2"/>
  </r>
  <r>
    <x v="289"/>
    <s v="Cox Inc"/>
    <s v="Sports"/>
    <n v="1"/>
    <n v="230.53"/>
    <n v="0.06"/>
    <n v="216.69820000000001"/>
    <x v="1"/>
  </r>
  <r>
    <x v="34"/>
    <s v="Kelly, Smith and Perez"/>
    <s v="Clothing"/>
    <n v="1"/>
    <n v="780.24"/>
    <n v="0.04"/>
    <n v="749.03039999999999"/>
    <x v="1"/>
  </r>
  <r>
    <x v="412"/>
    <s v="Kelly, Smith and Perez"/>
    <s v="Clothing"/>
    <n v="2"/>
    <n v="71.48"/>
    <n v="0.14000000000000001"/>
    <n v="122.9456"/>
    <x v="1"/>
  </r>
  <r>
    <x v="179"/>
    <s v="Kelly, Smith and Perez"/>
    <s v="Clothing"/>
    <n v="1"/>
    <n v="669.53"/>
    <n v="0.2"/>
    <n v="535.62400000000002"/>
    <x v="0"/>
  </r>
  <r>
    <x v="22"/>
    <s v="Cook Inc"/>
    <s v="Beauty"/>
    <n v="3"/>
    <n v="843.44"/>
    <n v="0.22"/>
    <n v="1973.6496"/>
    <x v="0"/>
  </r>
  <r>
    <x v="296"/>
    <s v="Cook Inc"/>
    <s v="Beauty"/>
    <n v="3"/>
    <n v="469.33"/>
    <n v="0.14000000000000001"/>
    <n v="1210.8714"/>
    <x v="2"/>
  </r>
  <r>
    <x v="59"/>
    <s v="Byrd, Stewart and Valdez"/>
    <s v="Electronics"/>
    <n v="1"/>
    <n v="301.24"/>
    <n v="0.11"/>
    <n v="268.10359999999997"/>
    <x v="2"/>
  </r>
  <r>
    <x v="418"/>
    <s v="Byrd, Stewart and Valdez"/>
    <s v="Electronics"/>
    <n v="4"/>
    <n v="395.45"/>
    <n v="0.01"/>
    <n v="1565.982"/>
    <x v="0"/>
  </r>
  <r>
    <x v="153"/>
    <s v="Byrd, Stewart and Valdez"/>
    <s v="Electronics"/>
    <n v="1"/>
    <n v="345.06"/>
    <n v="0.13"/>
    <n v="300.2022"/>
    <x v="1"/>
  </r>
  <r>
    <x v="306"/>
    <s v="Sullivan and Sons"/>
    <s v="Beauty"/>
    <n v="4"/>
    <n v="829.36"/>
    <n v="0.11"/>
    <n v="2952.5216"/>
    <x v="2"/>
  </r>
  <r>
    <x v="391"/>
    <s v="Baldwin, Garza and Gonzalez"/>
    <s v="Clothing"/>
    <n v="4"/>
    <n v="796.89"/>
    <n v="0.17"/>
    <n v="2645.6747999999998"/>
    <x v="0"/>
  </r>
  <r>
    <x v="129"/>
    <s v="Smith-King"/>
    <s v="Sports"/>
    <n v="1"/>
    <n v="823.26"/>
    <n v="0.27"/>
    <n v="600.97979999999995"/>
    <x v="1"/>
  </r>
  <r>
    <x v="429"/>
    <s v="Smith-King"/>
    <s v="Sports"/>
    <n v="4"/>
    <n v="694.61"/>
    <n v="0.18"/>
    <n v="2278.3208"/>
    <x v="1"/>
  </r>
  <r>
    <x v="254"/>
    <s v="Smith-King"/>
    <s v="Sports"/>
    <n v="1"/>
    <n v="88.92"/>
    <n v="0.19"/>
    <n v="72.025200000000012"/>
    <x v="2"/>
  </r>
  <r>
    <x v="76"/>
    <s v="Hamilton, Woods and Walker"/>
    <s v="Clothing"/>
    <n v="4"/>
    <n v="456.32"/>
    <n v="0.22"/>
    <n v="1423.7184"/>
    <x v="1"/>
  </r>
  <r>
    <x v="170"/>
    <s v="Atkinson, Camacho and Oliver"/>
    <s v="Sports"/>
    <n v="3"/>
    <n v="878.62"/>
    <n v="0.05"/>
    <n v="2504.067"/>
    <x v="2"/>
  </r>
  <r>
    <x v="108"/>
    <s v="Cline-Mccarthy"/>
    <s v="Beauty"/>
    <n v="2"/>
    <n v="64.7"/>
    <n v="0"/>
    <n v="129.4"/>
    <x v="0"/>
  </r>
  <r>
    <x v="439"/>
    <s v="Cline-Mccarthy"/>
    <s v="Beauty"/>
    <n v="2"/>
    <n v="909.51"/>
    <n v="0.27"/>
    <n v="1327.8846000000001"/>
    <x v="0"/>
  </r>
  <r>
    <x v="315"/>
    <s v="Davidson PLC"/>
    <s v="Beauty"/>
    <n v="4"/>
    <n v="254.94"/>
    <n v="0.06"/>
    <n v="958.57439999999997"/>
    <x v="2"/>
  </r>
  <r>
    <x v="84"/>
    <s v="Murray, Gould and Ware"/>
    <s v="Electronics"/>
    <n v="4"/>
    <n v="111.66"/>
    <n v="0.14000000000000001"/>
    <n v="384.11040000000003"/>
    <x v="0"/>
  </r>
  <r>
    <x v="205"/>
    <s v="Murray, Gould and Ware"/>
    <s v="Electronics"/>
    <n v="1"/>
    <n v="195.24"/>
    <n v="0.27"/>
    <n v="142.52520000000001"/>
    <x v="2"/>
  </r>
  <r>
    <x v="451"/>
    <s v="Anderson-Riley"/>
    <s v="Beauty"/>
    <n v="4"/>
    <n v="282.48"/>
    <n v="0.11"/>
    <n v="1005.6288"/>
    <x v="2"/>
  </r>
  <r>
    <x v="352"/>
    <s v="Zhang Inc"/>
    <s v="Beauty"/>
    <n v="2"/>
    <n v="138.41"/>
    <n v="0.02"/>
    <n v="271.28359999999998"/>
    <x v="0"/>
  </r>
  <r>
    <x v="452"/>
    <s v="Zhang Inc"/>
    <s v="Beauty"/>
    <n v="4"/>
    <n v="950.21"/>
    <n v="0.27"/>
    <n v="2774.6131999999998"/>
    <x v="1"/>
  </r>
  <r>
    <x v="181"/>
    <s v="Zhang Inc"/>
    <s v="Beauty"/>
    <n v="4"/>
    <n v="838.99"/>
    <n v="0.16"/>
    <n v="2819.0064000000002"/>
    <x v="0"/>
  </r>
  <r>
    <x v="167"/>
    <s v="Zhang Inc"/>
    <s v="Beauty"/>
    <n v="1"/>
    <n v="644.15"/>
    <n v="0.06"/>
    <n v="605.50099999999998"/>
    <x v="0"/>
  </r>
  <r>
    <x v="99"/>
    <s v="Zhang Inc"/>
    <s v="Beauty"/>
    <n v="2"/>
    <n v="552.72"/>
    <n v="0.06"/>
    <n v="1039.1135999999999"/>
    <x v="2"/>
  </r>
  <r>
    <x v="293"/>
    <s v="Torres, Spencer and Potter"/>
    <s v="Beauty"/>
    <n v="1"/>
    <n v="743.55"/>
    <n v="0.11"/>
    <n v="661.7595"/>
    <x v="1"/>
  </r>
  <r>
    <x v="453"/>
    <s v="Wolfe, Ross and Hester"/>
    <s v="Home"/>
    <n v="3"/>
    <n v="901.49"/>
    <n v="0"/>
    <n v="2704.47"/>
    <x v="0"/>
  </r>
  <r>
    <x v="344"/>
    <s v="Wolfe, Ross and Hester"/>
    <s v="Home"/>
    <n v="3"/>
    <n v="212.72"/>
    <n v="0.22"/>
    <n v="497.76479999999998"/>
    <x v="2"/>
  </r>
  <r>
    <x v="454"/>
    <s v="Fitzpatrick Ltd"/>
    <s v="Clothing"/>
    <n v="1"/>
    <n v="564.1"/>
    <n v="0.03"/>
    <n v="547.17700000000002"/>
    <x v="0"/>
  </r>
  <r>
    <x v="388"/>
    <s v="Hopkins Ltd"/>
    <s v="Beauty"/>
    <n v="3"/>
    <n v="769.62"/>
    <n v="0.09"/>
    <n v="2101.0626000000002"/>
    <x v="2"/>
  </r>
  <r>
    <x v="292"/>
    <s v="Davis PLC"/>
    <s v="Sports"/>
    <n v="3"/>
    <n v="480.51"/>
    <n v="0.03"/>
    <n v="1398.2841000000001"/>
    <x v="0"/>
  </r>
  <r>
    <x v="164"/>
    <s v="Davis PLC"/>
    <s v="Sports"/>
    <n v="2"/>
    <n v="245.52"/>
    <n v="0.11"/>
    <n v="437.0256"/>
    <x v="1"/>
  </r>
  <r>
    <x v="271"/>
    <s v="French Ltd"/>
    <s v="Sports"/>
    <n v="2"/>
    <n v="934"/>
    <n v="0.3"/>
    <n v="1307.5999999999999"/>
    <x v="1"/>
  </r>
  <r>
    <x v="189"/>
    <s v="Poole PLC"/>
    <s v="Clothing"/>
    <n v="2"/>
    <n v="541.52"/>
    <n v="0.26"/>
    <n v="801.44959999999992"/>
    <x v="2"/>
  </r>
  <r>
    <x v="38"/>
    <s v="Larson Ltd"/>
    <s v="Electronics"/>
    <n v="4"/>
    <n v="402.11"/>
    <n v="0.14000000000000001"/>
    <n v="1383.2583999999999"/>
    <x v="2"/>
  </r>
  <r>
    <x v="3"/>
    <s v="Larson Ltd"/>
    <s v="Electronics"/>
    <n v="4"/>
    <n v="934.79"/>
    <n v="0.08"/>
    <n v="3440.0272"/>
    <x v="2"/>
  </r>
  <r>
    <x v="455"/>
    <s v="White, Reeves and Woods"/>
    <s v="Electronics"/>
    <n v="2"/>
    <n v="257.45"/>
    <n v="0"/>
    <n v="514.9"/>
    <x v="1"/>
  </r>
  <r>
    <x v="346"/>
    <s v="White, Reeves and Woods"/>
    <s v="Electronics"/>
    <n v="4"/>
    <n v="814.25"/>
    <n v="0.18"/>
    <n v="2670.74"/>
    <x v="0"/>
  </r>
  <r>
    <x v="171"/>
    <s v="Hernandez Inc"/>
    <s v="Home"/>
    <n v="1"/>
    <n v="575.66"/>
    <n v="0.03"/>
    <n v="558.39019999999994"/>
    <x v="2"/>
  </r>
  <r>
    <x v="235"/>
    <s v="Ramirez-Hanson"/>
    <s v="Home"/>
    <n v="3"/>
    <n v="448.55"/>
    <n v="0.05"/>
    <n v="1278.3675000000001"/>
    <x v="0"/>
  </r>
  <r>
    <x v="423"/>
    <s v="Ramirez-Hanson"/>
    <s v="Home"/>
    <n v="1"/>
    <n v="462.23"/>
    <n v="0.3"/>
    <n v="323.56099999999998"/>
    <x v="2"/>
  </r>
  <r>
    <x v="291"/>
    <s v="Allison Ltd"/>
    <s v="Home"/>
    <n v="4"/>
    <n v="741.51"/>
    <n v="0.09"/>
    <n v="2699.0963999999999"/>
    <x v="1"/>
  </r>
  <r>
    <x v="53"/>
    <s v="Allison Ltd"/>
    <s v="Home"/>
    <n v="2"/>
    <n v="111.28"/>
    <n v="0.14000000000000001"/>
    <n v="191.4016"/>
    <x v="0"/>
  </r>
  <r>
    <x v="161"/>
    <s v="Allison Ltd"/>
    <s v="Home"/>
    <n v="4"/>
    <n v="806.99"/>
    <n v="0.06"/>
    <n v="3034.2824000000001"/>
    <x v="0"/>
  </r>
  <r>
    <x v="3"/>
    <s v="Aguilar, Horton and Lewis"/>
    <s v="Home"/>
    <n v="2"/>
    <n v="121.52"/>
    <n v="0.18"/>
    <n v="199.2928"/>
    <x v="1"/>
  </r>
  <r>
    <x v="74"/>
    <s v="Olsen-Daniels"/>
    <s v="Sports"/>
    <n v="2"/>
    <n v="994.32"/>
    <n v="0.27"/>
    <n v="1451.7072000000001"/>
    <x v="2"/>
  </r>
  <r>
    <x v="263"/>
    <s v="Olsen-Daniels"/>
    <s v="Sports"/>
    <n v="2"/>
    <n v="898.45"/>
    <n v="0.28999999999999998"/>
    <n v="1275.799"/>
    <x v="1"/>
  </r>
  <r>
    <x v="99"/>
    <s v="Olsen-Daniels"/>
    <s v="Sports"/>
    <n v="3"/>
    <n v="691.02"/>
    <n v="0.12"/>
    <n v="1824.2927999999999"/>
    <x v="1"/>
  </r>
  <r>
    <x v="246"/>
    <s v="Taylor-Elliott"/>
    <s v="Beauty"/>
    <n v="3"/>
    <n v="21.59"/>
    <n v="0.16"/>
    <n v="54.406799999999997"/>
    <x v="1"/>
  </r>
  <r>
    <x v="456"/>
    <s v="Taylor-Elliott"/>
    <s v="Beauty"/>
    <n v="4"/>
    <n v="753.83"/>
    <n v="0.24"/>
    <n v="2291.6432"/>
    <x v="0"/>
  </r>
  <r>
    <x v="457"/>
    <s v="Hill PLC"/>
    <s v="Sports"/>
    <n v="2"/>
    <n v="823.03"/>
    <n v="0.18"/>
    <n v="1349.7692"/>
    <x v="2"/>
  </r>
  <r>
    <x v="255"/>
    <s v="Hill PLC"/>
    <s v="Sports"/>
    <n v="1"/>
    <n v="312.91000000000003"/>
    <n v="0.12"/>
    <n v="275.36079999999998"/>
    <x v="2"/>
  </r>
  <r>
    <x v="322"/>
    <s v="Phillips and Sons"/>
    <s v="Clothing"/>
    <n v="2"/>
    <n v="939.66"/>
    <n v="0.14000000000000001"/>
    <n v="1616.2152000000001"/>
    <x v="2"/>
  </r>
  <r>
    <x v="290"/>
    <s v="Phillips and Sons"/>
    <s v="Clothing"/>
    <n v="3"/>
    <n v="583.52"/>
    <n v="7.0000000000000007E-2"/>
    <n v="1628.0208"/>
    <x v="2"/>
  </r>
  <r>
    <x v="386"/>
    <s v="Phillips and Sons"/>
    <s v="Clothing"/>
    <n v="4"/>
    <n v="827.09"/>
    <n v="0.3"/>
    <n v="2315.8519999999999"/>
    <x v="0"/>
  </r>
  <r>
    <x v="338"/>
    <s v="Flores-King"/>
    <s v="Electronics"/>
    <n v="1"/>
    <n v="176.84"/>
    <n v="0.19"/>
    <n v="143.24039999999999"/>
    <x v="0"/>
  </r>
  <r>
    <x v="222"/>
    <s v="Campbell Ltd"/>
    <s v="Home"/>
    <n v="1"/>
    <n v="716.29"/>
    <n v="0.01"/>
    <n v="709.12709999999993"/>
    <x v="2"/>
  </r>
  <r>
    <x v="225"/>
    <s v="Campbell Ltd"/>
    <s v="Home"/>
    <n v="1"/>
    <n v="848.69"/>
    <n v="0.04"/>
    <n v="814.74239999999998"/>
    <x v="1"/>
  </r>
  <r>
    <x v="295"/>
    <s v="Campbell Ltd"/>
    <s v="Home"/>
    <n v="1"/>
    <n v="71.709999999999994"/>
    <n v="0.23"/>
    <n v="55.216700000000003"/>
    <x v="1"/>
  </r>
  <r>
    <x v="357"/>
    <s v="Hunt Inc"/>
    <s v="Electronics"/>
    <n v="2"/>
    <n v="374.42"/>
    <n v="0.21"/>
    <n v="591.58360000000005"/>
    <x v="1"/>
  </r>
  <r>
    <x v="126"/>
    <s v="Hunt Inc"/>
    <s v="Electronics"/>
    <n v="1"/>
    <n v="140.24"/>
    <n v="0.27"/>
    <n v="102.37520000000001"/>
    <x v="0"/>
  </r>
  <r>
    <x v="14"/>
    <s v="Terry-Moore"/>
    <s v="Clothing"/>
    <n v="1"/>
    <n v="94.26"/>
    <n v="0.18"/>
    <n v="77.293200000000013"/>
    <x v="2"/>
  </r>
  <r>
    <x v="378"/>
    <s v="Terry-Moore"/>
    <s v="Clothing"/>
    <n v="2"/>
    <n v="99.04"/>
    <n v="0.26"/>
    <n v="146.57919999999999"/>
    <x v="1"/>
  </r>
  <r>
    <x v="199"/>
    <s v="Hamilton Group"/>
    <s v="Home"/>
    <n v="3"/>
    <n v="900.63"/>
    <n v="0.11"/>
    <n v="2404.6821"/>
    <x v="1"/>
  </r>
  <r>
    <x v="272"/>
    <s v="Gibson, Hobbs and Weaver"/>
    <s v="Electronics"/>
    <n v="1"/>
    <n v="499.46"/>
    <n v="0.1"/>
    <n v="449.51400000000001"/>
    <x v="0"/>
  </r>
  <r>
    <x v="214"/>
    <s v="Gibson, Hobbs and Weaver"/>
    <s v="Electronics"/>
    <n v="3"/>
    <n v="250.14"/>
    <n v="0.23"/>
    <n v="577.82339999999999"/>
    <x v="2"/>
  </r>
  <r>
    <x v="74"/>
    <s v="Dawson-Perkins"/>
    <s v="Electronics"/>
    <n v="3"/>
    <n v="162.16999999999999"/>
    <n v="0.15"/>
    <n v="413.5335"/>
    <x v="2"/>
  </r>
  <r>
    <x v="458"/>
    <s v="Dawson-Perkins"/>
    <s v="Electronics"/>
    <n v="3"/>
    <n v="706.87"/>
    <n v="0.27"/>
    <n v="1548.0453"/>
    <x v="0"/>
  </r>
  <r>
    <x v="409"/>
    <s v="Dawson-Perkins"/>
    <s v="Electronics"/>
    <n v="2"/>
    <n v="183.85"/>
    <n v="0.14000000000000001"/>
    <n v="316.22199999999998"/>
    <x v="2"/>
  </r>
  <r>
    <x v="281"/>
    <s v="Luna, Anderson and Bowman"/>
    <s v="Home"/>
    <n v="2"/>
    <n v="44.35"/>
    <n v="0.2"/>
    <n v="70.960000000000008"/>
    <x v="1"/>
  </r>
  <r>
    <x v="330"/>
    <s v="Thomas LLC"/>
    <s v="Electronics"/>
    <n v="4"/>
    <n v="243.92"/>
    <n v="0.02"/>
    <n v="956.16639999999995"/>
    <x v="2"/>
  </r>
  <r>
    <x v="183"/>
    <s v="Thomas LLC"/>
    <s v="Electronics"/>
    <n v="4"/>
    <n v="921.83"/>
    <n v="0.27"/>
    <n v="2691.7435999999998"/>
    <x v="0"/>
  </r>
  <r>
    <x v="437"/>
    <s v="Erickson-Green"/>
    <s v="Beauty"/>
    <n v="4"/>
    <n v="109.36"/>
    <n v="0.19"/>
    <n v="354.32639999999998"/>
    <x v="1"/>
  </r>
  <r>
    <x v="192"/>
    <s v="Ford, Murphy and Wilson"/>
    <s v="Sports"/>
    <n v="1"/>
    <n v="942.38"/>
    <n v="0.17"/>
    <n v="782.17539999999997"/>
    <x v="0"/>
  </r>
  <r>
    <x v="159"/>
    <s v="Guerra-Hendrix"/>
    <s v="Clothing"/>
    <n v="2"/>
    <n v="603.62"/>
    <n v="0.18"/>
    <n v="989.93680000000006"/>
    <x v="1"/>
  </r>
  <r>
    <x v="352"/>
    <s v="Guerra-Hendrix"/>
    <s v="Clothing"/>
    <n v="2"/>
    <n v="382.2"/>
    <n v="0.15"/>
    <n v="649.74"/>
    <x v="0"/>
  </r>
  <r>
    <x v="154"/>
    <s v="May-Reese"/>
    <s v="Sports"/>
    <n v="1"/>
    <n v="270.45"/>
    <n v="0.15"/>
    <n v="229.88249999999999"/>
    <x v="1"/>
  </r>
  <r>
    <x v="65"/>
    <s v="Sims Inc"/>
    <s v="Clothing"/>
    <n v="4"/>
    <n v="591.9"/>
    <n v="0.2"/>
    <n v="1894.08"/>
    <x v="2"/>
  </r>
  <r>
    <x v="270"/>
    <s v="Soto-Ellis"/>
    <s v="Sports"/>
    <n v="3"/>
    <n v="899.58"/>
    <n v="0.28000000000000003"/>
    <n v="1943.0927999999999"/>
    <x v="2"/>
  </r>
  <r>
    <x v="327"/>
    <s v="Soto-Ellis"/>
    <s v="Sports"/>
    <n v="4"/>
    <n v="176.13"/>
    <n v="0.27"/>
    <n v="514.29959999999994"/>
    <x v="2"/>
  </r>
  <r>
    <x v="267"/>
    <s v="Moon, Mora and Santos"/>
    <s v="Clothing"/>
    <n v="3"/>
    <n v="610.24"/>
    <n v="0.17"/>
    <n v="1519.4975999999999"/>
    <x v="1"/>
  </r>
  <r>
    <x v="153"/>
    <s v="Cook Ltd"/>
    <s v="Sports"/>
    <n v="1"/>
    <n v="387.99"/>
    <n v="0.3"/>
    <n v="271.59300000000002"/>
    <x v="0"/>
  </r>
  <r>
    <x v="377"/>
    <s v="Brown and Sons"/>
    <s v="Clothing"/>
    <n v="3"/>
    <n v="247.66"/>
    <n v="0.02"/>
    <n v="728.12040000000002"/>
    <x v="1"/>
  </r>
  <r>
    <x v="439"/>
    <s v="Khan, Jones and Paul"/>
    <s v="Home"/>
    <n v="3"/>
    <n v="530.16999999999996"/>
    <n v="0.18"/>
    <n v="1304.2182"/>
    <x v="2"/>
  </r>
  <r>
    <x v="176"/>
    <s v="Khan, Jones and Paul"/>
    <s v="Home"/>
    <n v="3"/>
    <n v="523.45000000000005"/>
    <n v="0.17"/>
    <n v="1303.3905"/>
    <x v="0"/>
  </r>
  <r>
    <x v="368"/>
    <s v="Burns-Hansen"/>
    <s v="Sports"/>
    <n v="4"/>
    <n v="566.09"/>
    <n v="0.28000000000000003"/>
    <n v="1630.3391999999999"/>
    <x v="1"/>
  </r>
  <r>
    <x v="411"/>
    <s v="Pineda Ltd"/>
    <s v="Clothing"/>
    <n v="3"/>
    <n v="728.32"/>
    <n v="0.01"/>
    <n v="2163.1104"/>
    <x v="0"/>
  </r>
  <r>
    <x v="46"/>
    <s v="Pineda Ltd"/>
    <s v="Clothing"/>
    <n v="3"/>
    <n v="751.94"/>
    <n v="0.26"/>
    <n v="1669.3068000000001"/>
    <x v="2"/>
  </r>
  <r>
    <x v="198"/>
    <s v="Stevens, Fernandez and Martin"/>
    <s v="Home"/>
    <n v="2"/>
    <n v="379.28"/>
    <n v="0.26"/>
    <n v="561.33439999999996"/>
    <x v="0"/>
  </r>
  <r>
    <x v="115"/>
    <s v="Nolan-Snow"/>
    <s v="Sports"/>
    <n v="1"/>
    <n v="36.799999999999997"/>
    <n v="0.18"/>
    <n v="30.175999999999998"/>
    <x v="0"/>
  </r>
  <r>
    <x v="242"/>
    <s v="Griffin Ltd"/>
    <s v="Beauty"/>
    <n v="2"/>
    <n v="732.67"/>
    <n v="0.24"/>
    <n v="1113.6584"/>
    <x v="2"/>
  </r>
  <r>
    <x v="42"/>
    <s v="Weiss-Watson"/>
    <s v="Home"/>
    <n v="4"/>
    <n v="695.97"/>
    <n v="0.02"/>
    <n v="2728.2024000000001"/>
    <x v="0"/>
  </r>
  <r>
    <x v="431"/>
    <s v="Lucero LLC"/>
    <s v="Electronics"/>
    <n v="3"/>
    <n v="35.159999999999997"/>
    <n v="0.04"/>
    <n v="101.2608"/>
    <x v="1"/>
  </r>
  <r>
    <x v="100"/>
    <s v="Hogan-Lee"/>
    <s v="Clothing"/>
    <n v="3"/>
    <n v="361.11"/>
    <n v="0.06"/>
    <n v="1018.3302"/>
    <x v="0"/>
  </r>
  <r>
    <x v="203"/>
    <s v="Sims-Smith"/>
    <s v="Sports"/>
    <n v="4"/>
    <n v="247.55"/>
    <n v="0.05"/>
    <n v="940.69"/>
    <x v="0"/>
  </r>
  <r>
    <x v="320"/>
    <s v="Cummings and Sons"/>
    <s v="Electronics"/>
    <n v="3"/>
    <n v="717.81"/>
    <n v="0.17"/>
    <n v="1787.3469"/>
    <x v="1"/>
  </r>
  <r>
    <x v="300"/>
    <s v="Gonzales-Davis"/>
    <s v="Clothing"/>
    <n v="1"/>
    <n v="492.05"/>
    <n v="0.27"/>
    <n v="359.19650000000001"/>
    <x v="0"/>
  </r>
  <r>
    <x v="459"/>
    <s v="Gonzales-Davis"/>
    <s v="Clothing"/>
    <n v="3"/>
    <n v="698.14"/>
    <n v="0.04"/>
    <n v="2010.6432"/>
    <x v="2"/>
  </r>
  <r>
    <x v="340"/>
    <s v="Gonzales-Davis"/>
    <s v="Clothing"/>
    <n v="3"/>
    <n v="620.22"/>
    <n v="0.04"/>
    <n v="1786.2336"/>
    <x v="0"/>
  </r>
  <r>
    <x v="405"/>
    <s v="Carroll, Long and Mendoza"/>
    <s v="Sports"/>
    <n v="3"/>
    <n v="482.58"/>
    <n v="0.28000000000000003"/>
    <n v="1042.3728000000001"/>
    <x v="2"/>
  </r>
  <r>
    <x v="237"/>
    <s v="Carroll, Long and Mendoza"/>
    <s v="Sports"/>
    <n v="3"/>
    <n v="239.54"/>
    <n v="0.28999999999999998"/>
    <n v="510.22019999999998"/>
    <x v="1"/>
  </r>
  <r>
    <x v="29"/>
    <s v="Holmes LLC"/>
    <s v="Electronics"/>
    <n v="3"/>
    <n v="41.97"/>
    <n v="0.03"/>
    <n v="122.1327"/>
    <x v="1"/>
  </r>
  <r>
    <x v="199"/>
    <s v="Robinson Inc"/>
    <s v="Electronics"/>
    <n v="2"/>
    <n v="521.44000000000005"/>
    <n v="0.25"/>
    <n v="782.16000000000008"/>
    <x v="1"/>
  </r>
  <r>
    <x v="265"/>
    <s v="Cox Inc"/>
    <s v="Sports"/>
    <n v="4"/>
    <n v="530.45000000000005"/>
    <n v="0.13"/>
    <n v="1845.9659999999999"/>
    <x v="0"/>
  </r>
  <r>
    <x v="394"/>
    <s v="Cox Inc"/>
    <s v="Sports"/>
    <n v="1"/>
    <n v="793.21"/>
    <n v="0.09"/>
    <n v="721.8211"/>
    <x v="0"/>
  </r>
  <r>
    <x v="267"/>
    <s v="Kelly, Smith and Perez"/>
    <s v="Clothing"/>
    <n v="1"/>
    <n v="547.09"/>
    <n v="0.01"/>
    <n v="541.6191"/>
    <x v="2"/>
  </r>
  <r>
    <x v="263"/>
    <s v="Kelly, Smith and Perez"/>
    <s v="Clothing"/>
    <n v="4"/>
    <n v="608.97"/>
    <n v="0.14000000000000001"/>
    <n v="2094.8568"/>
    <x v="1"/>
  </r>
  <r>
    <x v="432"/>
    <s v="Kelly, Smith and Perez"/>
    <s v="Clothing"/>
    <n v="1"/>
    <n v="580.76"/>
    <n v="0.1"/>
    <n v="522.68399999999997"/>
    <x v="1"/>
  </r>
  <r>
    <x v="324"/>
    <s v="Cook Inc"/>
    <s v="Beauty"/>
    <n v="1"/>
    <n v="169.69"/>
    <n v="0.22"/>
    <n v="132.35820000000001"/>
    <x v="0"/>
  </r>
  <r>
    <x v="136"/>
    <s v="Baldwin, Garza and Gonzalez"/>
    <s v="Clothing"/>
    <n v="4"/>
    <n v="852.71"/>
    <n v="0.14000000000000001"/>
    <n v="2933.3224"/>
    <x v="2"/>
  </r>
  <r>
    <x v="356"/>
    <s v="Smith-King"/>
    <s v="Sports"/>
    <n v="3"/>
    <n v="721.94"/>
    <n v="0.26"/>
    <n v="1602.7067999999999"/>
    <x v="0"/>
  </r>
  <r>
    <x v="194"/>
    <s v="Smith-King"/>
    <s v="Sports"/>
    <n v="2"/>
    <n v="85.23"/>
    <n v="0.13"/>
    <n v="148.30019999999999"/>
    <x v="0"/>
  </r>
  <r>
    <x v="122"/>
    <s v="Harris Inc"/>
    <s v="Sports"/>
    <n v="4"/>
    <n v="212.75"/>
    <n v="0.11"/>
    <n v="757.39"/>
    <x v="1"/>
  </r>
  <r>
    <x v="294"/>
    <s v="Thompson-French"/>
    <s v="Sports"/>
    <n v="3"/>
    <n v="261.05"/>
    <n v="0.12"/>
    <n v="689.17200000000014"/>
    <x v="2"/>
  </r>
  <r>
    <x v="399"/>
    <s v="Thompson-French"/>
    <s v="Sports"/>
    <n v="3"/>
    <n v="541.99"/>
    <n v="0.24"/>
    <n v="1235.7372"/>
    <x v="1"/>
  </r>
  <r>
    <x v="460"/>
    <s v="Thompson-French"/>
    <s v="Sports"/>
    <n v="3"/>
    <n v="477.05"/>
    <n v="0.05"/>
    <n v="1359.5925"/>
    <x v="2"/>
  </r>
  <r>
    <x v="112"/>
    <s v="Thompson-French"/>
    <s v="Sports"/>
    <n v="3"/>
    <n v="582.57000000000005"/>
    <n v="0.11"/>
    <n v="1555.4619"/>
    <x v="2"/>
  </r>
  <r>
    <x v="30"/>
    <s v="Hernandez, Kennedy and Porter"/>
    <s v="Home"/>
    <n v="3"/>
    <n v="579.26"/>
    <n v="0.19"/>
    <n v="1407.6017999999999"/>
    <x v="0"/>
  </r>
  <r>
    <x v="346"/>
    <s v="Hernandez, Kennedy and Porter"/>
    <s v="Home"/>
    <n v="1"/>
    <n v="862.31"/>
    <n v="0.06"/>
    <n v="810.57139999999993"/>
    <x v="0"/>
  </r>
  <r>
    <x v="109"/>
    <s v="Atkinson, Camacho and Oliver"/>
    <s v="Sports"/>
    <n v="4"/>
    <n v="995.55"/>
    <n v="0.19"/>
    <n v="3225.5819999999999"/>
    <x v="2"/>
  </r>
  <r>
    <x v="220"/>
    <s v="Atkinson, Camacho and Oliver"/>
    <s v="Sports"/>
    <n v="1"/>
    <n v="38.950000000000003"/>
    <n v="0.28000000000000003"/>
    <n v="28.044"/>
    <x v="0"/>
  </r>
  <r>
    <x v="5"/>
    <s v="Atkinson, Camacho and Oliver"/>
    <s v="Sports"/>
    <n v="2"/>
    <n v="422.13"/>
    <n v="0.28000000000000003"/>
    <n v="607.86720000000003"/>
    <x v="0"/>
  </r>
  <r>
    <x v="376"/>
    <s v="Shepherd-Gould"/>
    <s v="Clothing"/>
    <n v="2"/>
    <n v="250.83"/>
    <n v="0.15"/>
    <n v="426.411"/>
    <x v="2"/>
  </r>
  <r>
    <x v="345"/>
    <s v="Shepherd-Gould"/>
    <s v="Clothing"/>
    <n v="4"/>
    <n v="348.58"/>
    <n v="0.16"/>
    <n v="1171.2288000000001"/>
    <x v="0"/>
  </r>
  <r>
    <x v="292"/>
    <s v="Cline-Mccarthy"/>
    <s v="Beauty"/>
    <n v="1"/>
    <n v="913.99"/>
    <n v="0.14000000000000001"/>
    <n v="786.03139999999996"/>
    <x v="0"/>
  </r>
  <r>
    <x v="239"/>
    <s v="Davidson PLC"/>
    <s v="Beauty"/>
    <n v="2"/>
    <n v="42.51"/>
    <n v="0.04"/>
    <n v="81.619199999999992"/>
    <x v="1"/>
  </r>
  <r>
    <x v="266"/>
    <s v="Lopez LLC"/>
    <s v="Sports"/>
    <n v="4"/>
    <n v="585.04"/>
    <n v="0.22"/>
    <n v="1825.3248000000001"/>
    <x v="2"/>
  </r>
  <r>
    <x v="150"/>
    <s v="Anderson-Riley"/>
    <s v="Beauty"/>
    <n v="3"/>
    <n v="142.83000000000001"/>
    <n v="0.01"/>
    <n v="424.20510000000002"/>
    <x v="0"/>
  </r>
  <r>
    <x v="456"/>
    <s v="Anderson-Riley"/>
    <s v="Beauty"/>
    <n v="2"/>
    <n v="975.72"/>
    <n v="0.16"/>
    <n v="1639.2095999999999"/>
    <x v="1"/>
  </r>
  <r>
    <x v="293"/>
    <s v="Anderson-Riley"/>
    <s v="Beauty"/>
    <n v="3"/>
    <n v="476.78"/>
    <n v="0.09"/>
    <n v="1301.6094000000001"/>
    <x v="1"/>
  </r>
  <r>
    <x v="424"/>
    <s v="Zhang Inc"/>
    <s v="Beauty"/>
    <n v="2"/>
    <n v="492.62"/>
    <n v="0.26"/>
    <n v="729.07759999999996"/>
    <x v="1"/>
  </r>
  <r>
    <x v="461"/>
    <s v="Montgomery, Benton and Miller"/>
    <s v="Sports"/>
    <n v="4"/>
    <n v="269.49"/>
    <n v="7.0000000000000007E-2"/>
    <n v="1002.5028"/>
    <x v="2"/>
  </r>
  <r>
    <x v="124"/>
    <s v="Montgomery, Benton and Miller"/>
    <s v="Sports"/>
    <n v="3"/>
    <n v="345.58"/>
    <n v="0.22"/>
    <n v="808.65719999999999"/>
    <x v="0"/>
  </r>
  <r>
    <x v="86"/>
    <s v="Montgomery, Benton and Miller"/>
    <s v="Sports"/>
    <n v="3"/>
    <n v="258.06"/>
    <n v="0"/>
    <n v="774.18000000000006"/>
    <x v="2"/>
  </r>
  <r>
    <x v="50"/>
    <s v="Torres, Spencer and Potter"/>
    <s v="Beauty"/>
    <n v="1"/>
    <n v="997.87"/>
    <n v="0.24"/>
    <n v="758.38120000000004"/>
    <x v="0"/>
  </r>
  <r>
    <x v="15"/>
    <s v="Torres, Spencer and Potter"/>
    <s v="Beauty"/>
    <n v="1"/>
    <n v="984.6"/>
    <n v="0.22"/>
    <n v="767.98800000000006"/>
    <x v="0"/>
  </r>
  <r>
    <x v="1"/>
    <s v="Wolfe, Ross and Hester"/>
    <s v="Home"/>
    <n v="2"/>
    <n v="894.58"/>
    <n v="0.25"/>
    <n v="1341.87"/>
    <x v="0"/>
  </r>
  <r>
    <x v="420"/>
    <s v="Hopkins Ltd"/>
    <s v="Beauty"/>
    <n v="4"/>
    <n v="770.65"/>
    <n v="0.27"/>
    <n v="2250.2979999999998"/>
    <x v="0"/>
  </r>
  <r>
    <x v="462"/>
    <s v="French Ltd"/>
    <s v="Sports"/>
    <n v="1"/>
    <n v="24.13"/>
    <n v="0"/>
    <n v="24.13"/>
    <x v="0"/>
  </r>
  <r>
    <x v="388"/>
    <s v="Bruce-Bowen"/>
    <s v="Electronics"/>
    <n v="3"/>
    <n v="220.51"/>
    <n v="0.02"/>
    <n v="648.29939999999999"/>
    <x v="2"/>
  </r>
  <r>
    <x v="139"/>
    <s v="Bruce-Bowen"/>
    <s v="Electronics"/>
    <n v="1"/>
    <n v="492"/>
    <n v="0.26"/>
    <n v="364.08"/>
    <x v="2"/>
  </r>
  <r>
    <x v="173"/>
    <s v="Poole PLC"/>
    <s v="Clothing"/>
    <n v="2"/>
    <n v="848.98"/>
    <n v="0.04"/>
    <n v="1630.0416"/>
    <x v="2"/>
  </r>
  <r>
    <x v="164"/>
    <s v="Larson Ltd"/>
    <s v="Electronics"/>
    <n v="4"/>
    <n v="849.29"/>
    <n v="0.26"/>
    <n v="2513.8984"/>
    <x v="0"/>
  </r>
  <r>
    <x v="410"/>
    <s v="White, Reeves and Woods"/>
    <s v="Electronics"/>
    <n v="2"/>
    <n v="548.29999999999995"/>
    <n v="0.23"/>
    <n v="844.38199999999995"/>
    <x v="0"/>
  </r>
  <r>
    <x v="200"/>
    <s v="Hernandez Inc"/>
    <s v="Home"/>
    <n v="4"/>
    <n v="346.37"/>
    <n v="0.18"/>
    <n v="1136.0935999999999"/>
    <x v="1"/>
  </r>
  <r>
    <x v="216"/>
    <s v="Hernandez Inc"/>
    <s v="Home"/>
    <n v="3"/>
    <n v="461.03"/>
    <n v="0.11"/>
    <n v="1230.9501"/>
    <x v="2"/>
  </r>
  <r>
    <x v="170"/>
    <s v="Hernandez Inc"/>
    <s v="Home"/>
    <n v="2"/>
    <n v="845.27"/>
    <n v="0.18"/>
    <n v="1386.2428"/>
    <x v="2"/>
  </r>
  <r>
    <x v="97"/>
    <s v="Ramirez-Hanson"/>
    <s v="Home"/>
    <n v="3"/>
    <n v="339.41"/>
    <n v="0.26"/>
    <n v="753.49019999999996"/>
    <x v="0"/>
  </r>
  <r>
    <x v="419"/>
    <s v="Ramirez-Hanson"/>
    <s v="Home"/>
    <n v="1"/>
    <n v="127.11"/>
    <n v="0.01"/>
    <n v="125.8389"/>
    <x v="2"/>
  </r>
  <r>
    <x v="75"/>
    <s v="Perez-Johnston"/>
    <s v="Electronics"/>
    <n v="4"/>
    <n v="555.65"/>
    <n v="0.25"/>
    <n v="1666.95"/>
    <x v="1"/>
  </r>
  <r>
    <x v="25"/>
    <s v="Perez-Johnston"/>
    <s v="Electronics"/>
    <n v="4"/>
    <n v="432.29"/>
    <n v="0.16"/>
    <n v="1452.4944"/>
    <x v="1"/>
  </r>
  <r>
    <x v="463"/>
    <s v="Allison Ltd"/>
    <s v="Home"/>
    <n v="4"/>
    <n v="983.98"/>
    <n v="0.11"/>
    <n v="3502.9688000000001"/>
    <x v="1"/>
  </r>
  <r>
    <x v="69"/>
    <s v="Reese-Watson"/>
    <s v="Sports"/>
    <n v="1"/>
    <n v="867.32"/>
    <n v="0.28999999999999998"/>
    <n v="615.79719999999998"/>
    <x v="2"/>
  </r>
  <r>
    <x v="399"/>
    <s v="Reese-Watson"/>
    <s v="Sports"/>
    <n v="3"/>
    <n v="447.69"/>
    <n v="0.02"/>
    <n v="1316.2085999999999"/>
    <x v="1"/>
  </r>
  <r>
    <x v="134"/>
    <s v="Butler Group"/>
    <s v="Beauty"/>
    <n v="1"/>
    <n v="113.07"/>
    <n v="0.24"/>
    <n v="85.933199999999999"/>
    <x v="0"/>
  </r>
  <r>
    <x v="155"/>
    <s v="Richardson-Carrillo"/>
    <s v="Clothing"/>
    <n v="4"/>
    <n v="986.93"/>
    <n v="0.01"/>
    <n v="3908.2428"/>
    <x v="0"/>
  </r>
  <r>
    <x v="81"/>
    <s v="Taylor, Dodson and Johnston"/>
    <s v="Home"/>
    <n v="3"/>
    <n v="413.74"/>
    <n v="0.01"/>
    <n v="1228.8078"/>
    <x v="0"/>
  </r>
  <r>
    <x v="97"/>
    <s v="Olsen-Daniels"/>
    <s v="Sports"/>
    <n v="2"/>
    <n v="403.91"/>
    <n v="7.0000000000000007E-2"/>
    <n v="751.27260000000001"/>
    <x v="0"/>
  </r>
  <r>
    <x v="148"/>
    <s v="Taylor-Elliott"/>
    <s v="Beauty"/>
    <n v="1"/>
    <n v="789.35"/>
    <n v="0.14000000000000001"/>
    <n v="678.84100000000001"/>
    <x v="2"/>
  </r>
  <r>
    <x v="75"/>
    <s v="Sharp, Taylor and Rodriguez"/>
    <s v="Electronics"/>
    <n v="2"/>
    <n v="845.71"/>
    <n v="0.01"/>
    <n v="1674.5057999999999"/>
    <x v="2"/>
  </r>
  <r>
    <x v="464"/>
    <s v="Smith-Charles"/>
    <s v="Clothing"/>
    <n v="2"/>
    <n v="727.18"/>
    <n v="0.22"/>
    <n v="1134.4007999999999"/>
    <x v="2"/>
  </r>
  <r>
    <x v="132"/>
    <s v="Green, Powell and Palmer"/>
    <s v="Home"/>
    <n v="1"/>
    <n v="805.07"/>
    <n v="0.06"/>
    <n v="756.76580000000001"/>
    <x v="1"/>
  </r>
  <r>
    <x v="407"/>
    <s v="Hoffman-Williams"/>
    <s v="Beauty"/>
    <n v="2"/>
    <n v="600.73"/>
    <n v="0.08"/>
    <n v="1105.3432"/>
    <x v="0"/>
  </r>
  <r>
    <x v="216"/>
    <s v="Phillips and Sons"/>
    <s v="Clothing"/>
    <n v="4"/>
    <n v="933.73"/>
    <n v="0.25"/>
    <n v="2801.19"/>
    <x v="2"/>
  </r>
  <r>
    <x v="465"/>
    <s v="Phillips and Sons"/>
    <s v="Clothing"/>
    <n v="2"/>
    <n v="644.97"/>
    <n v="0.24"/>
    <n v="980.35440000000006"/>
    <x v="1"/>
  </r>
  <r>
    <x v="190"/>
    <s v="Phillips and Sons"/>
    <s v="Clothing"/>
    <n v="4"/>
    <n v="723.66"/>
    <n v="0.03"/>
    <n v="2807.8008"/>
    <x v="2"/>
  </r>
  <r>
    <x v="331"/>
    <s v="Khan LLC"/>
    <s v="Sports"/>
    <n v="4"/>
    <n v="360.28"/>
    <n v="0.09"/>
    <n v="1311.4192"/>
    <x v="1"/>
  </r>
  <r>
    <x v="405"/>
    <s v="Khan LLC"/>
    <s v="Sports"/>
    <n v="4"/>
    <n v="44.07"/>
    <n v="0.28999999999999998"/>
    <n v="125.1588"/>
    <x v="1"/>
  </r>
  <r>
    <x v="62"/>
    <s v="Khan LLC"/>
    <s v="Sports"/>
    <n v="1"/>
    <n v="218.04"/>
    <n v="0.09"/>
    <n v="198.41640000000001"/>
    <x v="0"/>
  </r>
  <r>
    <x v="162"/>
    <s v="Flores-King"/>
    <s v="Electronics"/>
    <n v="2"/>
    <n v="481.86"/>
    <n v="0.1"/>
    <n v="867.34800000000007"/>
    <x v="1"/>
  </r>
  <r>
    <x v="28"/>
    <s v="Flores-King"/>
    <s v="Electronics"/>
    <n v="3"/>
    <n v="212.08"/>
    <n v="7.0000000000000007E-2"/>
    <n v="591.70319999999992"/>
    <x v="0"/>
  </r>
  <r>
    <x v="259"/>
    <s v="Campbell Ltd"/>
    <s v="Home"/>
    <n v="3"/>
    <n v="761.88"/>
    <n v="0.23"/>
    <n v="1759.9428"/>
    <x v="2"/>
  </r>
  <r>
    <x v="169"/>
    <s v="Campbell Ltd"/>
    <s v="Home"/>
    <n v="3.4011295180722891"/>
    <n v="451.67"/>
    <n v="0.15"/>
    <n v="1535.6780000000001"/>
    <x v="0"/>
  </r>
  <r>
    <x v="44"/>
    <s v="Hunt Inc"/>
    <s v="Electronics"/>
    <n v="3"/>
    <n v="819.93"/>
    <n v="0.08"/>
    <n v="2263.0068000000001"/>
    <x v="2"/>
  </r>
  <r>
    <x v="414"/>
    <s v="Hamilton Group"/>
    <s v="Home"/>
    <n v="1"/>
    <n v="768.25"/>
    <n v="0.18"/>
    <n v="629.96500000000003"/>
    <x v="0"/>
  </r>
  <r>
    <x v="13"/>
    <s v="Gibson, Hobbs and Weaver"/>
    <s v="Electronics"/>
    <n v="4"/>
    <n v="780.07"/>
    <n v="0.03"/>
    <n v="3026.6716000000001"/>
    <x v="0"/>
  </r>
  <r>
    <x v="13"/>
    <s v="Rice LLC"/>
    <s v="Beauty"/>
    <n v="4"/>
    <n v="676.14"/>
    <n v="0.11"/>
    <n v="2407.0583999999999"/>
    <x v="1"/>
  </r>
  <r>
    <x v="382"/>
    <s v="Luna, Anderson and Bowman"/>
    <s v="Home"/>
    <n v="2"/>
    <n v="353.74"/>
    <n v="0.01"/>
    <n v="700.40520000000004"/>
    <x v="0"/>
  </r>
  <r>
    <x v="274"/>
    <s v="Thomas LLC"/>
    <s v="Electronics"/>
    <n v="3"/>
    <n v="83.5"/>
    <n v="0.23"/>
    <n v="192.88499999999999"/>
    <x v="1"/>
  </r>
  <r>
    <x v="466"/>
    <s v="Thomas LLC"/>
    <s v="Electronics"/>
    <n v="3"/>
    <n v="471.19"/>
    <n v="0.28000000000000003"/>
    <n v="1017.7704"/>
    <x v="1"/>
  </r>
  <r>
    <x v="200"/>
    <s v="Ford, Murphy and Wilson"/>
    <s v="Sports"/>
    <n v="1"/>
    <n v="373.06"/>
    <n v="0.11"/>
    <n v="332.02339999999998"/>
    <x v="2"/>
  </r>
  <r>
    <x v="95"/>
    <s v="May-Reese"/>
    <s v="Sports"/>
    <n v="2"/>
    <n v="327.52"/>
    <n v="0.15"/>
    <n v="556.78399999999999"/>
    <x v="2"/>
  </r>
  <r>
    <x v="199"/>
    <s v="Sims Inc"/>
    <s v="Clothing"/>
    <n v="2"/>
    <n v="803.3"/>
    <n v="0.17"/>
    <n v="1333.4780000000001"/>
    <x v="0"/>
  </r>
  <r>
    <x v="467"/>
    <s v="Sims Inc"/>
    <s v="Clothing"/>
    <n v="2"/>
    <n v="123.19"/>
    <n v="0.19"/>
    <n v="199.56780000000001"/>
    <x v="0"/>
  </r>
  <r>
    <x v="457"/>
    <s v="Sims Inc"/>
    <s v="Clothing"/>
    <n v="2"/>
    <n v="333.83"/>
    <n v="0.26"/>
    <n v="494.0684"/>
    <x v="2"/>
  </r>
  <r>
    <x v="395"/>
    <s v="Sims Inc"/>
    <s v="Clothing"/>
    <n v="4"/>
    <n v="106.66"/>
    <n v="0.2"/>
    <n v="341.31200000000001"/>
    <x v="1"/>
  </r>
  <r>
    <x v="122"/>
    <s v="Soto-Ellis"/>
    <s v="Sports"/>
    <n v="3"/>
    <n v="909.25"/>
    <n v="0.28999999999999998"/>
    <n v="1936.7025000000001"/>
    <x v="1"/>
  </r>
  <r>
    <x v="103"/>
    <s v="Gardner-Montes"/>
    <s v="Home"/>
    <n v="2"/>
    <n v="961.84"/>
    <n v="0.25"/>
    <n v="1442.76"/>
    <x v="2"/>
  </r>
  <r>
    <x v="136"/>
    <s v="Moon, Mora and Santos"/>
    <s v="Clothing"/>
    <n v="3"/>
    <n v="70.97"/>
    <n v="0.06"/>
    <n v="200.1354"/>
    <x v="1"/>
  </r>
  <r>
    <x v="403"/>
    <s v="Cook Ltd"/>
    <s v="Sports"/>
    <n v="2"/>
    <n v="92.94"/>
    <n v="0.12"/>
    <n v="163.5744"/>
    <x v="0"/>
  </r>
  <r>
    <x v="468"/>
    <s v="Khan, Jones and Paul"/>
    <s v="Home"/>
    <n v="2"/>
    <n v="502.69"/>
    <n v="0.23"/>
    <n v="774.14260000000002"/>
    <x v="0"/>
  </r>
  <r>
    <x v="469"/>
    <s v="Khan, Jones and Paul"/>
    <s v="Home"/>
    <n v="1"/>
    <n v="964.11"/>
    <n v="0.17"/>
    <n v="800.21129999999994"/>
    <x v="1"/>
  </r>
  <r>
    <x v="191"/>
    <s v="Khan, Jones and Paul"/>
    <s v="Home"/>
    <n v="2"/>
    <n v="846.35"/>
    <n v="0.3"/>
    <n v="1184.8900000000001"/>
    <x v="1"/>
  </r>
  <r>
    <x v="406"/>
    <s v="Burns-Hansen"/>
    <s v="Sports"/>
    <n v="2"/>
    <n v="278.16000000000003"/>
    <n v="0.22"/>
    <n v="433.92960000000011"/>
    <x v="2"/>
  </r>
  <r>
    <x v="217"/>
    <s v="Burns-Hansen"/>
    <s v="Sports"/>
    <n v="3"/>
    <n v="199.41"/>
    <n v="0.16"/>
    <n v="502.51319999999998"/>
    <x v="1"/>
  </r>
  <r>
    <x v="129"/>
    <s v="Hoffman Group"/>
    <s v="Home"/>
    <n v="2"/>
    <n v="145.18"/>
    <n v="0.26"/>
    <n v="214.8664"/>
    <x v="2"/>
  </r>
  <r>
    <x v="35"/>
    <s v="Hoffman Group"/>
    <s v="Home"/>
    <n v="2"/>
    <n v="527.51"/>
    <n v="0.18"/>
    <n v="865.1164"/>
    <x v="2"/>
  </r>
  <r>
    <x v="116"/>
    <s v="Hoffman Group"/>
    <s v="Home"/>
    <n v="2"/>
    <n v="823.36"/>
    <n v="0.23"/>
    <n v="1267.9744000000001"/>
    <x v="0"/>
  </r>
  <r>
    <x v="255"/>
    <s v="Hoffman Group"/>
    <s v="Home"/>
    <n v="4"/>
    <n v="465.42"/>
    <n v="0.26"/>
    <n v="1377.6432"/>
    <x v="1"/>
  </r>
  <r>
    <x v="241"/>
    <s v="Stevens, Fernandez and Martin"/>
    <s v="Home"/>
    <n v="4"/>
    <n v="153.94999999999999"/>
    <n v="0.11"/>
    <n v="548.06200000000001"/>
    <x v="2"/>
  </r>
  <r>
    <x v="450"/>
    <s v="Stevens, Fernandez and Martin"/>
    <s v="Home"/>
    <n v="3"/>
    <n v="272.27"/>
    <n v="0.01"/>
    <n v="808.64189999999996"/>
    <x v="0"/>
  </r>
  <r>
    <x v="379"/>
    <s v="Nolan-Snow"/>
    <s v="Sports"/>
    <n v="4"/>
    <n v="681.08"/>
    <n v="0"/>
    <n v="2724.32"/>
    <x v="2"/>
  </r>
  <r>
    <x v="296"/>
    <s v="Griffin Ltd"/>
    <s v="Beauty"/>
    <n v="3"/>
    <n v="601.92999999999995"/>
    <n v="0.14000000000000001"/>
    <n v="1552.9793999999999"/>
    <x v="0"/>
  </r>
  <r>
    <x v="417"/>
    <s v="Griffin Ltd"/>
    <s v="Beauty"/>
    <n v="3"/>
    <n v="918.76"/>
    <n v="0.2"/>
    <n v="2205.0239999999999"/>
    <x v="2"/>
  </r>
  <r>
    <x v="209"/>
    <s v="Weiss-Watson"/>
    <s v="Home"/>
    <n v="1"/>
    <n v="885.72"/>
    <n v="0.15"/>
    <n v="752.86199999999997"/>
    <x v="0"/>
  </r>
  <r>
    <x v="361"/>
    <s v="Lucero LLC"/>
    <s v="Electronics"/>
    <n v="4"/>
    <n v="925.19"/>
    <n v="0.19"/>
    <n v="2997.615600000001"/>
    <x v="2"/>
  </r>
  <r>
    <x v="358"/>
    <s v="Lucero LLC"/>
    <s v="Electronics"/>
    <n v="2"/>
    <n v="56.91"/>
    <n v="0.08"/>
    <n v="104.7144"/>
    <x v="1"/>
  </r>
  <r>
    <x v="428"/>
    <s v="Lucero LLC"/>
    <s v="Electronics"/>
    <n v="2"/>
    <n v="511.7"/>
    <n v="0.12"/>
    <n v="900.59199999999998"/>
    <x v="1"/>
  </r>
  <r>
    <x v="209"/>
    <s v="Jones LLC"/>
    <s v="Home"/>
    <n v="2"/>
    <n v="326.85000000000002"/>
    <n v="0.17"/>
    <n v="542.57100000000003"/>
    <x v="1"/>
  </r>
  <r>
    <x v="365"/>
    <s v="Smith-Mills"/>
    <s v="Clothing"/>
    <n v="3"/>
    <n v="811.45"/>
    <n v="0.26"/>
    <n v="1801.4190000000001"/>
    <x v="0"/>
  </r>
  <r>
    <x v="180"/>
    <s v="Smith-Mills"/>
    <s v="Clothing"/>
    <n v="3"/>
    <n v="399.42"/>
    <n v="0.02"/>
    <n v="1174.2947999999999"/>
    <x v="0"/>
  </r>
  <r>
    <x v="129"/>
    <s v="Cummings and Sons"/>
    <s v="Electronics"/>
    <n v="2"/>
    <n v="559.23"/>
    <n v="0.25"/>
    <n v="838.84500000000003"/>
    <x v="1"/>
  </r>
  <r>
    <x v="386"/>
    <s v="Cummings and Sons"/>
    <s v="Electronics"/>
    <n v="4"/>
    <n v="983.38"/>
    <n v="0.25"/>
    <n v="2950.14"/>
    <x v="1"/>
  </r>
  <r>
    <x v="153"/>
    <s v="Cummings and Sons"/>
    <s v="Electronics"/>
    <n v="4"/>
    <n v="995.4"/>
    <n v="0.27"/>
    <n v="2906.5680000000002"/>
    <x v="0"/>
  </r>
  <r>
    <x v="16"/>
    <s v="Taylor-Hart"/>
    <s v="Electronics"/>
    <n v="4"/>
    <n v="753.49"/>
    <n v="0.26"/>
    <n v="2230.3303999999998"/>
    <x v="1"/>
  </r>
  <r>
    <x v="470"/>
    <s v="Holmes LLC"/>
    <s v="Electronics"/>
    <n v="1"/>
    <n v="913.98"/>
    <n v="0.27"/>
    <n v="667.20539999999994"/>
    <x v="2"/>
  </r>
  <r>
    <x v="13"/>
    <s v="Robinson Inc"/>
    <s v="Electronics"/>
    <n v="1"/>
    <n v="651.30999999999995"/>
    <n v="0.24"/>
    <n v="494.99560000000002"/>
    <x v="2"/>
  </r>
  <r>
    <x v="242"/>
    <s v="Robinson Inc"/>
    <s v="Electronics"/>
    <n v="3"/>
    <n v="523.66"/>
    <n v="0.27"/>
    <n v="1146.8154"/>
    <x v="2"/>
  </r>
  <r>
    <x v="378"/>
    <s v="Robinson Inc"/>
    <s v="Electronics"/>
    <n v="3"/>
    <n v="307.48"/>
    <n v="0.24"/>
    <n v="701.0544000000001"/>
    <x v="0"/>
  </r>
  <r>
    <x v="182"/>
    <s v="Cox Inc"/>
    <s v="Sports"/>
    <n v="1"/>
    <n v="34.51"/>
    <n v="0.04"/>
    <n v="33.129600000000003"/>
    <x v="1"/>
  </r>
  <r>
    <x v="418"/>
    <s v="Bridges, Banks and Cummings"/>
    <s v="Sports"/>
    <n v="2"/>
    <n v="825.04"/>
    <n v="0.2"/>
    <n v="1320.0640000000001"/>
    <x v="0"/>
  </r>
  <r>
    <x v="199"/>
    <s v="Kelly, Smith and Perez"/>
    <s v="Clothing"/>
    <n v="3"/>
    <n v="479.63"/>
    <n v="0.3"/>
    <n v="1007.223"/>
    <x v="2"/>
  </r>
  <r>
    <x v="151"/>
    <s v="Kelly, Smith and Perez"/>
    <s v="Clothing"/>
    <n v="1"/>
    <n v="695.26"/>
    <n v="0.23"/>
    <n v="535.35019999999997"/>
    <x v="2"/>
  </r>
  <r>
    <x v="342"/>
    <s v="Baldwin, Garza and Gonzalez"/>
    <s v="Clothing"/>
    <n v="2"/>
    <n v="227.95"/>
    <n v="0.24"/>
    <n v="346.48399999999998"/>
    <x v="1"/>
  </r>
  <r>
    <x v="76"/>
    <s v="Baldwin, Garza and Gonzalez"/>
    <s v="Clothing"/>
    <n v="1"/>
    <n v="47.47"/>
    <n v="0.28000000000000003"/>
    <n v="34.178400000000003"/>
    <x v="0"/>
  </r>
  <r>
    <x v="13"/>
    <s v="Smith-King"/>
    <s v="Sports"/>
    <n v="4"/>
    <n v="594.89"/>
    <n v="0.3"/>
    <n v="1665.692"/>
    <x v="2"/>
  </r>
  <r>
    <x v="13"/>
    <s v="Smith-King"/>
    <s v="Sports"/>
    <n v="3"/>
    <n v="766.47"/>
    <n v="0.18"/>
    <n v="1885.5162"/>
    <x v="0"/>
  </r>
  <r>
    <x v="227"/>
    <s v="Smith-King"/>
    <s v="Sports"/>
    <n v="4"/>
    <n v="943.36"/>
    <n v="0.18"/>
    <n v="3094.2208000000001"/>
    <x v="2"/>
  </r>
  <r>
    <x v="107"/>
    <s v="Hamilton, Woods and Walker"/>
    <s v="Clothing"/>
    <n v="3"/>
    <n v="155.87"/>
    <n v="0.03"/>
    <n v="453.58170000000001"/>
    <x v="1"/>
  </r>
  <r>
    <x v="41"/>
    <s v="Thompson-French"/>
    <s v="Sports"/>
    <n v="1"/>
    <n v="62.26"/>
    <n v="0.03"/>
    <n v="60.392200000000003"/>
    <x v="1"/>
  </r>
  <r>
    <x v="405"/>
    <s v="Hernandez, Kennedy and Porter"/>
    <s v="Home"/>
    <n v="2"/>
    <n v="785.31"/>
    <n v="0.15"/>
    <n v="1335.027"/>
    <x v="2"/>
  </r>
  <r>
    <x v="57"/>
    <s v="Atkinson, Camacho and Oliver"/>
    <s v="Sports"/>
    <n v="2"/>
    <n v="267.19"/>
    <n v="7.0000000000000007E-2"/>
    <n v="496.97340000000003"/>
    <x v="0"/>
  </r>
  <r>
    <x v="414"/>
    <s v="Gibson, Green and Lopez"/>
    <s v="Beauty"/>
    <n v="3"/>
    <n v="543.49"/>
    <n v="0.05"/>
    <n v="1548.9465"/>
    <x v="2"/>
  </r>
  <r>
    <x v="132"/>
    <s v="Gibson, Green and Lopez"/>
    <s v="Beauty"/>
    <n v="1"/>
    <n v="88.78"/>
    <n v="0.18"/>
    <n v="72.799600000000012"/>
    <x v="0"/>
  </r>
  <r>
    <x v="24"/>
    <s v="Lopez LLC"/>
    <s v="Sports"/>
    <n v="1"/>
    <n v="994.18"/>
    <n v="0.05"/>
    <n v="944.47099999999989"/>
    <x v="2"/>
  </r>
  <r>
    <x v="431"/>
    <s v="Murray, Gould and Ware"/>
    <s v="Electronics"/>
    <n v="4"/>
    <n v="139.05000000000001"/>
    <n v="0.28999999999999998"/>
    <n v="394.90199999999999"/>
    <x v="1"/>
  </r>
  <r>
    <x v="24"/>
    <s v="Murray, Gould and Ware"/>
    <s v="Electronics"/>
    <n v="3"/>
    <n v="392.65"/>
    <n v="0.17"/>
    <n v="977.69849999999985"/>
    <x v="2"/>
  </r>
  <r>
    <x v="85"/>
    <s v="Zhang Inc"/>
    <s v="Beauty"/>
    <n v="4"/>
    <n v="779.25"/>
    <n v="0.25"/>
    <n v="2337.75"/>
    <x v="0"/>
  </r>
  <r>
    <x v="46"/>
    <s v="Montgomery, Benton and Miller"/>
    <s v="Sports"/>
    <n v="4"/>
    <n v="277.58"/>
    <n v="0.22"/>
    <n v="866.04959999999994"/>
    <x v="2"/>
  </r>
  <r>
    <x v="121"/>
    <s v="Flores-Davis"/>
    <s v="Electronics"/>
    <n v="2"/>
    <n v="132.77000000000001"/>
    <n v="0.13"/>
    <n v="231.0198"/>
    <x v="1"/>
  </r>
  <r>
    <x v="381"/>
    <s v="Wolfe, Ross and Hester"/>
    <s v="Home"/>
    <n v="2"/>
    <n v="821.35"/>
    <n v="0.11"/>
    <n v="1462.0029999999999"/>
    <x v="2"/>
  </r>
  <r>
    <x v="240"/>
    <s v="Harrell LLC"/>
    <s v="Home"/>
    <n v="1"/>
    <n v="271.76"/>
    <n v="0.03"/>
    <n v="263.60719999999998"/>
    <x v="0"/>
  </r>
  <r>
    <x v="31"/>
    <s v="Harrell LLC"/>
    <s v="Home"/>
    <n v="4"/>
    <n v="149.83000000000001"/>
    <n v="0.02"/>
    <n v="587.33360000000005"/>
    <x v="0"/>
  </r>
  <r>
    <x v="265"/>
    <s v="Duran Group"/>
    <s v="Home"/>
    <n v="4"/>
    <n v="640.91"/>
    <n v="0.06"/>
    <n v="2409.8216000000002"/>
    <x v="0"/>
  </r>
  <r>
    <x v="71"/>
    <s v="Duran Group"/>
    <s v="Home"/>
    <n v="4"/>
    <n v="662.43"/>
    <n v="0.24"/>
    <n v="2013.7872"/>
    <x v="2"/>
  </r>
  <r>
    <x v="323"/>
    <s v="Duran Group"/>
    <s v="Home"/>
    <n v="3"/>
    <n v="698.72"/>
    <n v="0.28000000000000003"/>
    <n v="1509.2352000000001"/>
    <x v="1"/>
  </r>
  <r>
    <x v="157"/>
    <s v="Davis PLC"/>
    <s v="Sports"/>
    <n v="1"/>
    <n v="41.39"/>
    <n v="0.01"/>
    <n v="40.976100000000002"/>
    <x v="0"/>
  </r>
  <r>
    <x v="402"/>
    <s v="French Ltd"/>
    <s v="Sports"/>
    <n v="4"/>
    <n v="834.7"/>
    <n v="0.14000000000000001"/>
    <n v="2871.3679999999999"/>
    <x v="0"/>
  </r>
  <r>
    <x v="304"/>
    <s v="French Ltd"/>
    <s v="Sports"/>
    <n v="4"/>
    <n v="693.16"/>
    <n v="0.05"/>
    <n v="2634.0079999999998"/>
    <x v="2"/>
  </r>
  <r>
    <x v="471"/>
    <s v="French Ltd"/>
    <s v="Sports"/>
    <n v="4"/>
    <n v="753"/>
    <n v="0.28000000000000003"/>
    <n v="2168.64"/>
    <x v="1"/>
  </r>
  <r>
    <x v="75"/>
    <s v="Bruce-Bowen"/>
    <s v="Electronics"/>
    <n v="1"/>
    <n v="702.53"/>
    <n v="0.3"/>
    <n v="491.77100000000002"/>
    <x v="0"/>
  </r>
  <r>
    <x v="272"/>
    <s v="Poole PLC"/>
    <s v="Clothing"/>
    <n v="2"/>
    <n v="709.17"/>
    <n v="0.22"/>
    <n v="1106.3052"/>
    <x v="0"/>
  </r>
  <r>
    <x v="472"/>
    <s v="Larson Ltd"/>
    <s v="Electronics"/>
    <n v="1"/>
    <n v="106.07"/>
    <n v="0.23"/>
    <n v="81.673900000000003"/>
    <x v="1"/>
  </r>
  <r>
    <x v="363"/>
    <s v="White, Reeves and Woods"/>
    <s v="Electronics"/>
    <n v="4"/>
    <n v="665.38"/>
    <n v="0.18"/>
    <n v="2182.4463999999998"/>
    <x v="0"/>
  </r>
  <r>
    <x v="93"/>
    <s v="Hernandez Inc"/>
    <s v="Home"/>
    <n v="4"/>
    <n v="507.22"/>
    <n v="0.14000000000000001"/>
    <n v="1744.8368"/>
    <x v="2"/>
  </r>
  <r>
    <x v="147"/>
    <s v="Hernandez Inc"/>
    <s v="Home"/>
    <n v="1"/>
    <n v="34.71"/>
    <n v="0.1"/>
    <n v="31.239000000000001"/>
    <x v="1"/>
  </r>
  <r>
    <x v="250"/>
    <s v="Ramirez-Hanson"/>
    <s v="Home"/>
    <n v="2"/>
    <n v="32.19"/>
    <n v="0.13"/>
    <n v="56.010599999999997"/>
    <x v="1"/>
  </r>
  <r>
    <x v="135"/>
    <s v="Robinson-Brown"/>
    <s v="Sports"/>
    <n v="4"/>
    <n v="968.27"/>
    <n v="0.03"/>
    <n v="3756.8876"/>
    <x v="2"/>
  </r>
  <r>
    <x v="364"/>
    <s v="Robinson-Brown"/>
    <s v="Sports"/>
    <n v="1"/>
    <n v="445.5"/>
    <n v="0.28000000000000003"/>
    <n v="320.76"/>
    <x v="0"/>
  </r>
  <r>
    <x v="473"/>
    <s v="Butler Group"/>
    <s v="Beauty"/>
    <n v="2"/>
    <n v="898.81"/>
    <n v="0.25"/>
    <n v="1348.2149999999999"/>
    <x v="0"/>
  </r>
  <r>
    <x v="441"/>
    <s v="Collins-Stephenson"/>
    <s v="Home"/>
    <n v="3"/>
    <n v="944.64"/>
    <n v="0.26"/>
    <n v="2097.1008000000002"/>
    <x v="0"/>
  </r>
  <r>
    <x v="453"/>
    <s v="Collins-Stephenson"/>
    <s v="Home"/>
    <n v="3"/>
    <n v="505.01"/>
    <n v="0.02"/>
    <n v="1484.7293999999999"/>
    <x v="2"/>
  </r>
  <r>
    <x v="74"/>
    <s v="Taylor, Dodson and Johnston"/>
    <s v="Home"/>
    <n v="1"/>
    <n v="696.53"/>
    <n v="0.17"/>
    <n v="578.11989999999992"/>
    <x v="0"/>
  </r>
  <r>
    <x v="276"/>
    <s v="Aguilar, Horton and Lewis"/>
    <s v="Home"/>
    <n v="1"/>
    <n v="979.28"/>
    <n v="0.2"/>
    <n v="783.42399999999998"/>
    <x v="2"/>
  </r>
  <r>
    <x v="443"/>
    <s v="Olsen-Daniels"/>
    <s v="Sports"/>
    <n v="4"/>
    <n v="644.58000000000004"/>
    <n v="0.01"/>
    <n v="2552.5367999999999"/>
    <x v="0"/>
  </r>
  <r>
    <x v="91"/>
    <s v="Taylor-Elliott"/>
    <s v="Beauty"/>
    <n v="1"/>
    <n v="170.12"/>
    <n v="0.26"/>
    <n v="125.8888"/>
    <x v="2"/>
  </r>
  <r>
    <x v="306"/>
    <s v="Hill PLC"/>
    <s v="Sports"/>
    <n v="2"/>
    <n v="492.5"/>
    <n v="0.3"/>
    <n v="689.5"/>
    <x v="2"/>
  </r>
  <r>
    <x v="121"/>
    <s v="Sharp, Taylor and Rodriguez"/>
    <s v="Electronics"/>
    <n v="1"/>
    <n v="900.94"/>
    <n v="0.1"/>
    <n v="810.84600000000012"/>
    <x v="0"/>
  </r>
  <r>
    <x v="301"/>
    <s v="Smith-Charles"/>
    <s v="Clothing"/>
    <n v="2"/>
    <n v="731.01"/>
    <n v="0.05"/>
    <n v="1388.9190000000001"/>
    <x v="2"/>
  </r>
  <r>
    <x v="352"/>
    <s v="Green, Powell and Palmer"/>
    <s v="Home"/>
    <n v="3"/>
    <n v="718.23"/>
    <n v="0.19"/>
    <n v="1745.2989"/>
    <x v="2"/>
  </r>
  <r>
    <x v="406"/>
    <s v="Martin LLC"/>
    <s v="Electronics"/>
    <n v="2"/>
    <n v="772.24"/>
    <n v="0.22"/>
    <n v="1204.6944000000001"/>
    <x v="0"/>
  </r>
  <r>
    <x v="117"/>
    <s v="Martin LLC"/>
    <s v="Electronics"/>
    <n v="3"/>
    <n v="706.6"/>
    <n v="0.17"/>
    <n v="1759.434"/>
    <x v="2"/>
  </r>
  <r>
    <x v="98"/>
    <s v="Hoffman-Williams"/>
    <s v="Beauty"/>
    <n v="1"/>
    <n v="647.86"/>
    <n v="0.05"/>
    <n v="615.46699999999998"/>
    <x v="1"/>
  </r>
  <r>
    <x v="402"/>
    <s v="Phillips and Sons"/>
    <s v="Clothing"/>
    <n v="2"/>
    <n v="649.89"/>
    <n v="0.17"/>
    <n v="1078.8173999999999"/>
    <x v="1"/>
  </r>
  <r>
    <x v="150"/>
    <s v="Flores-King"/>
    <s v="Electronics"/>
    <n v="3"/>
    <n v="904.19"/>
    <n v="0.09"/>
    <n v="2468.4387000000002"/>
    <x v="0"/>
  </r>
  <r>
    <x v="150"/>
    <s v="Hamilton Group"/>
    <s v="Home"/>
    <n v="4"/>
    <n v="168.55"/>
    <n v="0.15"/>
    <n v="573.07000000000005"/>
    <x v="2"/>
  </r>
  <r>
    <x v="279"/>
    <s v="Gibson, Hobbs and Weaver"/>
    <s v="Electronics"/>
    <n v="3"/>
    <n v="596"/>
    <n v="0.28000000000000003"/>
    <n v="1287.3599999999999"/>
    <x v="1"/>
  </r>
  <r>
    <x v="307"/>
    <s v="Luna, Anderson and Bowman"/>
    <s v="Home"/>
    <n v="4"/>
    <n v="94.48"/>
    <n v="0.06"/>
    <n v="355.2448"/>
    <x v="1"/>
  </r>
  <r>
    <x v="267"/>
    <s v="Thomas LLC"/>
    <s v="Electronics"/>
    <n v="1"/>
    <n v="649.59"/>
    <n v="0.12"/>
    <n v="571.63920000000007"/>
    <x v="1"/>
  </r>
  <r>
    <x v="235"/>
    <s v="Thomas LLC"/>
    <s v="Electronics"/>
    <n v="1"/>
    <n v="594.44000000000005"/>
    <n v="0.21"/>
    <n v="469.60759999999999"/>
    <x v="0"/>
  </r>
  <r>
    <x v="474"/>
    <s v="Ford, Murphy and Wilson"/>
    <s v="Sports"/>
    <n v="4"/>
    <n v="715.88"/>
    <n v="0.19"/>
    <n v="2319.4512"/>
    <x v="2"/>
  </r>
  <r>
    <x v="226"/>
    <s v="Ford, Murphy and Wilson"/>
    <s v="Sports"/>
    <n v="4"/>
    <n v="322.58"/>
    <n v="0.06"/>
    <n v="1212.9007999999999"/>
    <x v="0"/>
  </r>
  <r>
    <x v="153"/>
    <s v="Guerra-Hendrix"/>
    <s v="Clothing"/>
    <n v="3"/>
    <n v="438.65"/>
    <n v="0.28999999999999998"/>
    <n v="934.32449999999983"/>
    <x v="2"/>
  </r>
  <r>
    <x v="382"/>
    <s v="May-Reese"/>
    <s v="Sports"/>
    <n v="3"/>
    <n v="108.31"/>
    <n v="0.26"/>
    <n v="240.44820000000001"/>
    <x v="1"/>
  </r>
  <r>
    <x v="384"/>
    <s v="Reed-Schmidt"/>
    <s v="Electronics"/>
    <n v="4"/>
    <n v="282.18"/>
    <n v="0.13"/>
    <n v="981.9864"/>
    <x v="1"/>
  </r>
  <r>
    <x v="377"/>
    <s v="Reed-Schmidt"/>
    <s v="Electronics"/>
    <n v="1"/>
    <n v="429.25"/>
    <n v="0.28999999999999998"/>
    <n v="304.76749999999998"/>
    <x v="0"/>
  </r>
  <r>
    <x v="344"/>
    <s v="Reed-Schmidt"/>
    <s v="Electronics"/>
    <n v="4"/>
    <n v="189.56"/>
    <n v="0"/>
    <n v="758.24"/>
    <x v="1"/>
  </r>
  <r>
    <x v="209"/>
    <s v="Khan, Jones and Paul"/>
    <s v="Home"/>
    <n v="2"/>
    <n v="437.84"/>
    <n v="0.24"/>
    <n v="665.51679999999999"/>
    <x v="0"/>
  </r>
  <r>
    <x v="4"/>
    <s v="Stevens, Fernandez and Martin"/>
    <s v="Home"/>
    <n v="1"/>
    <n v="563.01"/>
    <n v="0.1"/>
    <n v="506.709"/>
    <x v="0"/>
  </r>
  <r>
    <x v="279"/>
    <s v="Nolan-Snow"/>
    <s v="Sports"/>
    <n v="4"/>
    <n v="540.69000000000005"/>
    <n v="0.09"/>
    <n v="1968.1116"/>
    <x v="1"/>
  </r>
  <r>
    <x v="187"/>
    <s v="Weiss-Watson"/>
    <s v="Home"/>
    <n v="2"/>
    <n v="401.5"/>
    <n v="0.18"/>
    <n v="658.46"/>
    <x v="0"/>
  </r>
  <r>
    <x v="445"/>
    <s v="Lucero LLC"/>
    <s v="Electronics"/>
    <n v="4"/>
    <n v="745.51"/>
    <n v="0.05"/>
    <n v="2832.9380000000001"/>
    <x v="0"/>
  </r>
  <r>
    <x v="107"/>
    <s v="Jones LLC"/>
    <s v="Home"/>
    <n v="3"/>
    <n v="585.54999999999995"/>
    <n v="0.14000000000000001"/>
    <n v="1510.7190000000001"/>
    <x v="1"/>
  </r>
  <r>
    <x v="62"/>
    <s v="Sims-Smith"/>
    <s v="Sports"/>
    <n v="1"/>
    <n v="553.82000000000005"/>
    <n v="0.09"/>
    <n v="503.97620000000012"/>
    <x v="0"/>
  </r>
  <r>
    <x v="192"/>
    <s v="Cummings and Sons"/>
    <s v="Electronics"/>
    <n v="1"/>
    <n v="702.27"/>
    <n v="0.17"/>
    <n v="582.88409999999999"/>
    <x v="1"/>
  </r>
  <r>
    <x v="223"/>
    <s v="Taylor-Hart"/>
    <s v="Electronics"/>
    <n v="3"/>
    <n v="174.57"/>
    <n v="0"/>
    <n v="523.71"/>
    <x v="2"/>
  </r>
  <r>
    <x v="475"/>
    <s v="Carroll, Long and Mendoza"/>
    <s v="Sports"/>
    <n v="2"/>
    <n v="20.47"/>
    <n v="0.12"/>
    <n v="36.027200000000001"/>
    <x v="1"/>
  </r>
  <r>
    <x v="166"/>
    <s v="Robinson Inc"/>
    <s v="Electronics"/>
    <n v="2"/>
    <n v="549.91999999999996"/>
    <n v="0.28000000000000003"/>
    <n v="791.88479999999993"/>
    <x v="0"/>
  </r>
  <r>
    <x v="271"/>
    <s v="Robinson Inc"/>
    <s v="Electronics"/>
    <n v="3"/>
    <n v="56.17"/>
    <n v="0.01"/>
    <n v="166.82490000000001"/>
    <x v="1"/>
  </r>
  <r>
    <x v="170"/>
    <s v="Bridges, Banks and Cummings"/>
    <s v="Sports"/>
    <n v="2"/>
    <n v="336.97"/>
    <n v="0.14000000000000001"/>
    <n v="579.58840000000009"/>
    <x v="2"/>
  </r>
  <r>
    <x v="303"/>
    <s v="Byrd, Stewart and Valdez"/>
    <s v="Electronics"/>
    <n v="1"/>
    <n v="340.9"/>
    <n v="0.28999999999999998"/>
    <n v="242.03899999999999"/>
    <x v="0"/>
  </r>
  <r>
    <x v="272"/>
    <s v="Sullivan and Sons"/>
    <s v="Beauty"/>
    <n v="1"/>
    <n v="678.9"/>
    <n v="0.17"/>
    <n v="563.48699999999997"/>
    <x v="0"/>
  </r>
  <r>
    <x v="181"/>
    <s v="Baldwin, Garza and Gonzalez"/>
    <s v="Clothing"/>
    <n v="3"/>
    <n v="589.83000000000004"/>
    <n v="0.26"/>
    <n v="1309.4226000000001"/>
    <x v="0"/>
  </r>
  <r>
    <x v="158"/>
    <s v="Baldwin, Garza and Gonzalez"/>
    <s v="Clothing"/>
    <n v="2"/>
    <n v="344.16"/>
    <n v="0.09"/>
    <n v="626.37120000000004"/>
    <x v="2"/>
  </r>
  <r>
    <x v="396"/>
    <s v="Baldwin, Garza and Gonzalez"/>
    <s v="Clothing"/>
    <n v="2"/>
    <n v="788.05"/>
    <n v="0.21"/>
    <n v="1245.1189999999999"/>
    <x v="0"/>
  </r>
  <r>
    <x v="274"/>
    <s v="Smith-King"/>
    <s v="Sports"/>
    <n v="2"/>
    <n v="42.04"/>
    <n v="7.0000000000000007E-2"/>
    <n v="78.194399999999987"/>
    <x v="0"/>
  </r>
  <r>
    <x v="226"/>
    <s v="Smith-King"/>
    <s v="Sports"/>
    <n v="2"/>
    <n v="613.23"/>
    <n v="0.15"/>
    <n v="1042.491"/>
    <x v="2"/>
  </r>
  <r>
    <x v="341"/>
    <s v="Harris Inc"/>
    <s v="Sports"/>
    <n v="4"/>
    <n v="355.64"/>
    <n v="0.16"/>
    <n v="1194.9503999999999"/>
    <x v="1"/>
  </r>
  <r>
    <x v="428"/>
    <s v="Harris Inc"/>
    <s v="Sports"/>
    <n v="2"/>
    <n v="576.83000000000004"/>
    <n v="0.19"/>
    <n v="934.46460000000013"/>
    <x v="2"/>
  </r>
  <r>
    <x v="232"/>
    <s v="Hamilton, Woods and Walker"/>
    <s v="Clothing"/>
    <n v="3"/>
    <n v="214.94"/>
    <n v="0.22"/>
    <n v="502.95960000000002"/>
    <x v="1"/>
  </r>
  <r>
    <x v="417"/>
    <s v="Hamilton, Woods and Walker"/>
    <s v="Clothing"/>
    <n v="3"/>
    <n v="576.52"/>
    <n v="0.22"/>
    <n v="1349.0568000000001"/>
    <x v="1"/>
  </r>
  <r>
    <x v="422"/>
    <s v="Thompson-French"/>
    <s v="Sports"/>
    <n v="1"/>
    <n v="692.75"/>
    <n v="0.11"/>
    <n v="616.54750000000001"/>
    <x v="1"/>
  </r>
  <r>
    <x v="476"/>
    <s v="Thompson-French"/>
    <s v="Sports"/>
    <n v="2"/>
    <n v="628.83000000000004"/>
    <n v="7.0000000000000007E-2"/>
    <n v="1169.6238000000001"/>
    <x v="2"/>
  </r>
  <r>
    <x v="290"/>
    <s v="Hatfield, Baird and Torres"/>
    <s v="Home"/>
    <n v="1"/>
    <n v="83.1"/>
    <n v="0.04"/>
    <n v="79.775999999999996"/>
    <x v="2"/>
  </r>
  <r>
    <x v="315"/>
    <s v="Atkinson, Camacho and Oliver"/>
    <s v="Sports"/>
    <n v="3"/>
    <n v="404.5"/>
    <n v="0.22"/>
    <n v="946.53000000000009"/>
    <x v="2"/>
  </r>
  <r>
    <x v="345"/>
    <s v="Cline-Mccarthy"/>
    <s v="Beauty"/>
    <n v="3"/>
    <n v="630.28"/>
    <n v="7.0000000000000007E-2"/>
    <n v="1758.4811999999999"/>
    <x v="1"/>
  </r>
  <r>
    <x v="28"/>
    <s v="Cline-Mccarthy"/>
    <s v="Beauty"/>
    <n v="3"/>
    <n v="745.3"/>
    <n v="0.18"/>
    <n v="1833.4380000000001"/>
    <x v="0"/>
  </r>
  <r>
    <x v="61"/>
    <s v="Gibson, Green and Lopez"/>
    <s v="Beauty"/>
    <n v="3"/>
    <n v="92.24"/>
    <n v="0.28000000000000003"/>
    <n v="276.44"/>
    <x v="1"/>
  </r>
  <r>
    <x v="249"/>
    <s v="Lopez LLC"/>
    <s v="Sports"/>
    <n v="3"/>
    <n v="38.07"/>
    <n v="0.09"/>
    <n v="103.9311"/>
    <x v="2"/>
  </r>
  <r>
    <x v="313"/>
    <s v="Lopez LLC"/>
    <s v="Sports"/>
    <n v="4"/>
    <n v="372.42"/>
    <n v="0.19"/>
    <n v="1206.6407999999999"/>
    <x v="0"/>
  </r>
  <r>
    <x v="158"/>
    <s v="Lopez LLC"/>
    <s v="Sports"/>
    <n v="1"/>
    <n v="85.58"/>
    <n v="0.1"/>
    <n v="77.022000000000006"/>
    <x v="1"/>
  </r>
  <r>
    <x v="283"/>
    <s v="Murray, Gould and Ware"/>
    <s v="Electronics"/>
    <n v="4"/>
    <n v="875.41"/>
    <n v="0.27"/>
    <n v="2556.1972000000001"/>
    <x v="0"/>
  </r>
  <r>
    <x v="65"/>
    <s v="Anderson-Riley"/>
    <s v="Beauty"/>
    <n v="4"/>
    <n v="688.86"/>
    <n v="0.02"/>
    <n v="2700.3312000000001"/>
    <x v="1"/>
  </r>
  <r>
    <x v="210"/>
    <s v="Zhang Inc"/>
    <s v="Beauty"/>
    <n v="4"/>
    <n v="839.65"/>
    <n v="0.26"/>
    <n v="2485.364"/>
    <x v="1"/>
  </r>
  <r>
    <x v="477"/>
    <s v="Torres, Spencer and Potter"/>
    <s v="Beauty"/>
    <n v="2"/>
    <n v="397.63"/>
    <n v="0.26"/>
    <n v="588.49239999999998"/>
    <x v="0"/>
  </r>
  <r>
    <x v="399"/>
    <s v="Torres, Spencer and Potter"/>
    <s v="Beauty"/>
    <n v="2"/>
    <n v="769.48"/>
    <n v="0.11"/>
    <n v="1369.6744000000001"/>
    <x v="2"/>
  </r>
  <r>
    <x v="273"/>
    <s v="Flores-Davis"/>
    <s v="Electronics"/>
    <n v="2"/>
    <n v="491.26"/>
    <n v="0.14000000000000001"/>
    <n v="844.96719999999993"/>
    <x v="1"/>
  </r>
  <r>
    <x v="340"/>
    <s v="Wolfe, Ross and Hester"/>
    <s v="Home"/>
    <n v="3"/>
    <n v="120.97"/>
    <n v="0.11"/>
    <n v="322.98989999999998"/>
    <x v="0"/>
  </r>
  <r>
    <x v="211"/>
    <s v="Fitzpatrick Ltd"/>
    <s v="Clothing"/>
    <n v="1"/>
    <n v="815.53"/>
    <n v="0.3"/>
    <n v="570.87099999999998"/>
    <x v="2"/>
  </r>
  <r>
    <x v="61"/>
    <s v="Hopkins Ltd"/>
    <s v="Beauty"/>
    <n v="2"/>
    <n v="504.98"/>
    <n v="0.08"/>
    <n v="929.16320000000007"/>
    <x v="1"/>
  </r>
  <r>
    <x v="429"/>
    <s v="French Ltd"/>
    <s v="Sports"/>
    <n v="2"/>
    <n v="644"/>
    <n v="0.04"/>
    <n v="1236.48"/>
    <x v="2"/>
  </r>
  <r>
    <x v="314"/>
    <s v="Bruce-Bowen"/>
    <s v="Electronics"/>
    <n v="1"/>
    <n v="370.66"/>
    <n v="0.01"/>
    <n v="366.95339999999999"/>
    <x v="2"/>
  </r>
  <r>
    <x v="358"/>
    <s v="Poole PLC"/>
    <s v="Clothing"/>
    <n v="1"/>
    <n v="805.24"/>
    <n v="0.04"/>
    <n v="773.03039999999999"/>
    <x v="2"/>
  </r>
  <r>
    <x v="139"/>
    <s v="Poole PLC"/>
    <s v="Clothing"/>
    <n v="2"/>
    <n v="865.14"/>
    <n v="0.2"/>
    <n v="1384.2239999999999"/>
    <x v="2"/>
  </r>
  <r>
    <x v="478"/>
    <s v="Hernandez Inc"/>
    <s v="Home"/>
    <n v="2"/>
    <n v="479.77"/>
    <n v="0.21"/>
    <n v="758.03660000000002"/>
    <x v="2"/>
  </r>
  <r>
    <x v="430"/>
    <s v="Ramirez-Hanson"/>
    <s v="Home"/>
    <n v="1"/>
    <n v="989.63"/>
    <n v="0.05"/>
    <n v="940.1484999999999"/>
    <x v="2"/>
  </r>
  <r>
    <x v="7"/>
    <s v="Ramirez-Hanson"/>
    <s v="Home"/>
    <n v="2"/>
    <n v="285.39"/>
    <n v="0.1"/>
    <n v="513.702"/>
    <x v="0"/>
  </r>
  <r>
    <x v="479"/>
    <s v="Perez-Johnston"/>
    <s v="Electronics"/>
    <n v="2"/>
    <n v="406.46"/>
    <n v="0.3"/>
    <n v="569.04399999999998"/>
    <x v="2"/>
  </r>
  <r>
    <x v="142"/>
    <s v="Allison Ltd"/>
    <s v="Home"/>
    <n v="1"/>
    <n v="516.62"/>
    <n v="0.18"/>
    <n v="423.62840000000011"/>
    <x v="0"/>
  </r>
  <r>
    <x v="402"/>
    <s v="Robinson-Brown"/>
    <s v="Sports"/>
    <n v="2"/>
    <n v="358.36"/>
    <n v="0.05"/>
    <n v="680.88400000000001"/>
    <x v="2"/>
  </r>
  <r>
    <x v="423"/>
    <s v="Butler Group"/>
    <s v="Beauty"/>
    <n v="3"/>
    <n v="107.8"/>
    <n v="0.28999999999999998"/>
    <n v="229.614"/>
    <x v="2"/>
  </r>
  <r>
    <x v="174"/>
    <s v="Butler Group"/>
    <s v="Beauty"/>
    <n v="2"/>
    <n v="879.93"/>
    <n v="0.28999999999999998"/>
    <n v="1249.5006000000001"/>
    <x v="1"/>
  </r>
  <r>
    <x v="250"/>
    <s v="Collins-Stephenson"/>
    <s v="Home"/>
    <n v="3"/>
    <n v="923.38"/>
    <n v="7.0000000000000007E-2"/>
    <n v="2576.2302"/>
    <x v="1"/>
  </r>
  <r>
    <x v="380"/>
    <s v="Richardson-Carrillo"/>
    <s v="Clothing"/>
    <n v="2"/>
    <n v="701.49"/>
    <n v="0.09"/>
    <n v="1276.7118"/>
    <x v="2"/>
  </r>
  <r>
    <x v="325"/>
    <s v="Olsen-Daniels"/>
    <s v="Sports"/>
    <n v="4"/>
    <n v="510.33"/>
    <n v="0.2"/>
    <n v="1633.056"/>
    <x v="2"/>
  </r>
  <r>
    <x v="190"/>
    <s v="Olsen-Daniels"/>
    <s v="Sports"/>
    <n v="1"/>
    <n v="479.93"/>
    <n v="0.22"/>
    <n v="374.34539999999998"/>
    <x v="0"/>
  </r>
  <r>
    <x v="455"/>
    <s v="Hill PLC"/>
    <s v="Sports"/>
    <n v="3"/>
    <n v="134.30000000000001"/>
    <n v="0.14000000000000001"/>
    <n v="346.49400000000003"/>
    <x v="0"/>
  </r>
  <r>
    <x v="172"/>
    <s v="Hill PLC"/>
    <s v="Sports"/>
    <n v="2"/>
    <n v="753.1"/>
    <n v="0.19"/>
    <n v="1220.0219999999999"/>
    <x v="2"/>
  </r>
  <r>
    <x v="111"/>
    <s v="Sharp, Taylor and Rodriguez"/>
    <s v="Electronics"/>
    <n v="2"/>
    <n v="678.98"/>
    <n v="0.23"/>
    <n v="1045.6292000000001"/>
    <x v="0"/>
  </r>
  <r>
    <x v="196"/>
    <s v="Sharp, Taylor and Rodriguez"/>
    <s v="Electronics"/>
    <n v="2"/>
    <n v="478.85"/>
    <n v="0.01"/>
    <n v="948.12300000000005"/>
    <x v="1"/>
  </r>
  <r>
    <x v="39"/>
    <s v="Smith-Charles"/>
    <s v="Clothing"/>
    <n v="3"/>
    <n v="219.96"/>
    <n v="0.18"/>
    <n v="541.10160000000008"/>
    <x v="2"/>
  </r>
  <r>
    <x v="129"/>
    <s v="Smith-Charles"/>
    <s v="Clothing"/>
    <n v="3"/>
    <n v="629.58000000000004"/>
    <n v="0.05"/>
    <n v="1794.3030000000001"/>
    <x v="0"/>
  </r>
  <r>
    <x v="400"/>
    <s v="Smith-Charles"/>
    <s v="Clothing"/>
    <n v="4"/>
    <n v="940.77"/>
    <n v="0.24"/>
    <n v="2859.9407999999999"/>
    <x v="1"/>
  </r>
  <r>
    <x v="200"/>
    <s v="Hoffman-Williams"/>
    <s v="Beauty"/>
    <n v="4"/>
    <n v="638.91"/>
    <n v="0"/>
    <n v="2555.64"/>
    <x v="1"/>
  </r>
  <r>
    <x v="281"/>
    <s v="Hoffman-Williams"/>
    <s v="Beauty"/>
    <n v="1"/>
    <n v="252.18"/>
    <n v="0.23"/>
    <n v="194.17859999999999"/>
    <x v="2"/>
  </r>
  <r>
    <x v="399"/>
    <s v="Phillips and Sons"/>
    <s v="Clothing"/>
    <n v="3"/>
    <n v="882.84"/>
    <n v="0.1"/>
    <n v="2383.6680000000001"/>
    <x v="0"/>
  </r>
  <r>
    <x v="150"/>
    <s v="Khan LLC"/>
    <s v="Sports"/>
    <n v="2"/>
    <n v="261.48"/>
    <n v="0.17"/>
    <n v="434.05680000000001"/>
    <x v="0"/>
  </r>
  <r>
    <x v="87"/>
    <s v="Campbell Ltd"/>
    <s v="Home"/>
    <n v="2.7904357624168861"/>
    <n v="448.25"/>
    <n v="7.0000000000000007E-2"/>
    <n v="1250.6175000000001"/>
    <x v="2"/>
  </r>
  <r>
    <x v="257"/>
    <s v="Terry-Moore"/>
    <s v="Clothing"/>
    <n v="4"/>
    <n v="845.58"/>
    <n v="0.06"/>
    <n v="3179.3807999999999"/>
    <x v="2"/>
  </r>
  <r>
    <x v="184"/>
    <s v="Hamilton Group"/>
    <s v="Home"/>
    <n v="3"/>
    <n v="370.93"/>
    <n v="0"/>
    <n v="1112.79"/>
    <x v="0"/>
  </r>
  <r>
    <x v="460"/>
    <s v="Hamilton Group"/>
    <s v="Home"/>
    <n v="4"/>
    <n v="599.85"/>
    <n v="0.25"/>
    <n v="1799.55"/>
    <x v="0"/>
  </r>
  <r>
    <x v="97"/>
    <s v="Gibson, Hobbs and Weaver"/>
    <s v="Electronics"/>
    <n v="1"/>
    <n v="56.59"/>
    <n v="0.15"/>
    <n v="48.101500000000001"/>
    <x v="2"/>
  </r>
  <r>
    <x v="235"/>
    <s v="Rice LLC"/>
    <s v="Beauty"/>
    <n v="2"/>
    <n v="179.64"/>
    <n v="0.1"/>
    <n v="323.35199999999998"/>
    <x v="2"/>
  </r>
  <r>
    <x v="338"/>
    <s v="Rice LLC"/>
    <s v="Beauty"/>
    <n v="2"/>
    <n v="717.31"/>
    <n v="0.15"/>
    <n v="1219.4269999999999"/>
    <x v="0"/>
  </r>
  <r>
    <x v="363"/>
    <s v="Luna, Anderson and Bowman"/>
    <s v="Home"/>
    <n v="2"/>
    <n v="629.73"/>
    <n v="7.0000000000000007E-2"/>
    <n v="1171.2978000000001"/>
    <x v="2"/>
  </r>
  <r>
    <x v="215"/>
    <s v="Thomas LLC"/>
    <s v="Electronics"/>
    <n v="2"/>
    <n v="884.48"/>
    <n v="0"/>
    <n v="1768.96"/>
    <x v="1"/>
  </r>
  <r>
    <x v="134"/>
    <s v="Thomas LLC"/>
    <s v="Electronics"/>
    <n v="4"/>
    <n v="101.33"/>
    <n v="0"/>
    <n v="405.32"/>
    <x v="0"/>
  </r>
  <r>
    <x v="460"/>
    <s v="Ford, Murphy and Wilson"/>
    <s v="Sports"/>
    <n v="1"/>
    <n v="55.04"/>
    <n v="0.01"/>
    <n v="54.489600000000003"/>
    <x v="1"/>
  </r>
  <r>
    <x v="191"/>
    <s v="Guerra-Hendrix"/>
    <s v="Clothing"/>
    <n v="4"/>
    <n v="186.24"/>
    <n v="0.23"/>
    <n v="573.61920000000009"/>
    <x v="0"/>
  </r>
  <r>
    <x v="253"/>
    <s v="May-Reese"/>
    <s v="Sports"/>
    <n v="2"/>
    <n v="764.25"/>
    <n v="0.23"/>
    <n v="1176.9449999999999"/>
    <x v="2"/>
  </r>
  <r>
    <x v="50"/>
    <s v="May-Reese"/>
    <s v="Sports"/>
    <n v="2"/>
    <n v="957.54"/>
    <n v="0.1"/>
    <n v="1723.5719999999999"/>
    <x v="1"/>
  </r>
  <r>
    <x v="45"/>
    <s v="Soto-Ellis"/>
    <s v="Sports"/>
    <n v="2"/>
    <n v="740.68"/>
    <n v="0.02"/>
    <n v="1451.7328"/>
    <x v="2"/>
  </r>
  <r>
    <x v="142"/>
    <s v="Gardner-Montes"/>
    <s v="Home"/>
    <n v="1"/>
    <n v="388.35"/>
    <n v="0.01"/>
    <n v="384.4665"/>
    <x v="2"/>
  </r>
  <r>
    <x v="330"/>
    <s v="Gardner-Montes"/>
    <s v="Home"/>
    <n v="1"/>
    <n v="518"/>
    <n v="0.25"/>
    <n v="388.5"/>
    <x v="0"/>
  </r>
  <r>
    <x v="363"/>
    <s v="Flores, Pineda and Rodriguez"/>
    <s v="Sports"/>
    <n v="1"/>
    <n v="747.03"/>
    <n v="0.01"/>
    <n v="739.55970000000002"/>
    <x v="0"/>
  </r>
  <r>
    <x v="28"/>
    <s v="Flores, Pineda and Rodriguez"/>
    <s v="Sports"/>
    <n v="2"/>
    <n v="616.42999999999995"/>
    <n v="0.02"/>
    <n v="1208.2028"/>
    <x v="1"/>
  </r>
  <r>
    <x v="325"/>
    <s v="Cook Ltd"/>
    <s v="Sports"/>
    <n v="4"/>
    <n v="73.55"/>
    <n v="0.24"/>
    <n v="223.59200000000001"/>
    <x v="1"/>
  </r>
  <r>
    <x v="333"/>
    <s v="Cook Ltd"/>
    <s v="Sports"/>
    <n v="3"/>
    <n v="447.38"/>
    <n v="0.03"/>
    <n v="1301.8758"/>
    <x v="0"/>
  </r>
  <r>
    <x v="371"/>
    <s v="Cook Ltd"/>
    <s v="Sports"/>
    <n v="3"/>
    <n v="480.11"/>
    <n v="0.11"/>
    <n v="1281.8937000000001"/>
    <x v="2"/>
  </r>
  <r>
    <x v="367"/>
    <s v="Brown and Sons"/>
    <s v="Clothing"/>
    <n v="4"/>
    <n v="484.92"/>
    <n v="0.28000000000000003"/>
    <n v="1396.5696"/>
    <x v="2"/>
  </r>
  <r>
    <x v="253"/>
    <s v="Hoffman Group"/>
    <s v="Home"/>
    <n v="2"/>
    <n v="408.8"/>
    <n v="0.17"/>
    <n v="678.60799999999995"/>
    <x v="1"/>
  </r>
  <r>
    <x v="88"/>
    <s v="Pineda Ltd"/>
    <s v="Clothing"/>
    <n v="2"/>
    <n v="635.14"/>
    <n v="0.1"/>
    <n v="1143.252"/>
    <x v="1"/>
  </r>
  <r>
    <x v="276"/>
    <s v="Stevens, Fernandez and Martin"/>
    <s v="Home"/>
    <n v="1"/>
    <n v="649.22"/>
    <n v="0.03"/>
    <n v="629.74340000000007"/>
    <x v="1"/>
  </r>
  <r>
    <x v="44"/>
    <s v="Stevens, Fernandez and Martin"/>
    <s v="Home"/>
    <n v="4"/>
    <n v="998.2"/>
    <n v="0.15"/>
    <n v="3393.88"/>
    <x v="0"/>
  </r>
  <r>
    <x v="317"/>
    <s v="Weiss-Watson"/>
    <s v="Home"/>
    <n v="2"/>
    <n v="159.93"/>
    <n v="0.2"/>
    <n v="255.88800000000001"/>
    <x v="1"/>
  </r>
  <r>
    <x v="185"/>
    <s v="Weiss-Watson"/>
    <s v="Home"/>
    <n v="1"/>
    <n v="718.99"/>
    <n v="0.08"/>
    <n v="661.47080000000005"/>
    <x v="2"/>
  </r>
  <r>
    <x v="311"/>
    <s v="Lucero LLC"/>
    <s v="Electronics"/>
    <n v="2"/>
    <n v="833.7"/>
    <n v="0.06"/>
    <n v="1567.356"/>
    <x v="2"/>
  </r>
  <r>
    <x v="469"/>
    <s v="Lucero LLC"/>
    <s v="Electronics"/>
    <n v="1"/>
    <n v="152.16999999999999"/>
    <n v="0.28000000000000003"/>
    <n v="109.5624"/>
    <x v="1"/>
  </r>
  <r>
    <x v="335"/>
    <s v="Jones LLC"/>
    <s v="Home"/>
    <n v="4"/>
    <n v="328.27"/>
    <n v="0.09"/>
    <n v="1194.9028000000001"/>
    <x v="2"/>
  </r>
  <r>
    <x v="464"/>
    <s v="Jones LLC"/>
    <s v="Home"/>
    <n v="1"/>
    <n v="763.34"/>
    <n v="0.11"/>
    <n v="679.37260000000003"/>
    <x v="1"/>
  </r>
  <r>
    <x v="286"/>
    <s v="Smith-Mills"/>
    <s v="Clothing"/>
    <n v="2"/>
    <n v="992.55"/>
    <n v="0.28000000000000003"/>
    <n v="1429.2719999999999"/>
    <x v="0"/>
  </r>
  <r>
    <x v="115"/>
    <s v="Hogan-Lee"/>
    <s v="Clothing"/>
    <n v="2"/>
    <n v="365.91"/>
    <n v="0.14000000000000001"/>
    <n v="629.36520000000007"/>
    <x v="1"/>
  </r>
  <r>
    <x v="273"/>
    <s v="Sims-Smith"/>
    <s v="Sports"/>
    <n v="4"/>
    <n v="960.38"/>
    <n v="0.15"/>
    <n v="3265.2919999999999"/>
    <x v="1"/>
  </r>
  <r>
    <x v="47"/>
    <s v="Sims-Smith"/>
    <s v="Sports"/>
    <n v="4"/>
    <n v="766.03"/>
    <n v="0.28999999999999998"/>
    <n v="2175.5252"/>
    <x v="2"/>
  </r>
  <r>
    <x v="196"/>
    <s v="Taylor-Hart"/>
    <s v="Electronics"/>
    <n v="1"/>
    <n v="312.81"/>
    <n v="0.14000000000000001"/>
    <n v="269.01659999999998"/>
    <x v="2"/>
  </r>
  <r>
    <x v="106"/>
    <s v="Holmes LLC"/>
    <s v="Electronics"/>
    <n v="4"/>
    <n v="758.27"/>
    <n v="0.05"/>
    <n v="2881.4259999999999"/>
    <x v="2"/>
  </r>
  <r>
    <x v="211"/>
    <s v="Robinson Inc"/>
    <s v="Electronics"/>
    <n v="1"/>
    <n v="824.32"/>
    <n v="0.18"/>
    <n v="675.94240000000013"/>
    <x v="0"/>
  </r>
  <r>
    <x v="439"/>
    <s v="Cox Inc"/>
    <s v="Sports"/>
    <n v="1"/>
    <n v="62.38"/>
    <n v="0.08"/>
    <n v="57.389600000000002"/>
    <x v="1"/>
  </r>
  <r>
    <x v="423"/>
    <s v="Kelly, Smith and Perez"/>
    <s v="Clothing"/>
    <n v="4"/>
    <n v="344.12"/>
    <n v="0.25"/>
    <n v="1032.3599999999999"/>
    <x v="2"/>
  </r>
  <r>
    <x v="127"/>
    <s v="Byrd, Stewart and Valdez"/>
    <s v="Electronics"/>
    <n v="4"/>
    <n v="826.55"/>
    <n v="0.28000000000000003"/>
    <n v="2380.4639999999999"/>
    <x v="0"/>
  </r>
  <r>
    <x v="416"/>
    <s v="Smith-King"/>
    <s v="Sports"/>
    <n v="1"/>
    <n v="245.85"/>
    <n v="0.18"/>
    <n v="201.59700000000001"/>
    <x v="1"/>
  </r>
  <r>
    <x v="88"/>
    <s v="Bautista, Green and Hale"/>
    <s v="Electronics"/>
    <n v="1"/>
    <n v="629.09"/>
    <n v="0.02"/>
    <n v="616.50819999999999"/>
    <x v="0"/>
  </r>
  <r>
    <x v="297"/>
    <s v="Bautista, Green and Hale"/>
    <s v="Electronics"/>
    <n v="2"/>
    <n v="573.09"/>
    <n v="0.03"/>
    <n v="1111.7945999999999"/>
    <x v="1"/>
  </r>
  <r>
    <x v="115"/>
    <s v="Bautista, Green and Hale"/>
    <s v="Electronics"/>
    <n v="4"/>
    <n v="194.39"/>
    <n v="0.25"/>
    <n v="583.16999999999996"/>
    <x v="0"/>
  </r>
  <r>
    <x v="149"/>
    <s v="Harris Inc"/>
    <s v="Sports"/>
    <n v="3"/>
    <n v="593.62"/>
    <n v="0.08"/>
    <n v="1638.3912"/>
    <x v="0"/>
  </r>
  <r>
    <x v="302"/>
    <s v="Hamilton, Woods and Walker"/>
    <s v="Clothing"/>
    <n v="1"/>
    <n v="952.73"/>
    <n v="0.17"/>
    <n v="790.76589999999999"/>
    <x v="0"/>
  </r>
  <r>
    <x v="56"/>
    <s v="Thompson-French"/>
    <s v="Sports"/>
    <n v="3"/>
    <n v="676.77"/>
    <n v="0.17"/>
    <n v="1685.1573000000001"/>
    <x v="2"/>
  </r>
  <r>
    <x v="438"/>
    <s v="Hatfield, Baird and Torres"/>
    <s v="Home"/>
    <n v="3"/>
    <n v="599.48"/>
    <n v="0.22"/>
    <n v="1402.7832000000001"/>
    <x v="2"/>
  </r>
  <r>
    <x v="259"/>
    <s v="Hatfield, Baird and Torres"/>
    <s v="Home"/>
    <n v="1"/>
    <n v="238.24"/>
    <n v="0.12"/>
    <n v="209.65119999999999"/>
    <x v="2"/>
  </r>
  <r>
    <x v="268"/>
    <s v="Shepherd-Gould"/>
    <s v="Clothing"/>
    <n v="1"/>
    <n v="127.47"/>
    <n v="0.16"/>
    <n v="107.0748"/>
    <x v="1"/>
  </r>
  <r>
    <x v="109"/>
    <s v="Cline-Mccarthy"/>
    <s v="Beauty"/>
    <n v="4"/>
    <n v="867.94"/>
    <n v="0.26"/>
    <n v="2569.1024000000002"/>
    <x v="2"/>
  </r>
  <r>
    <x v="143"/>
    <s v="Cline-Mccarthy"/>
    <s v="Beauty"/>
    <n v="3"/>
    <n v="180.84"/>
    <n v="0.03"/>
    <n v="526.24439999999993"/>
    <x v="2"/>
  </r>
  <r>
    <x v="446"/>
    <s v="Lopez LLC"/>
    <s v="Sports"/>
    <n v="1"/>
    <n v="546.47"/>
    <n v="0.08"/>
    <n v="502.75240000000002"/>
    <x v="1"/>
  </r>
  <r>
    <x v="203"/>
    <s v="Lopez LLC"/>
    <s v="Sports"/>
    <n v="2"/>
    <n v="985.43"/>
    <n v="0.28000000000000003"/>
    <n v="1419.0192"/>
    <x v="1"/>
  </r>
  <r>
    <x v="353"/>
    <s v="Lopez LLC"/>
    <s v="Sports"/>
    <n v="3"/>
    <n v="260.45999999999998"/>
    <n v="0.09"/>
    <n v="711.05579999999986"/>
    <x v="0"/>
  </r>
  <r>
    <x v="428"/>
    <s v="Anderson-Riley"/>
    <s v="Beauty"/>
    <n v="3"/>
    <n v="195.89"/>
    <n v="0.16"/>
    <n v="493.64280000000002"/>
    <x v="2"/>
  </r>
  <r>
    <x v="123"/>
    <s v="Montgomery, Benton and Miller"/>
    <s v="Sports"/>
    <n v="3"/>
    <n v="548.19000000000005"/>
    <n v="0.12"/>
    <n v="1447.2216000000001"/>
    <x v="0"/>
  </r>
  <r>
    <x v="75"/>
    <s v="Torres, Spencer and Potter"/>
    <s v="Beauty"/>
    <n v="1"/>
    <n v="126.92"/>
    <n v="0.24"/>
    <n v="96.459199999999996"/>
    <x v="1"/>
  </r>
  <r>
    <x v="129"/>
    <s v="Flores-Davis"/>
    <s v="Electronics"/>
    <n v="2"/>
    <n v="849.8"/>
    <n v="0.06"/>
    <n v="1597.624"/>
    <x v="1"/>
  </r>
  <r>
    <x v="447"/>
    <s v="Flores-Davis"/>
    <s v="Electronics"/>
    <n v="3"/>
    <n v="77.599999999999994"/>
    <n v="7.0000000000000007E-2"/>
    <n v="216.50399999999999"/>
    <x v="0"/>
  </r>
  <r>
    <x v="105"/>
    <s v="Fitzpatrick Ltd"/>
    <s v="Clothing"/>
    <n v="2"/>
    <n v="354.09"/>
    <n v="0.12"/>
    <n v="623.19839999999999"/>
    <x v="1"/>
  </r>
  <r>
    <x v="479"/>
    <s v="Harrell LLC"/>
    <s v="Home"/>
    <n v="4"/>
    <n v="547.21"/>
    <n v="0.1"/>
    <n v="1969.9559999999999"/>
    <x v="1"/>
  </r>
  <r>
    <x v="217"/>
    <s v="Harrell LLC"/>
    <s v="Home"/>
    <n v="3"/>
    <n v="598.82000000000005"/>
    <n v="0.19"/>
    <n v="1455.1325999999999"/>
    <x v="1"/>
  </r>
  <r>
    <x v="224"/>
    <s v="Duran Group"/>
    <s v="Home"/>
    <n v="4"/>
    <n v="167.25"/>
    <n v="0.11"/>
    <n v="595.41"/>
    <x v="0"/>
  </r>
  <r>
    <x v="85"/>
    <s v="Hopkins Ltd"/>
    <s v="Beauty"/>
    <n v="3"/>
    <n v="664.75"/>
    <n v="0.12"/>
    <n v="1754.94"/>
    <x v="0"/>
  </r>
  <r>
    <x v="305"/>
    <s v="French Ltd"/>
    <s v="Sports"/>
    <n v="3"/>
    <n v="369.32"/>
    <n v="0.14000000000000001"/>
    <n v="952.84559999999999"/>
    <x v="2"/>
  </r>
  <r>
    <x v="421"/>
    <s v="French Ltd"/>
    <s v="Sports"/>
    <n v="4"/>
    <n v="934.96"/>
    <n v="0.18"/>
    <n v="3066.6687999999999"/>
    <x v="2"/>
  </r>
  <r>
    <x v="126"/>
    <s v="Larson Ltd"/>
    <s v="Electronics"/>
    <n v="3"/>
    <n v="89.78"/>
    <n v="0.2"/>
    <n v="215.47200000000001"/>
    <x v="1"/>
  </r>
  <r>
    <x v="175"/>
    <s v="Larson Ltd"/>
    <s v="Electronics"/>
    <n v="4"/>
    <n v="218.01"/>
    <n v="0.06"/>
    <n v="819.71759999999995"/>
    <x v="0"/>
  </r>
  <r>
    <x v="179"/>
    <s v="Larson Ltd"/>
    <s v="Electronics"/>
    <n v="1"/>
    <n v="141.79"/>
    <n v="0.1"/>
    <n v="127.611"/>
    <x v="0"/>
  </r>
  <r>
    <x v="12"/>
    <s v="Larson Ltd"/>
    <s v="Electronics"/>
    <n v="4"/>
    <n v="282.45"/>
    <n v="0.28999999999999998"/>
    <n v="802.1579999999999"/>
    <x v="1"/>
  </r>
  <r>
    <x v="267"/>
    <s v="White, Reeves and Woods"/>
    <s v="Electronics"/>
    <n v="1"/>
    <n v="918.87"/>
    <n v="0.11"/>
    <n v="817.79430000000002"/>
    <x v="2"/>
  </r>
  <r>
    <x v="170"/>
    <s v="White, Reeves and Woods"/>
    <s v="Electronics"/>
    <n v="3"/>
    <n v="998.58"/>
    <n v="0.02"/>
    <n v="2935.8252000000002"/>
    <x v="0"/>
  </r>
  <r>
    <x v="284"/>
    <s v="White, Reeves and Woods"/>
    <s v="Electronics"/>
    <n v="3"/>
    <n v="573.1"/>
    <n v="0.16"/>
    <n v="1444.212"/>
    <x v="1"/>
  </r>
  <r>
    <x v="146"/>
    <s v="Hernandez Inc"/>
    <s v="Home"/>
    <n v="3"/>
    <n v="362.11"/>
    <n v="0.23"/>
    <n v="836.47409999999991"/>
    <x v="1"/>
  </r>
  <r>
    <x v="316"/>
    <s v="Hernandez Inc"/>
    <s v="Home"/>
    <n v="3"/>
    <n v="679.22"/>
    <n v="0.11"/>
    <n v="1813.5174"/>
    <x v="2"/>
  </r>
  <r>
    <x v="338"/>
    <s v="Hernandez Inc"/>
    <s v="Home"/>
    <n v="4"/>
    <n v="467.24"/>
    <n v="0.08"/>
    <n v="1719.4431999999999"/>
    <x v="2"/>
  </r>
  <r>
    <x v="437"/>
    <s v="Ramirez-Hanson"/>
    <s v="Home"/>
    <n v="1"/>
    <n v="502.53"/>
    <n v="0"/>
    <n v="502.53"/>
    <x v="2"/>
  </r>
  <r>
    <x v="264"/>
    <s v="Perez-Johnston"/>
    <s v="Electronics"/>
    <n v="1"/>
    <n v="846.31"/>
    <n v="0.05"/>
    <n v="803.9944999999999"/>
    <x v="2"/>
  </r>
  <r>
    <x v="238"/>
    <s v="Robinson-Brown"/>
    <s v="Sports"/>
    <n v="3"/>
    <n v="438.92"/>
    <n v="0.21"/>
    <n v="1040.2403999999999"/>
    <x v="0"/>
  </r>
  <r>
    <x v="252"/>
    <s v="Robinson-Brown"/>
    <s v="Sports"/>
    <n v="4"/>
    <n v="762.43"/>
    <n v="0.05"/>
    <n v="2897.233999999999"/>
    <x v="0"/>
  </r>
  <r>
    <x v="445"/>
    <s v="Robinson-Brown"/>
    <s v="Sports"/>
    <n v="2"/>
    <n v="549.33000000000004"/>
    <n v="0.01"/>
    <n v="1087.6733999999999"/>
    <x v="1"/>
  </r>
  <r>
    <x v="461"/>
    <s v="Robinson-Brown"/>
    <s v="Sports"/>
    <n v="1"/>
    <n v="454.71"/>
    <n v="0.16"/>
    <n v="381.95639999999997"/>
    <x v="2"/>
  </r>
  <r>
    <x v="66"/>
    <s v="Reese-Watson"/>
    <s v="Sports"/>
    <n v="4"/>
    <n v="389.22"/>
    <n v="0.18"/>
    <n v="1276.6415999999999"/>
    <x v="0"/>
  </r>
  <r>
    <x v="455"/>
    <s v="Butler Group"/>
    <s v="Beauty"/>
    <n v="2"/>
    <n v="472.18"/>
    <n v="0.27"/>
    <n v="689.38279999999997"/>
    <x v="2"/>
  </r>
  <r>
    <x v="150"/>
    <s v="Butler Group"/>
    <s v="Beauty"/>
    <n v="1"/>
    <n v="254.47"/>
    <n v="0.1"/>
    <n v="229.023"/>
    <x v="0"/>
  </r>
  <r>
    <x v="369"/>
    <s v="Butler Group"/>
    <s v="Beauty"/>
    <n v="3"/>
    <n v="748.56"/>
    <n v="0.26"/>
    <n v="1661.8032000000001"/>
    <x v="2"/>
  </r>
  <r>
    <x v="198"/>
    <s v="Richardson-Carrillo"/>
    <s v="Clothing"/>
    <n v="3"/>
    <n v="522.78"/>
    <n v="0.25"/>
    <n v="1176.2550000000001"/>
    <x v="2"/>
  </r>
  <r>
    <x v="194"/>
    <s v="Taylor, Dodson and Johnston"/>
    <s v="Home"/>
    <n v="3"/>
    <n v="619.80999999999995"/>
    <n v="0.16"/>
    <n v="1561.9212"/>
    <x v="1"/>
  </r>
  <r>
    <x v="370"/>
    <s v="Aguilar, Horton and Lewis"/>
    <s v="Home"/>
    <n v="2"/>
    <n v="152.91"/>
    <n v="0.24"/>
    <n v="232.42320000000001"/>
    <x v="2"/>
  </r>
  <r>
    <x v="282"/>
    <s v="Olsen-Daniels"/>
    <s v="Sports"/>
    <n v="1"/>
    <n v="539.37"/>
    <n v="0.14000000000000001"/>
    <n v="463.85820000000001"/>
    <x v="0"/>
  </r>
  <r>
    <x v="94"/>
    <s v="Olsen-Daniels"/>
    <s v="Sports"/>
    <n v="3"/>
    <n v="23.37"/>
    <n v="0.15"/>
    <n v="59.593499999999999"/>
    <x v="2"/>
  </r>
  <r>
    <x v="181"/>
    <s v="Taylor-Elliott"/>
    <s v="Beauty"/>
    <n v="3"/>
    <n v="162.02110000000002"/>
    <n v="0"/>
    <n v="486.06330000000003"/>
    <x v="0"/>
  </r>
  <r>
    <x v="197"/>
    <s v="Taylor-Elliott"/>
    <s v="Beauty"/>
    <n v="4"/>
    <n v="630.21"/>
    <n v="0.14000000000000001"/>
    <n v="2167.9223999999999"/>
    <x v="1"/>
  </r>
  <r>
    <x v="160"/>
    <s v="Smith-Charles"/>
    <s v="Clothing"/>
    <n v="3"/>
    <n v="242.58"/>
    <n v="0.25"/>
    <n v="545.80500000000006"/>
    <x v="0"/>
  </r>
  <r>
    <x v="55"/>
    <s v="Green, Powell and Palmer"/>
    <s v="Home"/>
    <n v="2"/>
    <n v="878.05"/>
    <n v="0.11"/>
    <n v="1562.9290000000001"/>
    <x v="2"/>
  </r>
  <r>
    <x v="164"/>
    <s v="Green, Powell and Palmer"/>
    <s v="Home"/>
    <n v="1"/>
    <n v="117.37"/>
    <n v="0.21"/>
    <n v="92.722300000000004"/>
    <x v="0"/>
  </r>
  <r>
    <x v="99"/>
    <s v="Green, Powell and Palmer"/>
    <s v="Home"/>
    <n v="1"/>
    <n v="882.03"/>
    <n v="0.04"/>
    <n v="846.74879999999996"/>
    <x v="1"/>
  </r>
  <r>
    <x v="382"/>
    <s v="Martin LLC"/>
    <s v="Electronics"/>
    <n v="3"/>
    <n v="949.19"/>
    <n v="0.03"/>
    <n v="2762.1428999999998"/>
    <x v="1"/>
  </r>
  <r>
    <x v="222"/>
    <s v="Hoffman-Williams"/>
    <s v="Beauty"/>
    <n v="1"/>
    <n v="946.9"/>
    <n v="0.28999999999999998"/>
    <n v="672.29899999999998"/>
    <x v="1"/>
  </r>
  <r>
    <x v="196"/>
    <s v="Hoffman-Williams"/>
    <s v="Beauty"/>
    <n v="2"/>
    <n v="859.74"/>
    <n v="0.25"/>
    <n v="1289.6099999999999"/>
    <x v="1"/>
  </r>
  <r>
    <x v="247"/>
    <s v="Wilson Group"/>
    <s v="Sports"/>
    <n v="1"/>
    <n v="779.84"/>
    <n v="0.28999999999999998"/>
    <n v="553.68640000000005"/>
    <x v="2"/>
  </r>
  <r>
    <x v="305"/>
    <s v="Khan LLC"/>
    <s v="Sports"/>
    <n v="3"/>
    <n v="612.53"/>
    <n v="0.21"/>
    <n v="1451.6960999999999"/>
    <x v="1"/>
  </r>
  <r>
    <x v="440"/>
    <s v="Campbell Ltd"/>
    <s v="Home"/>
    <n v="2"/>
    <n v="68.290000000000006"/>
    <n v="0.14000000000000001"/>
    <n v="117.4588"/>
    <x v="1"/>
  </r>
  <r>
    <x v="252"/>
    <s v="Hunt Inc"/>
    <s v="Electronics"/>
    <n v="4"/>
    <n v="191.65"/>
    <n v="0.19"/>
    <n v="620.94600000000003"/>
    <x v="2"/>
  </r>
  <r>
    <x v="480"/>
    <s v="Hamilton Group"/>
    <s v="Home"/>
    <n v="1"/>
    <n v="66.86"/>
    <n v="0.22"/>
    <n v="52.150799999999997"/>
    <x v="1"/>
  </r>
  <r>
    <x v="324"/>
    <s v="Hamilton Group"/>
    <s v="Home"/>
    <n v="1"/>
    <n v="457.33"/>
    <n v="0.27"/>
    <n v="333.85090000000002"/>
    <x v="0"/>
  </r>
  <r>
    <x v="121"/>
    <s v="Hamilton Group"/>
    <s v="Home"/>
    <n v="2"/>
    <n v="164.23"/>
    <n v="0.17"/>
    <n v="272.62180000000001"/>
    <x v="0"/>
  </r>
  <r>
    <x v="66"/>
    <s v="Hamilton Group"/>
    <s v="Home"/>
    <n v="4"/>
    <n v="499.02"/>
    <n v="0.06"/>
    <n v="1876.3152"/>
    <x v="0"/>
  </r>
  <r>
    <x v="85"/>
    <s v="Gibson, Hobbs and Weaver"/>
    <s v="Electronics"/>
    <n v="3"/>
    <n v="110.99"/>
    <n v="0.21"/>
    <n v="263.04629999999997"/>
    <x v="0"/>
  </r>
  <r>
    <x v="260"/>
    <s v="Luna, Anderson and Bowman"/>
    <s v="Home"/>
    <n v="2"/>
    <n v="44.65"/>
    <n v="0.03"/>
    <n v="86.620999999999995"/>
    <x v="2"/>
  </r>
  <r>
    <x v="410"/>
    <s v="Thomas LLC"/>
    <s v="Electronics"/>
    <n v="3"/>
    <n v="147.01"/>
    <n v="0.19"/>
    <n v="357.23430000000002"/>
    <x v="1"/>
  </r>
  <r>
    <x v="157"/>
    <s v="Thomas LLC"/>
    <s v="Electronics"/>
    <n v="3"/>
    <n v="326.66000000000003"/>
    <n v="0.28000000000000003"/>
    <n v="705.5856"/>
    <x v="1"/>
  </r>
  <r>
    <x v="353"/>
    <s v="Thomas LLC"/>
    <s v="Electronics"/>
    <n v="1"/>
    <n v="977.02"/>
    <n v="0.2"/>
    <n v="781.61599999999999"/>
    <x v="1"/>
  </r>
  <r>
    <x v="393"/>
    <s v="Thomas LLC"/>
    <s v="Electronics"/>
    <n v="4"/>
    <n v="733.42"/>
    <n v="0.87"/>
    <n v="2552.3015999999998"/>
    <x v="2"/>
  </r>
  <r>
    <x v="456"/>
    <s v="May-Reese"/>
    <s v="Sports"/>
    <n v="2"/>
    <n v="350.12"/>
    <n v="0.21"/>
    <n v="553.18960000000004"/>
    <x v="1"/>
  </r>
  <r>
    <x v="81"/>
    <s v="May-Reese"/>
    <s v="Sports"/>
    <n v="1"/>
    <n v="374.92"/>
    <n v="0.18"/>
    <n v="307.43439999999998"/>
    <x v="2"/>
  </r>
  <r>
    <x v="260"/>
    <s v="Soto-Ellis"/>
    <s v="Sports"/>
    <n v="4"/>
    <n v="894.93"/>
    <n v="0.05"/>
    <n v="3400.733999999999"/>
    <x v="1"/>
  </r>
  <r>
    <x v="462"/>
    <s v="Soto-Ellis"/>
    <s v="Sports"/>
    <n v="4"/>
    <n v="756.28"/>
    <n v="0.05"/>
    <n v="2873.864"/>
    <x v="1"/>
  </r>
  <r>
    <x v="1"/>
    <s v="Flores, Pineda and Rodriguez"/>
    <s v="Sports"/>
    <n v="3"/>
    <n v="235.41"/>
    <n v="0.15"/>
    <n v="600.29549999999995"/>
    <x v="2"/>
  </r>
  <r>
    <x v="18"/>
    <s v="Moon, Mora and Santos"/>
    <s v="Clothing"/>
    <n v="2"/>
    <n v="608.46"/>
    <n v="0.16"/>
    <n v="1022.2128"/>
    <x v="0"/>
  </r>
  <r>
    <x v="279"/>
    <s v="Cook Ltd"/>
    <s v="Sports"/>
    <n v="1"/>
    <n v="412.11"/>
    <n v="0.23"/>
    <n v="317.32470000000001"/>
    <x v="2"/>
  </r>
  <r>
    <x v="67"/>
    <s v="Brown and Sons"/>
    <s v="Clothing"/>
    <n v="4"/>
    <n v="285.82"/>
    <n v="0.18"/>
    <n v="937.4896"/>
    <x v="2"/>
  </r>
  <r>
    <x v="136"/>
    <s v="Reed-Schmidt"/>
    <s v="Electronics"/>
    <n v="1"/>
    <n v="566.5"/>
    <n v="0.25"/>
    <n v="424.875"/>
    <x v="1"/>
  </r>
  <r>
    <x v="365"/>
    <s v="Burns-Hansen"/>
    <s v="Sports"/>
    <n v="3"/>
    <n v="884.92"/>
    <n v="0.06"/>
    <n v="2495.4744000000001"/>
    <x v="2"/>
  </r>
  <r>
    <x v="280"/>
    <s v="Hoffman Group"/>
    <s v="Home"/>
    <n v="3"/>
    <n v="310.36"/>
    <n v="0.14000000000000001"/>
    <n v="800.72879999999998"/>
    <x v="1"/>
  </r>
  <r>
    <x v="120"/>
    <s v="Pineda Ltd"/>
    <s v="Clothing"/>
    <n v="3"/>
    <n v="604.66"/>
    <n v="0.18"/>
    <n v="1487.4636"/>
    <x v="1"/>
  </r>
  <r>
    <x v="262"/>
    <s v="Stevens, Fernandez and Martin"/>
    <s v="Home"/>
    <n v="1"/>
    <n v="637.39"/>
    <n v="0.22"/>
    <n v="497.16419999999999"/>
    <x v="2"/>
  </r>
  <r>
    <x v="121"/>
    <s v="Lucero LLC"/>
    <s v="Electronics"/>
    <n v="4"/>
    <n v="36.72"/>
    <n v="7.0000000000000007E-2"/>
    <n v="136.5984"/>
    <x v="1"/>
  </r>
  <r>
    <x v="329"/>
    <s v="Lucero LLC"/>
    <s v="Electronics"/>
    <n v="1"/>
    <n v="168.29"/>
    <n v="0.05"/>
    <n v="159.87549999999999"/>
    <x v="2"/>
  </r>
  <r>
    <x v="52"/>
    <s v="Jones LLC"/>
    <s v="Home"/>
    <n v="4"/>
    <n v="185.67"/>
    <n v="0.21"/>
    <n v="586.71719999999993"/>
    <x v="2"/>
  </r>
  <r>
    <x v="174"/>
    <s v="Jones LLC"/>
    <s v="Home"/>
    <n v="1"/>
    <n v="617.4"/>
    <n v="0.21"/>
    <n v="487.74599999999998"/>
    <x v="0"/>
  </r>
  <r>
    <x v="162"/>
    <s v="Smith-Mills"/>
    <s v="Clothing"/>
    <n v="1"/>
    <n v="377.52"/>
    <n v="0.15"/>
    <n v="320.892"/>
    <x v="0"/>
  </r>
  <r>
    <x v="338"/>
    <s v="Smith-Mills"/>
    <s v="Clothing"/>
    <n v="1"/>
    <n v="514.65"/>
    <n v="0.18"/>
    <n v="422.01299999999998"/>
    <x v="0"/>
  </r>
  <r>
    <x v="388"/>
    <s v="Hogan-Lee"/>
    <s v="Clothing"/>
    <n v="3"/>
    <n v="346.77"/>
    <n v="0.18"/>
    <n v="853.05420000000004"/>
    <x v="2"/>
  </r>
  <r>
    <x v="228"/>
    <s v="Hogan-Lee"/>
    <s v="Clothing"/>
    <n v="2"/>
    <n v="606.35"/>
    <n v="0.16"/>
    <n v="1018.668"/>
    <x v="1"/>
  </r>
  <r>
    <x v="258"/>
    <s v="Hogan-Lee"/>
    <s v="Clothing"/>
    <n v="2"/>
    <n v="78.27"/>
    <n v="0.28999999999999998"/>
    <n v="111.1434"/>
    <x v="1"/>
  </r>
  <r>
    <x v="442"/>
    <s v="Hogan-Lee"/>
    <s v="Clothing"/>
    <n v="2"/>
    <n v="985.79"/>
    <n v="0.04"/>
    <n v="1892.7167999999999"/>
    <x v="2"/>
  </r>
  <r>
    <x v="392"/>
    <s v="Hogan-Lee"/>
    <s v="Clothing"/>
    <n v="4"/>
    <n v="482.06"/>
    <n v="7.0000000000000007E-2"/>
    <n v="1793.2632000000001"/>
    <x v="2"/>
  </r>
  <r>
    <x v="16"/>
    <s v="Sims-Smith"/>
    <s v="Sports"/>
    <n v="3"/>
    <n v="179.7"/>
    <n v="0.17"/>
    <n v="447.45299999999992"/>
    <x v="1"/>
  </r>
  <r>
    <x v="399"/>
    <s v="Sims-Smith"/>
    <s v="Sports"/>
    <n v="2"/>
    <n v="358.45"/>
    <n v="7.0000000000000007E-2"/>
    <n v="666.71699999999998"/>
    <x v="1"/>
  </r>
  <r>
    <x v="372"/>
    <s v="Cummings and Sons"/>
    <s v="Electronics"/>
    <n v="2"/>
    <n v="507.66"/>
    <n v="0"/>
    <n v="1015.32"/>
    <x v="1"/>
  </r>
  <r>
    <x v="169"/>
    <s v="Cummings and Sons"/>
    <s v="Electronics"/>
    <n v="4"/>
    <n v="284.44"/>
    <n v="0.02"/>
    <n v="1115.0047999999999"/>
    <x v="0"/>
  </r>
  <r>
    <x v="428"/>
    <s v="Gonzales-Davis"/>
    <s v="Clothing"/>
    <n v="4"/>
    <n v="723.44"/>
    <n v="0.14000000000000001"/>
    <n v="2488.6336000000001"/>
    <x v="2"/>
  </r>
  <r>
    <x v="401"/>
    <s v="Taylor-Hart"/>
    <s v="Electronics"/>
    <n v="3"/>
    <n v="490.02"/>
    <n v="0.26"/>
    <n v="1087.8444"/>
    <x v="0"/>
  </r>
  <r>
    <x v="195"/>
    <s v="Holmes LLC"/>
    <s v="Electronics"/>
    <n v="3"/>
    <n v="94.55"/>
    <n v="0.13"/>
    <n v="246.77549999999999"/>
    <x v="1"/>
  </r>
  <r>
    <x v="376"/>
    <s v="Holmes LLC"/>
    <s v="Electronics"/>
    <n v="3"/>
    <n v="553.12"/>
    <n v="0.28000000000000003"/>
    <n v="1194.7392"/>
    <x v="1"/>
  </r>
  <r>
    <x v="481"/>
    <s v="Robinson Inc"/>
    <s v="Electronics"/>
    <n v="2"/>
    <n v="536.61"/>
    <n v="0.14000000000000001"/>
    <n v="922.9692"/>
    <x v="0"/>
  </r>
  <r>
    <x v="66"/>
    <s v="Kelly, Smith and Perez"/>
    <s v="Clothing"/>
    <n v="2"/>
    <n v="143.79"/>
    <n v="0.1"/>
    <n v="258.822"/>
    <x v="2"/>
  </r>
  <r>
    <x v="182"/>
    <s v="Cook Inc"/>
    <s v="Beauty"/>
    <n v="3"/>
    <n v="79.77"/>
    <n v="0.09"/>
    <n v="217.77209999999999"/>
    <x v="0"/>
  </r>
  <r>
    <x v="157"/>
    <s v="Byrd, Stewart and Valdez"/>
    <s v="Electronics"/>
    <n v="3"/>
    <n v="855.96"/>
    <n v="0.28999999999999998"/>
    <n v="1823.1948"/>
    <x v="1"/>
  </r>
  <r>
    <x v="469"/>
    <s v="Byrd, Stewart and Valdez"/>
    <s v="Electronics"/>
    <n v="2"/>
    <n v="271.39999999999998"/>
    <n v="0.17"/>
    <n v="450.52399999999989"/>
    <x v="2"/>
  </r>
  <r>
    <x v="2"/>
    <s v="Sullivan and Sons"/>
    <s v="Beauty"/>
    <n v="3"/>
    <n v="847.44"/>
    <n v="0.17"/>
    <n v="2110.1255999999998"/>
    <x v="0"/>
  </r>
  <r>
    <x v="56"/>
    <s v="Sullivan and Sons"/>
    <s v="Beauty"/>
    <n v="2"/>
    <n v="955.66"/>
    <n v="0.28999999999999998"/>
    <n v="1357.0372"/>
    <x v="1"/>
  </r>
  <r>
    <x v="482"/>
    <s v="Baldwin, Garza and Gonzalez"/>
    <s v="Clothing"/>
    <n v="3"/>
    <n v="559.52"/>
    <n v="0.16"/>
    <n v="1409.9903999999999"/>
    <x v="2"/>
  </r>
  <r>
    <x v="364"/>
    <s v="Smith-King"/>
    <s v="Sports"/>
    <n v="2"/>
    <n v="197.76"/>
    <n v="0.04"/>
    <n v="379.69920000000002"/>
    <x v="0"/>
  </r>
  <r>
    <x v="434"/>
    <s v="Bautista, Green and Hale"/>
    <s v="Electronics"/>
    <n v="4"/>
    <n v="581.34"/>
    <n v="0.08"/>
    <n v="2139.3312000000001"/>
    <x v="0"/>
  </r>
  <r>
    <x v="117"/>
    <s v="Harris Inc"/>
    <s v="Sports"/>
    <n v="4"/>
    <n v="915.17"/>
    <n v="0.19"/>
    <n v="2965.1507999999999"/>
    <x v="1"/>
  </r>
  <r>
    <x v="224"/>
    <s v="Hamilton, Woods and Walker"/>
    <s v="Clothing"/>
    <n v="2"/>
    <n v="314.29000000000002"/>
    <n v="0.19"/>
    <n v="509.14980000000008"/>
    <x v="1"/>
  </r>
  <r>
    <x v="235"/>
    <s v="Hamilton, Woods and Walker"/>
    <s v="Clothing"/>
    <n v="2"/>
    <n v="842.89"/>
    <n v="0.25"/>
    <n v="1264.335"/>
    <x v="1"/>
  </r>
  <r>
    <x v="476"/>
    <s v="Hatfield, Baird and Torres"/>
    <s v="Home"/>
    <n v="1"/>
    <n v="522.85"/>
    <n v="0.12"/>
    <n v="460.108"/>
    <x v="2"/>
  </r>
  <r>
    <x v="192"/>
    <s v="Hatfield, Baird and Torres"/>
    <s v="Home"/>
    <n v="2"/>
    <n v="778.56"/>
    <n v="0.11"/>
    <n v="1385.8368"/>
    <x v="1"/>
  </r>
  <r>
    <x v="204"/>
    <s v="Hatfield, Baird and Torres"/>
    <s v="Home"/>
    <n v="1"/>
    <n v="917.26"/>
    <n v="0.05"/>
    <n v="871.39699999999993"/>
    <x v="2"/>
  </r>
  <r>
    <x v="11"/>
    <s v="Hernandez, Kennedy and Porter"/>
    <s v="Home"/>
    <n v="4"/>
    <n v="476.28"/>
    <n v="0.17"/>
    <n v="1581.2496000000001"/>
    <x v="0"/>
  </r>
  <r>
    <x v="23"/>
    <s v="Hernandez, Kennedy and Porter"/>
    <s v="Home"/>
    <n v="4"/>
    <n v="263.58999999999997"/>
    <n v="0.04"/>
    <n v="1012.1856"/>
    <x v="0"/>
  </r>
  <r>
    <x v="229"/>
    <s v="Shepherd-Gould"/>
    <s v="Clothing"/>
    <n v="1"/>
    <n v="458.69"/>
    <n v="0.16"/>
    <n v="385.2996"/>
    <x v="2"/>
  </r>
  <r>
    <x v="381"/>
    <s v="Shepherd-Gould"/>
    <s v="Clothing"/>
    <n v="3"/>
    <n v="742.45"/>
    <n v="0.23"/>
    <n v="1715.0595000000001"/>
    <x v="1"/>
  </r>
  <r>
    <x v="358"/>
    <s v="Cline-Mccarthy"/>
    <s v="Beauty"/>
    <n v="2"/>
    <n v="958.64"/>
    <n v="0.2"/>
    <n v="1533.8240000000001"/>
    <x v="2"/>
  </r>
  <r>
    <x v="451"/>
    <s v="Cline-Mccarthy"/>
    <s v="Beauty"/>
    <n v="3"/>
    <n v="836.4"/>
    <n v="0"/>
    <n v="2509.1999999999998"/>
    <x v="0"/>
  </r>
  <r>
    <x v="298"/>
    <s v="Davidson PLC"/>
    <s v="Beauty"/>
    <n v="2"/>
    <n v="257.95999999999998"/>
    <n v="0.21"/>
    <n v="407.57679999999999"/>
    <x v="2"/>
  </r>
  <r>
    <x v="320"/>
    <s v="Lopez LLC"/>
    <s v="Sports"/>
    <n v="2"/>
    <n v="654.12"/>
    <n v="0.27"/>
    <n v="955.01519999999994"/>
    <x v="2"/>
  </r>
  <r>
    <x v="120"/>
    <s v="Murray, Gould and Ware"/>
    <s v="Electronics"/>
    <n v="4"/>
    <n v="46.97"/>
    <n v="0.26"/>
    <n v="139.03120000000001"/>
    <x v="2"/>
  </r>
  <r>
    <x v="257"/>
    <s v="Anderson-Riley"/>
    <s v="Beauty"/>
    <n v="1"/>
    <n v="536.67999999999995"/>
    <n v="0.27"/>
    <n v="391.77640000000002"/>
    <x v="0"/>
  </r>
  <r>
    <x v="448"/>
    <s v="Zhang Inc"/>
    <s v="Beauty"/>
    <n v="2"/>
    <n v="747.65"/>
    <n v="0.08"/>
    <n v="1375.6759999999999"/>
    <x v="0"/>
  </r>
  <r>
    <x v="427"/>
    <s v="Montgomery, Benton and Miller"/>
    <s v="Sports"/>
    <n v="1"/>
    <n v="203.61"/>
    <n v="0.24"/>
    <n v="154.74359999999999"/>
    <x v="1"/>
  </r>
  <r>
    <x v="172"/>
    <s v="Montgomery, Benton and Miller"/>
    <s v="Sports"/>
    <n v="1"/>
    <n v="370.04"/>
    <n v="0.04"/>
    <n v="355.23840000000001"/>
    <x v="1"/>
  </r>
  <r>
    <x v="214"/>
    <s v="Fitzpatrick Ltd"/>
    <s v="Clothing"/>
    <n v="3"/>
    <n v="76.569999999999993"/>
    <n v="0.26"/>
    <n v="169.9854"/>
    <x v="0"/>
  </r>
  <r>
    <x v="327"/>
    <s v="Harrell LLC"/>
    <s v="Home"/>
    <n v="2"/>
    <n v="784.26"/>
    <n v="0.23"/>
    <n v="1207.7603999999999"/>
    <x v="2"/>
  </r>
  <r>
    <x v="225"/>
    <s v="Duran Group"/>
    <s v="Home"/>
    <n v="3"/>
    <n v="687.66"/>
    <n v="0.06"/>
    <n v="1939.2012"/>
    <x v="2"/>
  </r>
  <r>
    <x v="199"/>
    <s v="Hopkins Ltd"/>
    <s v="Beauty"/>
    <n v="1"/>
    <n v="475.15"/>
    <n v="0.04"/>
    <n v="456.14399999999989"/>
    <x v="1"/>
  </r>
  <r>
    <x v="66"/>
    <s v="Davis PLC"/>
    <s v="Sports"/>
    <n v="2"/>
    <n v="343.42"/>
    <n v="0.12"/>
    <n v="604.41920000000005"/>
    <x v="1"/>
  </r>
  <r>
    <x v="394"/>
    <s v="Davis PLC"/>
    <s v="Sports"/>
    <n v="4"/>
    <n v="282.07"/>
    <n v="0.18"/>
    <n v="925.18960000000004"/>
    <x v="2"/>
  </r>
  <r>
    <x v="392"/>
    <s v="French Ltd"/>
    <s v="Sports"/>
    <n v="3"/>
    <n v="405.13"/>
    <n v="0.14000000000000001"/>
    <n v="1045.2354"/>
    <x v="1"/>
  </r>
  <r>
    <x v="132"/>
    <s v="Bruce-Bowen"/>
    <s v="Electronics"/>
    <n v="2"/>
    <n v="130.47999999999999"/>
    <n v="0.23"/>
    <n v="200.9392"/>
    <x v="2"/>
  </r>
  <r>
    <x v="143"/>
    <s v="Poole PLC"/>
    <s v="Clothing"/>
    <n v="3"/>
    <n v="582.1"/>
    <n v="0.12"/>
    <n v="1536.7439999999999"/>
    <x v="2"/>
  </r>
  <r>
    <x v="247"/>
    <s v="Hernandez Inc"/>
    <s v="Home"/>
    <n v="3"/>
    <n v="744.9"/>
    <n v="0.27"/>
    <n v="1631.3309999999999"/>
    <x v="2"/>
  </r>
  <r>
    <x v="393"/>
    <s v="Ramirez-Hanson"/>
    <s v="Home"/>
    <n v="1"/>
    <n v="224.49"/>
    <n v="0.11"/>
    <n v="199.7961"/>
    <x v="2"/>
  </r>
  <r>
    <x v="470"/>
    <s v="Ramirez-Hanson"/>
    <s v="Home"/>
    <n v="4"/>
    <n v="422.09"/>
    <n v="0.04"/>
    <n v="1620.8255999999999"/>
    <x v="0"/>
  </r>
  <r>
    <x v="332"/>
    <s v="Perez-Johnston"/>
    <s v="Electronics"/>
    <n v="2"/>
    <n v="377.3"/>
    <n v="0.15"/>
    <n v="641.41"/>
    <x v="2"/>
  </r>
  <r>
    <x v="54"/>
    <s v="Robinson-Brown"/>
    <s v="Sports"/>
    <n v="1"/>
    <n v="26.37"/>
    <n v="0.3"/>
    <n v="18.459"/>
    <x v="1"/>
  </r>
  <r>
    <x v="462"/>
    <s v="Robinson-Brown"/>
    <s v="Sports"/>
    <n v="4"/>
    <n v="262.05"/>
    <n v="0.24"/>
    <n v="796.63200000000006"/>
    <x v="2"/>
  </r>
  <r>
    <x v="133"/>
    <s v="Reese-Watson"/>
    <s v="Sports"/>
    <n v="1"/>
    <n v="162.13999999999999"/>
    <n v="7.0000000000000007E-2"/>
    <n v="150.7902"/>
    <x v="2"/>
  </r>
  <r>
    <x v="400"/>
    <s v="Butler Group"/>
    <s v="Beauty"/>
    <n v="2"/>
    <n v="467.75"/>
    <n v="0.26"/>
    <n v="692.27"/>
    <x v="0"/>
  </r>
  <r>
    <x v="483"/>
    <s v="Collins-Stephenson"/>
    <s v="Home"/>
    <n v="4"/>
    <n v="450.83"/>
    <n v="0.24"/>
    <n v="1370.5232000000001"/>
    <x v="0"/>
  </r>
  <r>
    <x v="21"/>
    <s v="Richardson-Carrillo"/>
    <s v="Clothing"/>
    <n v="4"/>
    <n v="930.85"/>
    <n v="0.13"/>
    <n v="3239.3580000000002"/>
    <x v="2"/>
  </r>
  <r>
    <x v="81"/>
    <s v="Taylor, Dodson and Johnston"/>
    <s v="Home"/>
    <n v="1"/>
    <n v="729.05"/>
    <n v="0.06"/>
    <n v="685.3069999999999"/>
    <x v="1"/>
  </r>
  <r>
    <x v="364"/>
    <s v="Taylor, Dodson and Johnston"/>
    <s v="Home"/>
    <n v="4"/>
    <n v="525.61"/>
    <n v="0.02"/>
    <n v="2060.3912"/>
    <x v="2"/>
  </r>
  <r>
    <x v="103"/>
    <s v="Aguilar, Horton and Lewis"/>
    <s v="Home"/>
    <n v="2"/>
    <n v="386.46"/>
    <n v="0.23"/>
    <n v="595.14840000000004"/>
    <x v="1"/>
  </r>
  <r>
    <x v="241"/>
    <s v="Olsen-Daniels"/>
    <s v="Sports"/>
    <n v="4"/>
    <n v="127.1"/>
    <n v="0.24"/>
    <n v="386.38400000000001"/>
    <x v="1"/>
  </r>
  <r>
    <x v="451"/>
    <s v="Hill PLC"/>
    <s v="Sports"/>
    <n v="1"/>
    <n v="484.23"/>
    <n v="0.12"/>
    <n v="426.12240000000003"/>
    <x v="1"/>
  </r>
  <r>
    <x v="74"/>
    <s v="Sharp, Taylor and Rodriguez"/>
    <s v="Electronics"/>
    <n v="1"/>
    <n v="537.26"/>
    <n v="0.09"/>
    <n v="488.90660000000003"/>
    <x v="0"/>
  </r>
  <r>
    <x v="201"/>
    <s v="Smith-Charles"/>
    <s v="Clothing"/>
    <n v="2"/>
    <n v="533.91999999999996"/>
    <n v="0.13"/>
    <n v="929.02079999999989"/>
    <x v="0"/>
  </r>
  <r>
    <x v="119"/>
    <s v="Martin LLC"/>
    <s v="Electronics"/>
    <n v="3"/>
    <n v="159.76"/>
    <n v="0.22"/>
    <n v="373.83839999999998"/>
    <x v="0"/>
  </r>
  <r>
    <x v="484"/>
    <s v="Martin LLC"/>
    <s v="Electronics"/>
    <n v="2"/>
    <n v="224.69"/>
    <n v="0.2"/>
    <n v="359.50400000000002"/>
    <x v="1"/>
  </r>
  <r>
    <x v="485"/>
    <s v="Martin LLC"/>
    <s v="Electronics"/>
    <n v="2"/>
    <n v="846.18"/>
    <n v="0.1"/>
    <n v="1523.124"/>
    <x v="1"/>
  </r>
  <r>
    <x v="20"/>
    <s v="Martin LLC"/>
    <s v="Electronics"/>
    <n v="4"/>
    <n v="763.34"/>
    <n v="7.0000000000000007E-2"/>
    <n v="2839.6248000000001"/>
    <x v="2"/>
  </r>
  <r>
    <x v="120"/>
    <s v="Hoffman-Williams"/>
    <s v="Beauty"/>
    <n v="3"/>
    <n v="99.67"/>
    <n v="0.17"/>
    <n v="248.17830000000001"/>
    <x v="0"/>
  </r>
  <r>
    <x v="73"/>
    <s v="Wilson Group"/>
    <s v="Sports"/>
    <n v="3"/>
    <n v="268.76"/>
    <n v="0.01"/>
    <n v="798.21719999999993"/>
    <x v="2"/>
  </r>
  <r>
    <x v="452"/>
    <s v="Khan LLC"/>
    <s v="Sports"/>
    <n v="3"/>
    <n v="411.25"/>
    <n v="0.05"/>
    <n v="1172.0625"/>
    <x v="0"/>
  </r>
  <r>
    <x v="151"/>
    <s v="Khan LLC"/>
    <s v="Sports"/>
    <n v="4"/>
    <n v="938.21"/>
    <n v="0.04"/>
    <n v="3602.7264"/>
    <x v="2"/>
  </r>
  <r>
    <x v="334"/>
    <s v="Flores-King"/>
    <s v="Electronics"/>
    <n v="4"/>
    <n v="548.44000000000005"/>
    <n v="0.05"/>
    <n v="2084.0720000000001"/>
    <x v="2"/>
  </r>
  <r>
    <x v="185"/>
    <s v="Flores-King"/>
    <s v="Electronics"/>
    <n v="4"/>
    <n v="107.08"/>
    <n v="0.27"/>
    <n v="312.67360000000002"/>
    <x v="1"/>
  </r>
  <r>
    <x v="464"/>
    <s v="Hunt Inc"/>
    <s v="Electronics"/>
    <n v="4"/>
    <n v="849.21"/>
    <n v="7.0000000000000007E-2"/>
    <n v="3159.0612000000001"/>
    <x v="0"/>
  </r>
  <r>
    <x v="266"/>
    <s v="Rice LLC"/>
    <s v="Beauty"/>
    <n v="3"/>
    <n v="906.99"/>
    <n v="0.26"/>
    <n v="2013.5178000000001"/>
    <x v="1"/>
  </r>
  <r>
    <x v="336"/>
    <s v="Rice LLC"/>
    <s v="Beauty"/>
    <n v="1"/>
    <n v="719.28"/>
    <n v="0.08"/>
    <n v="661.73760000000004"/>
    <x v="0"/>
  </r>
  <r>
    <x v="455"/>
    <s v="Dawson-Perkins"/>
    <s v="Electronics"/>
    <n v="4"/>
    <n v="535.4"/>
    <n v="0.26"/>
    <n v="1584.7840000000001"/>
    <x v="2"/>
  </r>
  <r>
    <x v="107"/>
    <s v="Dawson-Perkins"/>
    <s v="Electronics"/>
    <n v="3"/>
    <n v="278.38"/>
    <n v="0.03"/>
    <n v="810.08579999999995"/>
    <x v="0"/>
  </r>
  <r>
    <x v="248"/>
    <s v="Dawson-Perkins"/>
    <s v="Electronics"/>
    <n v="1"/>
    <n v="139.29"/>
    <n v="0"/>
    <n v="139.29"/>
    <x v="0"/>
  </r>
  <r>
    <x v="449"/>
    <s v="Dawson-Perkins"/>
    <s v="Electronics"/>
    <n v="4"/>
    <n v="729.31"/>
    <n v="0.03"/>
    <n v="2829.7228"/>
    <x v="0"/>
  </r>
  <r>
    <x v="267"/>
    <s v="Erickson-Green"/>
    <s v="Beauty"/>
    <n v="3"/>
    <n v="459.57"/>
    <n v="0.1"/>
    <n v="1240.8389999999999"/>
    <x v="1"/>
  </r>
  <r>
    <x v="393"/>
    <s v="Erickson-Green"/>
    <s v="Beauty"/>
    <n v="4"/>
    <n v="700.88"/>
    <n v="0.23"/>
    <n v="2158.7103999999999"/>
    <x v="2"/>
  </r>
  <r>
    <x v="229"/>
    <s v="Ford, Murphy and Wilson"/>
    <s v="Sports"/>
    <n v="1"/>
    <n v="234.06"/>
    <n v="0.11"/>
    <n v="208.3134"/>
    <x v="2"/>
  </r>
  <r>
    <x v="158"/>
    <s v="Ford, Murphy and Wilson"/>
    <s v="Sports"/>
    <n v="2"/>
    <n v="485.25"/>
    <n v="0.28000000000000003"/>
    <n v="698.76"/>
    <x v="0"/>
  </r>
  <r>
    <x v="395"/>
    <s v="Guerra-Hendrix"/>
    <s v="Clothing"/>
    <n v="3"/>
    <n v="550.26"/>
    <n v="0.22"/>
    <n v="1287.6084000000001"/>
    <x v="0"/>
  </r>
  <r>
    <x v="142"/>
    <s v="May-Reese"/>
    <s v="Sports"/>
    <n v="1"/>
    <n v="153.57"/>
    <n v="0.01"/>
    <n v="152.0343"/>
    <x v="2"/>
  </r>
  <r>
    <x v="486"/>
    <s v="May-Reese"/>
    <s v="Sports"/>
    <n v="2"/>
    <n v="151.51"/>
    <n v="0.28999999999999998"/>
    <n v="215.14420000000001"/>
    <x v="1"/>
  </r>
  <r>
    <x v="382"/>
    <s v="May-Reese"/>
    <s v="Sports"/>
    <n v="2"/>
    <n v="230.85"/>
    <n v="0.18"/>
    <n v="378.59399999999999"/>
    <x v="0"/>
  </r>
  <r>
    <x v="434"/>
    <s v="May-Reese"/>
    <s v="Sports"/>
    <n v="4"/>
    <n v="466.24"/>
    <n v="0.16"/>
    <n v="1566.5663999999999"/>
    <x v="0"/>
  </r>
  <r>
    <x v="265"/>
    <s v="Sims Inc"/>
    <s v="Clothing"/>
    <n v="1"/>
    <n v="213.74"/>
    <n v="7.0000000000000007E-2"/>
    <n v="198.7782"/>
    <x v="1"/>
  </r>
  <r>
    <x v="151"/>
    <s v="Sims Inc"/>
    <s v="Clothing"/>
    <n v="3"/>
    <n v="591.9"/>
    <n v="0.27"/>
    <n v="1296.261"/>
    <x v="0"/>
  </r>
  <r>
    <x v="95"/>
    <s v="Soto-Ellis"/>
    <s v="Sports"/>
    <n v="4"/>
    <n v="618.83000000000004"/>
    <n v="0.08"/>
    <n v="2277.2944000000002"/>
    <x v="2"/>
  </r>
  <r>
    <x v="167"/>
    <s v="Soto-Ellis"/>
    <s v="Sports"/>
    <n v="1"/>
    <n v="184.98"/>
    <n v="0.1"/>
    <n v="166.482"/>
    <x v="1"/>
  </r>
  <r>
    <x v="479"/>
    <s v="Soto-Ellis"/>
    <s v="Sports"/>
    <n v="1"/>
    <n v="900.35"/>
    <n v="0.13"/>
    <n v="783.30449999999996"/>
    <x v="1"/>
  </r>
  <r>
    <x v="29"/>
    <s v="Gardner-Montes"/>
    <s v="Home"/>
    <n v="1"/>
    <n v="66.22"/>
    <n v="0.02"/>
    <n v="64.895600000000002"/>
    <x v="0"/>
  </r>
  <r>
    <x v="117"/>
    <s v="Flores, Pineda and Rodriguez"/>
    <s v="Sports"/>
    <n v="4"/>
    <n v="565.37"/>
    <n v="7.0000000000000007E-2"/>
    <n v="2103.1763999999998"/>
    <x v="2"/>
  </r>
  <r>
    <x v="487"/>
    <s v="Moon, Mora and Santos"/>
    <s v="Clothing"/>
    <n v="3"/>
    <n v="342.47"/>
    <n v="0.08"/>
    <n v="945.21720000000016"/>
    <x v="2"/>
  </r>
  <r>
    <x v="407"/>
    <s v="Brown and Sons"/>
    <s v="Clothing"/>
    <n v="1"/>
    <n v="52.06"/>
    <n v="0.27"/>
    <n v="38.003799999999998"/>
    <x v="1"/>
  </r>
  <r>
    <x v="11"/>
    <s v="Reed-Schmidt"/>
    <s v="Electronics"/>
    <n v="3"/>
    <n v="922.56"/>
    <n v="0.18"/>
    <n v="2269.4976000000001"/>
    <x v="2"/>
  </r>
  <r>
    <x v="392"/>
    <s v="Reed-Schmidt"/>
    <s v="Electronics"/>
    <n v="1"/>
    <n v="361.8"/>
    <n v="0.02"/>
    <n v="354.56400000000002"/>
    <x v="1"/>
  </r>
  <r>
    <x v="472"/>
    <s v="Reed-Schmidt"/>
    <s v="Electronics"/>
    <n v="2"/>
    <n v="853.41"/>
    <n v="0.25"/>
    <n v="1280.115"/>
    <x v="0"/>
  </r>
  <r>
    <x v="317"/>
    <s v="Khan, Jones and Paul"/>
    <s v="Home"/>
    <n v="3"/>
    <n v="681.01"/>
    <n v="0.27"/>
    <n v="1491.4119000000001"/>
    <x v="1"/>
  </r>
  <r>
    <x v="250"/>
    <s v="Khan, Jones and Paul"/>
    <s v="Home"/>
    <n v="3"/>
    <n v="827.88"/>
    <n v="0.19"/>
    <n v="2011.7483999999999"/>
    <x v="2"/>
  </r>
  <r>
    <x v="488"/>
    <s v="Hoffman Group"/>
    <s v="Home"/>
    <n v="2"/>
    <n v="756.8"/>
    <n v="0.15"/>
    <n v="1286.56"/>
    <x v="0"/>
  </r>
  <r>
    <x v="485"/>
    <s v="Pineda Ltd"/>
    <s v="Clothing"/>
    <n v="4"/>
    <n v="625.13"/>
    <n v="0.06"/>
    <n v="2350.4888000000001"/>
    <x v="0"/>
  </r>
  <r>
    <x v="488"/>
    <s v="Pineda Ltd"/>
    <s v="Clothing"/>
    <n v="4"/>
    <n v="770.77"/>
    <n v="0.22"/>
    <n v="2404.8024"/>
    <x v="0"/>
  </r>
  <r>
    <x v="193"/>
    <s v="Stevens, Fernandez and Martin"/>
    <s v="Home"/>
    <n v="3"/>
    <n v="330.04"/>
    <n v="0.2"/>
    <n v="792.09600000000012"/>
    <x v="0"/>
  </r>
  <r>
    <x v="19"/>
    <s v="Nolan-Snow"/>
    <s v="Sports"/>
    <n v="4"/>
    <n v="538.73"/>
    <n v="0.03"/>
    <n v="2090.2723999999998"/>
    <x v="0"/>
  </r>
  <r>
    <x v="40"/>
    <s v="Nolan-Snow"/>
    <s v="Sports"/>
    <n v="3"/>
    <n v="653.59"/>
    <n v="0.17"/>
    <n v="1627.4391000000001"/>
    <x v="1"/>
  </r>
  <r>
    <x v="279"/>
    <s v="Lucero LLC"/>
    <s v="Electronics"/>
    <n v="3"/>
    <n v="570.12"/>
    <n v="0.12"/>
    <n v="1505.1168"/>
    <x v="2"/>
  </r>
  <r>
    <x v="102"/>
    <s v="Lucero LLC"/>
    <s v="Electronics"/>
    <n v="4"/>
    <n v="349.07"/>
    <n v="0.28000000000000003"/>
    <n v="1005.3216"/>
    <x v="0"/>
  </r>
  <r>
    <x v="170"/>
    <s v="Jones LLC"/>
    <s v="Home"/>
    <n v="3"/>
    <n v="875.99"/>
    <n v="0.09"/>
    <n v="2391.4526999999998"/>
    <x v="2"/>
  </r>
  <r>
    <x v="375"/>
    <s v="Jones LLC"/>
    <s v="Home"/>
    <n v="4"/>
    <n v="480.75"/>
    <n v="0.02"/>
    <n v="1884.54"/>
    <x v="0"/>
  </r>
  <r>
    <x v="39"/>
    <s v="Smith-Mills"/>
    <s v="Clothing"/>
    <n v="4"/>
    <n v="271.04000000000002"/>
    <n v="0.12"/>
    <n v="954.06080000000009"/>
    <x v="1"/>
  </r>
  <r>
    <x v="87"/>
    <s v="Smith-Mills"/>
    <s v="Clothing"/>
    <n v="1"/>
    <n v="579.69000000000005"/>
    <n v="0.02"/>
    <n v="568.09620000000007"/>
    <x v="0"/>
  </r>
  <r>
    <x v="299"/>
    <s v="Smith-Mills"/>
    <s v="Clothing"/>
    <n v="3"/>
    <n v="237.24"/>
    <n v="0.24"/>
    <n v="540.90719999999999"/>
    <x v="2"/>
  </r>
  <r>
    <x v="117"/>
    <s v="Hogan-Lee"/>
    <s v="Clothing"/>
    <n v="3"/>
    <n v="204.17"/>
    <n v="0.1"/>
    <n v="551.25900000000001"/>
    <x v="2"/>
  </r>
  <r>
    <x v="54"/>
    <s v="Hogan-Lee"/>
    <s v="Clothing"/>
    <n v="4"/>
    <n v="923.14"/>
    <n v="0.15"/>
    <n v="3138.6759999999999"/>
    <x v="0"/>
  </r>
  <r>
    <x v="214"/>
    <s v="Sims-Smith"/>
    <s v="Sports"/>
    <n v="1"/>
    <n v="91.38"/>
    <n v="0.14000000000000001"/>
    <n v="78.586799999999997"/>
    <x v="0"/>
  </r>
  <r>
    <x v="114"/>
    <s v="Cummings and Sons"/>
    <s v="Electronics"/>
    <n v="4"/>
    <n v="708.19"/>
    <n v="0.1"/>
    <n v="2549.4839999999999"/>
    <x v="2"/>
  </r>
  <r>
    <x v="415"/>
    <s v="Cummings and Sons"/>
    <s v="Electronics"/>
    <n v="4"/>
    <n v="139.94"/>
    <n v="0.24"/>
    <n v="425.41759999999999"/>
    <x v="0"/>
  </r>
  <r>
    <x v="128"/>
    <s v="Cummings and Sons"/>
    <s v="Electronics"/>
    <n v="3"/>
    <n v="700.43"/>
    <n v="0.01"/>
    <n v="2080.2770999999998"/>
    <x v="1"/>
  </r>
  <r>
    <x v="426"/>
    <s v="Gonzales-Davis"/>
    <s v="Clothing"/>
    <n v="1"/>
    <n v="728.84"/>
    <n v="0.28000000000000003"/>
    <n v="524.76480000000004"/>
    <x v="2"/>
  </r>
  <r>
    <x v="138"/>
    <s v="Taylor-Hart"/>
    <s v="Electronics"/>
    <n v="4"/>
    <n v="609.05999999999995"/>
    <n v="0.22"/>
    <n v="1900.2672"/>
    <x v="1"/>
  </r>
  <r>
    <x v="263"/>
    <s v="Carroll, Long and Mendoza"/>
    <s v="Sports"/>
    <n v="2"/>
    <n v="871.43"/>
    <n v="0.05"/>
    <n v="1655.7170000000001"/>
    <x v="0"/>
  </r>
  <r>
    <x v="172"/>
    <s v="Carroll, Long and Mendoza"/>
    <s v="Sports"/>
    <n v="3"/>
    <n v="146.71"/>
    <n v="0.28000000000000003"/>
    <n v="316.89359999999999"/>
    <x v="0"/>
  </r>
  <r>
    <x v="74"/>
    <s v="Holmes LLC"/>
    <s v="Electronics"/>
    <n v="4"/>
    <n v="239.83"/>
    <n v="0.08"/>
    <n v="882.57440000000008"/>
    <x v="0"/>
  </r>
  <r>
    <x v="213"/>
    <s v="Holmes LLC"/>
    <s v="Electronics"/>
    <n v="4"/>
    <n v="727.49"/>
    <n v="0.11"/>
    <n v="2589.8643999999999"/>
    <x v="0"/>
  </r>
  <r>
    <x v="376"/>
    <s v="Holmes LLC"/>
    <s v="Electronics"/>
    <n v="3"/>
    <n v="779.5"/>
    <n v="0.02"/>
    <n v="2291.73"/>
    <x v="0"/>
  </r>
  <r>
    <x v="53"/>
    <s v="Robinson Inc"/>
    <s v="Electronics"/>
    <n v="3"/>
    <n v="518.35"/>
    <n v="0.21"/>
    <n v="1228.4894999999999"/>
    <x v="1"/>
  </r>
  <r>
    <x v="431"/>
    <s v="Robinson Inc"/>
    <s v="Electronics"/>
    <n v="3"/>
    <n v="924.15"/>
    <n v="0.1"/>
    <n v="2495.2049999999999"/>
    <x v="2"/>
  </r>
  <r>
    <x v="268"/>
    <s v="Robinson Inc"/>
    <s v="Electronics"/>
    <n v="3"/>
    <n v="112.26"/>
    <n v="0.11"/>
    <n v="299.73419999999999"/>
    <x v="0"/>
  </r>
  <r>
    <x v="257"/>
    <s v="Cox Inc"/>
    <s v="Sports"/>
    <n v="3"/>
    <n v="884.46"/>
    <n v="0.25"/>
    <n v="1990.0350000000001"/>
    <x v="0"/>
  </r>
  <r>
    <x v="450"/>
    <s v="Cox Inc"/>
    <s v="Sports"/>
    <n v="3"/>
    <n v="961.4"/>
    <n v="0.02"/>
    <n v="2826.5160000000001"/>
    <x v="2"/>
  </r>
  <r>
    <x v="432"/>
    <s v="Bridges, Banks and Cummings"/>
    <s v="Sports"/>
    <n v="2"/>
    <n v="732.37"/>
    <n v="0.22"/>
    <n v="1142.4972"/>
    <x v="1"/>
  </r>
  <r>
    <x v="285"/>
    <s v="Kelly, Smith and Perez"/>
    <s v="Clothing"/>
    <n v="4"/>
    <n v="442.54"/>
    <n v="0.06"/>
    <n v="1663.9503999999999"/>
    <x v="0"/>
  </r>
  <r>
    <x v="397"/>
    <s v="Kelly, Smith and Perez"/>
    <s v="Clothing"/>
    <n v="1"/>
    <n v="681.72"/>
    <n v="0.11"/>
    <n v="606.73080000000004"/>
    <x v="2"/>
  </r>
  <r>
    <x v="263"/>
    <s v="Sullivan and Sons"/>
    <s v="Beauty"/>
    <n v="4"/>
    <n v="914.05"/>
    <n v="0.25"/>
    <n v="2742.15"/>
    <x v="0"/>
  </r>
  <r>
    <x v="351"/>
    <s v="Sullivan and Sons"/>
    <s v="Beauty"/>
    <n v="3"/>
    <n v="512.15"/>
    <n v="0.12"/>
    <n v="1352.076"/>
    <x v="0"/>
  </r>
  <r>
    <x v="179"/>
    <s v="Baldwin, Garza and Gonzalez"/>
    <s v="Clothing"/>
    <n v="3"/>
    <n v="120.77"/>
    <n v="0.28999999999999998"/>
    <n v="257.24009999999998"/>
    <x v="2"/>
  </r>
  <r>
    <x v="446"/>
    <s v="Bautista, Green and Hale"/>
    <s v="Electronics"/>
    <n v="3"/>
    <n v="564.94000000000005"/>
    <n v="0.22"/>
    <n v="1321.9595999999999"/>
    <x v="1"/>
  </r>
  <r>
    <x v="71"/>
    <s v="Harris Inc"/>
    <s v="Sports"/>
    <n v="1"/>
    <n v="442.27"/>
    <n v="0.06"/>
    <n v="415.73379999999997"/>
    <x v="1"/>
  </r>
  <r>
    <x v="30"/>
    <s v="Hamilton, Woods and Walker"/>
    <s v="Clothing"/>
    <n v="2"/>
    <n v="616.36"/>
    <n v="0.12"/>
    <n v="1084.7936"/>
    <x v="2"/>
  </r>
  <r>
    <x v="175"/>
    <s v="Hamilton, Woods and Walker"/>
    <s v="Clothing"/>
    <n v="2"/>
    <n v="568.95000000000005"/>
    <n v="0.22"/>
    <n v="887.56200000000013"/>
    <x v="0"/>
  </r>
  <r>
    <x v="184"/>
    <s v="Thompson-French"/>
    <s v="Sports"/>
    <n v="2"/>
    <n v="623.20000000000005"/>
    <n v="0.14000000000000001"/>
    <n v="1071.904"/>
    <x v="1"/>
  </r>
  <r>
    <x v="450"/>
    <s v="Hatfield, Baird and Torres"/>
    <s v="Home"/>
    <n v="1"/>
    <n v="79"/>
    <n v="0.04"/>
    <n v="75.84"/>
    <x v="2"/>
  </r>
  <r>
    <x v="361"/>
    <s v="Atkinson, Camacho and Oliver"/>
    <s v="Sports"/>
    <n v="3"/>
    <n v="545.1"/>
    <n v="0.08"/>
    <n v="1504.4760000000001"/>
    <x v="1"/>
  </r>
  <r>
    <x v="489"/>
    <s v="Shepherd-Gould"/>
    <s v="Clothing"/>
    <n v="2"/>
    <n v="433.75"/>
    <n v="0"/>
    <n v="867.5"/>
    <x v="0"/>
  </r>
  <r>
    <x v="42"/>
    <s v="Cline-Mccarthy"/>
    <s v="Beauty"/>
    <n v="1"/>
    <n v="437.12"/>
    <n v="0.21"/>
    <n v="345.32479999999998"/>
    <x v="0"/>
  </r>
  <r>
    <x v="89"/>
    <s v="Cline-Mccarthy"/>
    <s v="Beauty"/>
    <n v="4"/>
    <n v="288.60000000000002"/>
    <n v="0.09"/>
    <n v="1050.5039999999999"/>
    <x v="2"/>
  </r>
  <r>
    <x v="111"/>
    <s v="Davidson PLC"/>
    <s v="Beauty"/>
    <n v="1"/>
    <n v="98.27"/>
    <n v="0.16"/>
    <n v="82.54679999999999"/>
    <x v="2"/>
  </r>
  <r>
    <x v="238"/>
    <s v="Lopez LLC"/>
    <s v="Sports"/>
    <n v="1"/>
    <n v="846.67"/>
    <n v="0.1"/>
    <n v="762.00299999999993"/>
    <x v="1"/>
  </r>
  <r>
    <x v="75"/>
    <s v="Murray, Gould and Ware"/>
    <s v="Electronics"/>
    <n v="1"/>
    <n v="329.31"/>
    <n v="0.09"/>
    <n v="299.6721"/>
    <x v="0"/>
  </r>
  <r>
    <x v="411"/>
    <s v="Torres, Spencer and Potter"/>
    <s v="Beauty"/>
    <n v="4"/>
    <n v="270.69"/>
    <n v="0.18"/>
    <n v="887.86320000000001"/>
    <x v="2"/>
  </r>
  <r>
    <x v="467"/>
    <s v="Torres, Spencer and Potter"/>
    <s v="Beauty"/>
    <n v="2"/>
    <n v="853.93"/>
    <n v="0.01"/>
    <n v="1690.7814000000001"/>
    <x v="2"/>
  </r>
  <r>
    <x v="84"/>
    <s v="Torres, Spencer and Potter"/>
    <s v="Beauty"/>
    <n v="4"/>
    <n v="649.52"/>
    <n v="0.11"/>
    <n v="2312.2912000000001"/>
    <x v="0"/>
  </r>
  <r>
    <x v="285"/>
    <s v="Flores-Davis"/>
    <s v="Electronics"/>
    <n v="1"/>
    <n v="664.87"/>
    <n v="0.08"/>
    <n v="611.68040000000008"/>
    <x v="2"/>
  </r>
  <r>
    <x v="151"/>
    <s v="Flores-Davis"/>
    <s v="Electronics"/>
    <n v="1"/>
    <n v="620.80999999999995"/>
    <n v="0.04"/>
    <n v="595.97759999999994"/>
    <x v="2"/>
  </r>
  <r>
    <x v="490"/>
    <s v="Flores-Davis"/>
    <s v="Electronics"/>
    <n v="2"/>
    <n v="995.11"/>
    <n v="0.13"/>
    <n v="1731.4914000000001"/>
    <x v="2"/>
  </r>
  <r>
    <x v="297"/>
    <s v="Wolfe, Ross and Hester"/>
    <s v="Home"/>
    <n v="3"/>
    <n v="811.96"/>
    <n v="0.28999999999999998"/>
    <n v="1729.4748"/>
    <x v="0"/>
  </r>
  <r>
    <x v="491"/>
    <s v="Fitzpatrick Ltd"/>
    <s v="Clothing"/>
    <n v="4"/>
    <n v="714.47"/>
    <n v="0.18"/>
    <n v="2343.4616000000001"/>
    <x v="1"/>
  </r>
  <r>
    <x v="82"/>
    <s v="Fitzpatrick Ltd"/>
    <s v="Clothing"/>
    <n v="1"/>
    <n v="506.73"/>
    <n v="0.28999999999999998"/>
    <n v="359.7783"/>
    <x v="0"/>
  </r>
  <r>
    <x v="123"/>
    <s v="Harrell LLC"/>
    <s v="Home"/>
    <n v="4"/>
    <n v="797.83"/>
    <n v="0.08"/>
    <n v="2936.0144"/>
    <x v="0"/>
  </r>
  <r>
    <x v="134"/>
    <s v="Duran Group"/>
    <s v="Home"/>
    <n v="2"/>
    <n v="105.15"/>
    <n v="0.06"/>
    <n v="197.68199999999999"/>
    <x v="0"/>
  </r>
  <r>
    <x v="301"/>
    <s v="Duran Group"/>
    <s v="Home"/>
    <n v="4"/>
    <n v="342.39"/>
    <n v="0.23"/>
    <n v="1054.5612000000001"/>
    <x v="2"/>
  </r>
  <r>
    <x v="146"/>
    <s v="Davis PLC"/>
    <s v="Sports"/>
    <n v="3"/>
    <n v="141.6"/>
    <n v="0.08"/>
    <n v="390.81599999999997"/>
    <x v="1"/>
  </r>
  <r>
    <x v="438"/>
    <s v="Davis PLC"/>
    <s v="Sports"/>
    <n v="4"/>
    <n v="214.37"/>
    <n v="0.11"/>
    <n v="763.15719999999999"/>
    <x v="1"/>
  </r>
  <r>
    <x v="140"/>
    <s v="Bruce-Bowen"/>
    <s v="Electronics"/>
    <n v="1"/>
    <n v="872.12"/>
    <n v="7.0000000000000007E-2"/>
    <n v="811.07159999999999"/>
    <x v="2"/>
  </r>
  <r>
    <x v="25"/>
    <s v="Bruce-Bowen"/>
    <s v="Electronics"/>
    <n v="3"/>
    <n v="943.24"/>
    <n v="0.21"/>
    <n v="2235.4787999999999"/>
    <x v="0"/>
  </r>
  <r>
    <x v="216"/>
    <s v="Poole PLC"/>
    <s v="Clothing"/>
    <n v="4"/>
    <n v="488.72"/>
    <n v="0.23"/>
    <n v="1505.2575999999999"/>
    <x v="2"/>
  </r>
  <r>
    <x v="347"/>
    <s v="Poole PLC"/>
    <s v="Clothing"/>
    <n v="4"/>
    <n v="313.83"/>
    <n v="0.08"/>
    <n v="1154.8943999999999"/>
    <x v="0"/>
  </r>
  <r>
    <x v="40"/>
    <s v="Larson Ltd"/>
    <s v="Electronics"/>
    <n v="1"/>
    <n v="921.51"/>
    <n v="0.16"/>
    <n v="774.0684"/>
    <x v="1"/>
  </r>
  <r>
    <x v="4"/>
    <s v="White, Reeves and Woods"/>
    <s v="Electronics"/>
    <n v="3"/>
    <n v="815.49"/>
    <n v="0.17"/>
    <n v="2030.5700999999999"/>
    <x v="0"/>
  </r>
  <r>
    <x v="310"/>
    <s v="Hernandez Inc"/>
    <s v="Home"/>
    <n v="4"/>
    <n v="870.18"/>
    <n v="0.13"/>
    <n v="3028.2264"/>
    <x v="1"/>
  </r>
  <r>
    <x v="218"/>
    <s v="Hernandez Inc"/>
    <s v="Home"/>
    <n v="2"/>
    <n v="552.49"/>
    <n v="0.1"/>
    <n v="994.48200000000008"/>
    <x v="0"/>
  </r>
  <r>
    <x v="154"/>
    <s v="Ramirez-Hanson"/>
    <s v="Home"/>
    <n v="3"/>
    <n v="141.54"/>
    <n v="0.12"/>
    <n v="373.66559999999998"/>
    <x v="2"/>
  </r>
  <r>
    <x v="83"/>
    <s v="Perez-Johnston"/>
    <s v="Electronics"/>
    <n v="4"/>
    <n v="56.37"/>
    <n v="0.17"/>
    <n v="187.14840000000001"/>
    <x v="0"/>
  </r>
  <r>
    <x v="376"/>
    <s v="Perez-Johnston"/>
    <s v="Electronics"/>
    <n v="4"/>
    <n v="836.23"/>
    <n v="0.12"/>
    <n v="2943.5295999999998"/>
    <x v="0"/>
  </r>
  <r>
    <x v="161"/>
    <s v="Perez-Johnston"/>
    <s v="Electronics"/>
    <n v="4"/>
    <n v="195.75"/>
    <n v="0.17"/>
    <n v="649.89"/>
    <x v="0"/>
  </r>
  <r>
    <x v="354"/>
    <s v="Robinson-Brown"/>
    <s v="Sports"/>
    <n v="3"/>
    <n v="758.75"/>
    <n v="0.27"/>
    <n v="1661.6624999999999"/>
    <x v="2"/>
  </r>
  <r>
    <x v="370"/>
    <s v="Robinson-Brown"/>
    <s v="Sports"/>
    <n v="4"/>
    <n v="22.51"/>
    <n v="0.27"/>
    <n v="65.729200000000006"/>
    <x v="2"/>
  </r>
  <r>
    <x v="75"/>
    <s v="Reese-Watson"/>
    <s v="Sports"/>
    <n v="4"/>
    <n v="892.28"/>
    <n v="0.23"/>
    <n v="2748.2224000000001"/>
    <x v="0"/>
  </r>
  <r>
    <x v="127"/>
    <s v="Reese-Watson"/>
    <s v="Sports"/>
    <n v="3"/>
    <n v="787.91"/>
    <n v="0.06"/>
    <n v="2221.9061999999999"/>
    <x v="2"/>
  </r>
  <r>
    <x v="448"/>
    <s v="Butler Group"/>
    <s v="Beauty"/>
    <n v="2"/>
    <n v="327.25"/>
    <n v="0.19"/>
    <n v="530.14499999999998"/>
    <x v="2"/>
  </r>
  <r>
    <x v="121"/>
    <s v="Butler Group"/>
    <s v="Beauty"/>
    <n v="2"/>
    <n v="900.55"/>
    <n v="0.16"/>
    <n v="1512.924"/>
    <x v="0"/>
  </r>
  <r>
    <x v="465"/>
    <s v="Collins-Stephenson"/>
    <s v="Home"/>
    <n v="2"/>
    <n v="30.14"/>
    <n v="0.21"/>
    <n v="47.621200000000002"/>
    <x v="0"/>
  </r>
  <r>
    <x v="286"/>
    <s v="Collins-Stephenson"/>
    <s v="Home"/>
    <n v="3"/>
    <n v="654.47"/>
    <n v="0.18"/>
    <n v="1609.9962"/>
    <x v="1"/>
  </r>
  <r>
    <x v="416"/>
    <s v="Collins-Stephenson"/>
    <s v="Home"/>
    <n v="1"/>
    <n v="905.23"/>
    <n v="0"/>
    <n v="905.23"/>
    <x v="0"/>
  </r>
  <r>
    <x v="395"/>
    <s v="Richardson-Carrillo"/>
    <s v="Clothing"/>
    <n v="2"/>
    <n v="943.93"/>
    <n v="0.22"/>
    <n v="1472.5308"/>
    <x v="2"/>
  </r>
  <r>
    <x v="63"/>
    <s v="Taylor, Dodson and Johnston"/>
    <s v="Home"/>
    <n v="3"/>
    <n v="91.7"/>
    <n v="0.08"/>
    <n v="253.09200000000001"/>
    <x v="1"/>
  </r>
  <r>
    <x v="431"/>
    <s v="Aguilar, Horton and Lewis"/>
    <s v="Home"/>
    <n v="4"/>
    <n v="289.66000000000003"/>
    <n v="0.25"/>
    <n v="868.98"/>
    <x v="1"/>
  </r>
  <r>
    <x v="375"/>
    <s v="Aguilar, Horton and Lewis"/>
    <s v="Home"/>
    <n v="3"/>
    <n v="662.82"/>
    <n v="0.01"/>
    <n v="1968.5753999999999"/>
    <x v="1"/>
  </r>
  <r>
    <x v="62"/>
    <s v="Hill PLC"/>
    <s v="Sports"/>
    <n v="3"/>
    <n v="136.4"/>
    <n v="0.15"/>
    <n v="347.82000000000011"/>
    <x v="2"/>
  </r>
  <r>
    <x v="336"/>
    <s v="Wilson Group"/>
    <s v="Sports"/>
    <n v="1"/>
    <n v="329.94"/>
    <n v="0.14000000000000001"/>
    <n v="283.7484"/>
    <x v="1"/>
  </r>
  <r>
    <x v="403"/>
    <s v="Flores-King"/>
    <s v="Electronics"/>
    <n v="1"/>
    <n v="343.03"/>
    <n v="0.16"/>
    <n v="288.14519999999999"/>
    <x v="0"/>
  </r>
  <r>
    <x v="14"/>
    <s v="Flores-King"/>
    <s v="Electronics"/>
    <n v="4"/>
    <n v="156.16"/>
    <n v="0"/>
    <n v="599.65440000000001"/>
    <x v="0"/>
  </r>
  <r>
    <x v="248"/>
    <s v="Flores-King"/>
    <s v="Electronics"/>
    <n v="3"/>
    <n v="992.81"/>
    <n v="0.04"/>
    <n v="2859.2928000000002"/>
    <x v="2"/>
  </r>
  <r>
    <x v="221"/>
    <s v="Flores-King"/>
    <s v="Electronics"/>
    <n v="4"/>
    <n v="610.6"/>
    <n v="0.1"/>
    <n v="2198.16"/>
    <x v="2"/>
  </r>
  <r>
    <x v="484"/>
    <s v="Campbell Ltd"/>
    <s v="Home"/>
    <n v="3"/>
    <n v="561.44000000000005"/>
    <n v="0.2"/>
    <n v="1347.4559999999999"/>
    <x v="1"/>
  </r>
  <r>
    <x v="160"/>
    <s v="Campbell Ltd"/>
    <s v="Home"/>
    <n v="2"/>
    <n v="916.12"/>
    <n v="0.05"/>
    <n v="1740.6279999999999"/>
    <x v="2"/>
  </r>
  <r>
    <x v="222"/>
    <s v="Hunt Inc"/>
    <s v="Electronics"/>
    <n v="2"/>
    <n v="943.8"/>
    <n v="0.06"/>
    <n v="1774.3440000000001"/>
    <x v="0"/>
  </r>
  <r>
    <x v="20"/>
    <s v="Hunt Inc"/>
    <s v="Electronics"/>
    <n v="2"/>
    <n v="540.48"/>
    <n v="0.28999999999999998"/>
    <n v="767.48159999999996"/>
    <x v="0"/>
  </r>
  <r>
    <x v="159"/>
    <s v="Terry-Moore"/>
    <s v="Clothing"/>
    <n v="3"/>
    <n v="546.96"/>
    <n v="0.19"/>
    <n v="1329.1128000000001"/>
    <x v="0"/>
  </r>
  <r>
    <x v="331"/>
    <s v="Rice LLC"/>
    <s v="Beauty"/>
    <n v="1"/>
    <n v="437.65"/>
    <n v="0.02"/>
    <n v="428.89699999999999"/>
    <x v="2"/>
  </r>
  <r>
    <x v="221"/>
    <s v="Dawson-Perkins"/>
    <s v="Electronics"/>
    <n v="3"/>
    <n v="769.06"/>
    <n v="0.23"/>
    <n v="1776.5286000000001"/>
    <x v="1"/>
  </r>
  <r>
    <x v="20"/>
    <s v="Luna, Anderson and Bowman"/>
    <s v="Home"/>
    <n v="3"/>
    <n v="318.43"/>
    <n v="0.05"/>
    <n v="907.52549999999997"/>
    <x v="0"/>
  </r>
  <r>
    <x v="205"/>
    <s v="Thomas LLC"/>
    <s v="Electronics"/>
    <n v="3"/>
    <n v="635.13"/>
    <n v="0.09"/>
    <n v="1733.9049"/>
    <x v="2"/>
  </r>
  <r>
    <x v="270"/>
    <s v="Erickson-Green"/>
    <s v="Beauty"/>
    <n v="2"/>
    <n v="61.42"/>
    <n v="0.08"/>
    <n v="113.0128"/>
    <x v="2"/>
  </r>
  <r>
    <x v="290"/>
    <s v="Guerra-Hendrix"/>
    <s v="Clothing"/>
    <n v="1"/>
    <n v="423.48"/>
    <n v="0.18"/>
    <n v="347.25360000000012"/>
    <x v="2"/>
  </r>
  <r>
    <x v="287"/>
    <s v="Soto-Ellis"/>
    <s v="Sports"/>
    <n v="3"/>
    <n v="955.82"/>
    <n v="0.16"/>
    <n v="2408.6664000000001"/>
    <x v="1"/>
  </r>
  <r>
    <x v="425"/>
    <s v="Flores, Pineda and Rodriguez"/>
    <s v="Sports"/>
    <n v="4"/>
    <n v="164.02"/>
    <n v="0.01"/>
    <n v="649.51920000000007"/>
    <x v="2"/>
  </r>
  <r>
    <x v="26"/>
    <s v="Cook Ltd"/>
    <s v="Sports"/>
    <n v="1"/>
    <n v="882.73"/>
    <n v="0.1"/>
    <n v="794.45699999999999"/>
    <x v="0"/>
  </r>
  <r>
    <x v="458"/>
    <s v="Reed-Schmidt"/>
    <s v="Electronics"/>
    <n v="1"/>
    <n v="907.95"/>
    <n v="0.1"/>
    <n v="817.15500000000009"/>
    <x v="2"/>
  </r>
  <r>
    <x v="56"/>
    <s v="Reed-Schmidt"/>
    <s v="Electronics"/>
    <n v="4"/>
    <n v="896.91"/>
    <n v="0.1"/>
    <n v="3228.8760000000002"/>
    <x v="0"/>
  </r>
  <r>
    <x v="60"/>
    <s v="Khan, Jones and Paul"/>
    <s v="Home"/>
    <n v="2"/>
    <n v="717.21"/>
    <n v="0.15"/>
    <n v="1219.2570000000001"/>
    <x v="1"/>
  </r>
  <r>
    <x v="223"/>
    <s v="Khan, Jones and Paul"/>
    <s v="Home"/>
    <n v="4"/>
    <n v="208.34"/>
    <n v="0.01"/>
    <n v="825.02639999999997"/>
    <x v="2"/>
  </r>
  <r>
    <x v="450"/>
    <s v="Burns-Hansen"/>
    <s v="Sports"/>
    <n v="2"/>
    <n v="67.55"/>
    <n v="0.03"/>
    <n v="131.047"/>
    <x v="0"/>
  </r>
  <r>
    <x v="47"/>
    <s v="Hoffman Group"/>
    <s v="Home"/>
    <n v="2"/>
    <n v="915.15"/>
    <n v="0.16"/>
    <n v="1537.452"/>
    <x v="2"/>
  </r>
  <r>
    <x v="200"/>
    <s v="Pineda Ltd"/>
    <s v="Clothing"/>
    <n v="4"/>
    <n v="348.91"/>
    <n v="0.18"/>
    <n v="1144.4248"/>
    <x v="2"/>
  </r>
  <r>
    <x v="55"/>
    <s v="Pineda Ltd"/>
    <s v="Clothing"/>
    <n v="3"/>
    <n v="657.24"/>
    <n v="0.18"/>
    <n v="1616.8104000000001"/>
    <x v="2"/>
  </r>
  <r>
    <x v="380"/>
    <s v="Pineda Ltd"/>
    <s v="Clothing"/>
    <n v="4"/>
    <n v="758.49"/>
    <n v="0.16"/>
    <n v="2548.5264000000002"/>
    <x v="1"/>
  </r>
  <r>
    <x v="183"/>
    <s v="Pineda Ltd"/>
    <s v="Clothing"/>
    <n v="3"/>
    <n v="462.75"/>
    <n v="0.22"/>
    <n v="1082.835"/>
    <x v="2"/>
  </r>
  <r>
    <x v="120"/>
    <s v="Stevens, Fernandez and Martin"/>
    <s v="Home"/>
    <n v="1"/>
    <n v="998.19"/>
    <n v="0.2"/>
    <n v="798.55200000000013"/>
    <x v="0"/>
  </r>
  <r>
    <x v="290"/>
    <s v="Nolan-Snow"/>
    <s v="Sports"/>
    <n v="2"/>
    <n v="916.49"/>
    <n v="0.3"/>
    <n v="1283.086"/>
    <x v="1"/>
  </r>
  <r>
    <x v="444"/>
    <s v="Griffin Ltd"/>
    <s v="Beauty"/>
    <n v="4"/>
    <n v="315.95"/>
    <n v="0.19"/>
    <n v="1023.678"/>
    <x v="1"/>
  </r>
  <r>
    <x v="128"/>
    <s v="Weiss-Watson"/>
    <s v="Home"/>
    <n v="1"/>
    <n v="409.41"/>
    <n v="0.13"/>
    <n v="356.18669999999997"/>
    <x v="2"/>
  </r>
  <r>
    <x v="327"/>
    <s v="Weiss-Watson"/>
    <s v="Home"/>
    <n v="2"/>
    <n v="974.35"/>
    <n v="0.15"/>
    <n v="1656.395"/>
    <x v="0"/>
  </r>
  <r>
    <x v="357"/>
    <s v="Lucero LLC"/>
    <s v="Electronics"/>
    <n v="3"/>
    <n v="109.5"/>
    <n v="0.06"/>
    <n v="308.79000000000002"/>
    <x v="1"/>
  </r>
  <r>
    <x v="376"/>
    <s v="Lucero LLC"/>
    <s v="Electronics"/>
    <n v="2"/>
    <n v="166.26"/>
    <n v="0.14000000000000001"/>
    <n v="285.96719999999999"/>
    <x v="2"/>
  </r>
  <r>
    <x v="268"/>
    <s v="Lucero LLC"/>
    <s v="Electronics"/>
    <n v="2"/>
    <n v="597.07000000000005"/>
    <n v="0.28000000000000003"/>
    <n v="859.7808"/>
    <x v="2"/>
  </r>
  <r>
    <x v="343"/>
    <s v="Smith-Mills"/>
    <s v="Clothing"/>
    <n v="2"/>
    <n v="117.34"/>
    <n v="0.09"/>
    <n v="213.55879999999999"/>
    <x v="2"/>
  </r>
  <r>
    <x v="299"/>
    <s v="Smith-Mills"/>
    <s v="Clothing"/>
    <n v="2.8801322162286236"/>
    <n v="871.34"/>
    <n v="0.04"/>
    <n v="2509.4591999999998"/>
    <x v="1"/>
  </r>
  <r>
    <x v="328"/>
    <s v="Hogan-Lee"/>
    <s v="Clothing"/>
    <n v="3"/>
    <n v="765.12"/>
    <n v="0.18"/>
    <n v="1882.1952000000001"/>
    <x v="0"/>
  </r>
  <r>
    <x v="272"/>
    <s v="Sims-Smith"/>
    <s v="Sports"/>
    <n v="1"/>
    <n v="228.69"/>
    <n v="0.14000000000000001"/>
    <n v="196.67339999999999"/>
    <x v="0"/>
  </r>
  <r>
    <x v="286"/>
    <s v="Sims-Smith"/>
    <s v="Sports"/>
    <n v="1"/>
    <n v="40.25"/>
    <n v="0.1"/>
    <n v="36.225000000000001"/>
    <x v="2"/>
  </r>
  <r>
    <x v="105"/>
    <s v="Sims-Smith"/>
    <s v="Sports"/>
    <n v="2"/>
    <n v="999.08"/>
    <n v="0.3"/>
    <n v="1398.712"/>
    <x v="2"/>
  </r>
  <r>
    <x v="78"/>
    <s v="Cummings and Sons"/>
    <s v="Electronics"/>
    <n v="2"/>
    <n v="986.73"/>
    <n v="0.05"/>
    <n v="1874.787"/>
    <x v="2"/>
  </r>
  <r>
    <x v="204"/>
    <s v="Gonzales-Davis"/>
    <s v="Clothing"/>
    <n v="2"/>
    <n v="409.26"/>
    <n v="0.1"/>
    <n v="736.66800000000001"/>
    <x v="2"/>
  </r>
  <r>
    <x v="32"/>
    <s v="Taylor-Hart"/>
    <s v="Electronics"/>
    <n v="2"/>
    <n v="26.36"/>
    <n v="0.03"/>
    <n v="51.138399999999997"/>
    <x v="1"/>
  </r>
  <r>
    <x v="100"/>
    <s v="Carroll, Long and Mendoza"/>
    <s v="Sports"/>
    <n v="4"/>
    <n v="682.11"/>
    <n v="0.14000000000000001"/>
    <n v="2346.4584"/>
    <x v="0"/>
  </r>
  <r>
    <x v="318"/>
    <s v="Carroll, Long and Mendoza"/>
    <s v="Sports"/>
    <n v="3"/>
    <n v="771.7"/>
    <n v="0.05"/>
    <n v="2199.3449999999998"/>
    <x v="1"/>
  </r>
  <r>
    <x v="149"/>
    <s v="Holmes LLC"/>
    <s v="Electronics"/>
    <n v="4"/>
    <n v="194.36"/>
    <n v="0.18"/>
    <n v="637.50080000000014"/>
    <x v="1"/>
  </r>
  <r>
    <x v="16"/>
    <s v="Robinson Inc"/>
    <s v="Electronics"/>
    <n v="2"/>
    <n v="257.77999999999997"/>
    <n v="0.05"/>
    <n v="489.78199999999993"/>
    <x v="0"/>
  </r>
  <r>
    <x v="30"/>
    <s v="Robinson Inc"/>
    <s v="Electronics"/>
    <n v="4"/>
    <n v="639.05999999999995"/>
    <n v="0.12"/>
    <n v="2249.4911999999999"/>
    <x v="2"/>
  </r>
  <r>
    <x v="440"/>
    <s v="Cox Inc"/>
    <s v="Sports"/>
    <n v="4"/>
    <n v="791.65"/>
    <n v="0.06"/>
    <n v="2976.6039999999998"/>
    <x v="1"/>
  </r>
  <r>
    <x v="480"/>
    <s v="Bridges, Banks and Cummings"/>
    <s v="Sports"/>
    <n v="3"/>
    <n v="499.12"/>
    <n v="0.05"/>
    <n v="1422.492"/>
    <x v="2"/>
  </r>
  <r>
    <x v="40"/>
    <s v="Kelly, Smith and Perez"/>
    <s v="Clothing"/>
    <n v="2"/>
    <n v="152.25"/>
    <n v="0.13"/>
    <n v="264.91500000000002"/>
    <x v="0"/>
  </r>
  <r>
    <x v="153"/>
    <s v="Kelly, Smith and Perez"/>
    <s v="Clothing"/>
    <n v="1"/>
    <n v="83.83"/>
    <n v="0.05"/>
    <n v="79.638499999999993"/>
    <x v="0"/>
  </r>
  <r>
    <x v="72"/>
    <s v="Byrd, Stewart and Valdez"/>
    <s v="Electronics"/>
    <n v="2"/>
    <n v="636.51"/>
    <n v="0.25"/>
    <n v="954.76499999999999"/>
    <x v="0"/>
  </r>
  <r>
    <x v="342"/>
    <s v="Byrd, Stewart and Valdez"/>
    <s v="Electronics"/>
    <n v="1"/>
    <n v="841.53"/>
    <n v="0.15"/>
    <n v="715.30049999999994"/>
    <x v="0"/>
  </r>
  <r>
    <x v="257"/>
    <s v="Baldwin, Garza and Gonzalez"/>
    <s v="Clothing"/>
    <n v="3"/>
    <n v="966.02"/>
    <n v="0.03"/>
    <n v="2811.1181999999999"/>
    <x v="1"/>
  </r>
  <r>
    <x v="336"/>
    <s v="Baldwin, Garza and Gonzalez"/>
    <s v="Clothing"/>
    <n v="1"/>
    <n v="191.6"/>
    <n v="0.27"/>
    <n v="139.86799999999999"/>
    <x v="2"/>
  </r>
  <r>
    <x v="391"/>
    <s v="Harris Inc"/>
    <s v="Sports"/>
    <n v="3"/>
    <n v="83.7"/>
    <n v="0.24"/>
    <n v="190.83600000000001"/>
    <x v="2"/>
  </r>
  <r>
    <x v="131"/>
    <s v="Harris Inc"/>
    <s v="Sports"/>
    <n v="2"/>
    <n v="810.17"/>
    <n v="0.27"/>
    <n v="1182.8481999999999"/>
    <x v="0"/>
  </r>
  <r>
    <x v="119"/>
    <s v="Thompson-French"/>
    <s v="Sports"/>
    <n v="1"/>
    <n v="687.91"/>
    <n v="0.25"/>
    <n v="515.9325"/>
    <x v="0"/>
  </r>
  <r>
    <x v="220"/>
    <s v="Hernandez, Kennedy and Porter"/>
    <s v="Home"/>
    <n v="3"/>
    <n v="600.58000000000004"/>
    <n v="0.28999999999999998"/>
    <n v="1279.2354"/>
    <x v="1"/>
  </r>
  <r>
    <x v="286"/>
    <s v="Hernandez, Kennedy and Porter"/>
    <s v="Home"/>
    <n v="3"/>
    <n v="442.64"/>
    <n v="0.15"/>
    <n v="1128.732"/>
    <x v="1"/>
  </r>
  <r>
    <x v="19"/>
    <s v="Atkinson, Camacho and Oliver"/>
    <s v="Sports"/>
    <n v="4"/>
    <n v="64.06"/>
    <n v="0.26"/>
    <n v="189.61760000000001"/>
    <x v="0"/>
  </r>
  <r>
    <x v="21"/>
    <s v="Atkinson, Camacho and Oliver"/>
    <s v="Sports"/>
    <n v="4"/>
    <n v="488.56"/>
    <n v="0.26"/>
    <n v="1446.1376"/>
    <x v="1"/>
  </r>
  <r>
    <x v="168"/>
    <s v="Cline-Mccarthy"/>
    <s v="Beauty"/>
    <n v="2"/>
    <n v="107.97"/>
    <n v="0.06"/>
    <n v="202.9836"/>
    <x v="0"/>
  </r>
  <r>
    <x v="142"/>
    <s v="Davidson PLC"/>
    <s v="Beauty"/>
    <n v="4"/>
    <n v="579.70000000000005"/>
    <n v="0.18"/>
    <n v="1901.4159999999999"/>
    <x v="2"/>
  </r>
  <r>
    <x v="6"/>
    <s v="Gibson, Green and Lopez"/>
    <s v="Beauty"/>
    <n v="2"/>
    <n v="666.49"/>
    <n v="0.06"/>
    <n v="1253.0011999999999"/>
    <x v="0"/>
  </r>
  <r>
    <x v="272"/>
    <s v="Anderson-Riley"/>
    <s v="Beauty"/>
    <n v="2"/>
    <n v="386.09"/>
    <n v="0.19"/>
    <n v="625.46579999999994"/>
    <x v="2"/>
  </r>
  <r>
    <x v="419"/>
    <s v="Torres, Spencer and Potter"/>
    <s v="Beauty"/>
    <n v="1"/>
    <n v="87.78"/>
    <n v="0.06"/>
    <n v="82.513199999999998"/>
    <x v="0"/>
  </r>
  <r>
    <x v="162"/>
    <s v="Torres, Spencer and Potter"/>
    <s v="Beauty"/>
    <n v="2"/>
    <n v="972.4"/>
    <n v="0.06"/>
    <n v="1828.1120000000001"/>
    <x v="1"/>
  </r>
  <r>
    <x v="455"/>
    <s v="Flores-Davis"/>
    <s v="Electronics"/>
    <n v="3"/>
    <n v="723.47"/>
    <n v="0.12"/>
    <n v="1909.9608000000001"/>
    <x v="1"/>
  </r>
  <r>
    <x v="21"/>
    <s v="Wolfe, Ross and Hester"/>
    <s v="Home"/>
    <n v="1"/>
    <n v="78.5"/>
    <n v="0.17"/>
    <n v="65.155000000000001"/>
    <x v="1"/>
  </r>
  <r>
    <x v="297"/>
    <s v="Duran Group"/>
    <s v="Home"/>
    <n v="4"/>
    <n v="930.38"/>
    <n v="0"/>
    <n v="3721.52"/>
    <x v="1"/>
  </r>
  <r>
    <x v="316"/>
    <s v="Hopkins Ltd"/>
    <s v="Beauty"/>
    <n v="1"/>
    <n v="363.73"/>
    <n v="0.25"/>
    <n v="272.79750000000001"/>
    <x v="2"/>
  </r>
  <r>
    <x v="179"/>
    <s v="Hopkins Ltd"/>
    <s v="Beauty"/>
    <n v="3"/>
    <n v="444.55"/>
    <n v="0.14000000000000001"/>
    <n v="1146.9390000000001"/>
    <x v="2"/>
  </r>
  <r>
    <x v="226"/>
    <s v="Hopkins Ltd"/>
    <s v="Beauty"/>
    <n v="3"/>
    <n v="849.36"/>
    <n v="0.03"/>
    <n v="2471.6376"/>
    <x v="0"/>
  </r>
  <r>
    <x v="453"/>
    <s v="Davis PLC"/>
    <s v="Sports"/>
    <n v="1"/>
    <n v="724.74"/>
    <n v="0.15"/>
    <n v="616.029"/>
    <x v="2"/>
  </r>
  <r>
    <x v="409"/>
    <s v="French Ltd"/>
    <s v="Sports"/>
    <n v="3"/>
    <n v="927.6"/>
    <n v="0.09"/>
    <n v="2532.348"/>
    <x v="0"/>
  </r>
  <r>
    <x v="171"/>
    <s v="Bruce-Bowen"/>
    <s v="Electronics"/>
    <n v="3"/>
    <n v="627.29"/>
    <n v="0.27"/>
    <n v="1373.7651000000001"/>
    <x v="1"/>
  </r>
  <r>
    <x v="11"/>
    <s v="Poole PLC"/>
    <s v="Clothing"/>
    <n v="4"/>
    <n v="578.39"/>
    <n v="0.01"/>
    <n v="2290.4243999999999"/>
    <x v="0"/>
  </r>
  <r>
    <x v="50"/>
    <s v="Poole PLC"/>
    <s v="Clothing"/>
    <n v="4"/>
    <n v="255.48"/>
    <n v="0.03"/>
    <n v="991.26239999999996"/>
    <x v="1"/>
  </r>
  <r>
    <x v="253"/>
    <s v="White, Reeves and Woods"/>
    <s v="Electronics"/>
    <n v="4"/>
    <n v="700.31"/>
    <n v="0.2"/>
    <n v="2240.9920000000002"/>
    <x v="2"/>
  </r>
  <r>
    <x v="376"/>
    <s v="Ramirez-Hanson"/>
    <s v="Home"/>
    <n v="4"/>
    <n v="202.59"/>
    <n v="0.06"/>
    <n v="761.73839999999996"/>
    <x v="1"/>
  </r>
  <r>
    <x v="89"/>
    <s v="Ramirez-Hanson"/>
    <s v="Home"/>
    <n v="4"/>
    <n v="848.47"/>
    <n v="0.21"/>
    <n v="2681.1651999999999"/>
    <x v="1"/>
  </r>
  <r>
    <x v="281"/>
    <s v="Perez-Johnston"/>
    <s v="Electronics"/>
    <n v="1"/>
    <n v="125"/>
    <n v="0.23"/>
    <n v="96.25"/>
    <x v="0"/>
  </r>
  <r>
    <x v="272"/>
    <s v="Allison Ltd"/>
    <s v="Home"/>
    <n v="1"/>
    <n v="813.87"/>
    <n v="0.23"/>
    <n v="626.67989999999998"/>
    <x v="0"/>
  </r>
  <r>
    <x v="239"/>
    <s v="Robinson-Brown"/>
    <s v="Sports"/>
    <n v="3"/>
    <n v="113.87"/>
    <n v="0.21"/>
    <n v="269.87189999999998"/>
    <x v="1"/>
  </r>
  <r>
    <x v="261"/>
    <s v="Reese-Watson"/>
    <s v="Sports"/>
    <n v="4"/>
    <n v="752.48"/>
    <n v="0.23"/>
    <n v="2317.6383999999998"/>
    <x v="0"/>
  </r>
  <r>
    <x v="42"/>
    <s v="Butler Group"/>
    <s v="Beauty"/>
    <n v="3"/>
    <n v="470.42"/>
    <n v="0.16"/>
    <n v="1185.4584"/>
    <x v="0"/>
  </r>
  <r>
    <x v="422"/>
    <s v="Taylor, Dodson and Johnston"/>
    <s v="Home"/>
    <n v="1"/>
    <n v="431.69"/>
    <n v="0.09"/>
    <n v="392.83789999999999"/>
    <x v="0"/>
  </r>
  <r>
    <x v="166"/>
    <s v="Aguilar, Horton and Lewis"/>
    <s v="Home"/>
    <n v="1"/>
    <n v="972.06"/>
    <n v="0.3"/>
    <n v="680.44199999999989"/>
    <x v="1"/>
  </r>
  <r>
    <x v="217"/>
    <s v="Aguilar, Horton and Lewis"/>
    <s v="Home"/>
    <n v="2"/>
    <n v="209.96"/>
    <n v="0"/>
    <n v="419.92"/>
    <x v="0"/>
  </r>
  <r>
    <x v="471"/>
    <s v="Taylor-Elliott"/>
    <s v="Beauty"/>
    <n v="1"/>
    <n v="317.14999999999998"/>
    <n v="0.24"/>
    <n v="241.03399999999999"/>
    <x v="1"/>
  </r>
  <r>
    <x v="104"/>
    <s v="Hill PLC"/>
    <s v="Sports"/>
    <n v="3"/>
    <n v="268.89"/>
    <n v="7.0000000000000007E-2"/>
    <n v="750.20309999999995"/>
    <x v="1"/>
  </r>
  <r>
    <x v="179"/>
    <s v="Hill PLC"/>
    <s v="Sports"/>
    <n v="2"/>
    <n v="169.46"/>
    <n v="0.03"/>
    <n v="328.75240000000002"/>
    <x v="2"/>
  </r>
  <r>
    <x v="141"/>
    <s v="Smith-Charles"/>
    <s v="Clothing"/>
    <n v="4"/>
    <n v="547.21"/>
    <n v="0.25"/>
    <n v="1641.63"/>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5">
  <r>
    <x v="0"/>
    <s v="SALE638"/>
    <x v="0"/>
    <x v="0"/>
    <x v="0"/>
    <x v="0"/>
    <x v="0"/>
    <n v="1"/>
    <n v="362.93"/>
    <n v="0.27"/>
    <n v="264.93889999999999"/>
    <s v="Credit Card"/>
    <x v="0"/>
    <x v="0"/>
    <x v="0"/>
  </r>
  <r>
    <x v="0"/>
    <s v="SALE1727"/>
    <x v="1"/>
    <x v="1"/>
    <x v="1"/>
    <x v="1"/>
    <x v="1"/>
    <n v="1"/>
    <n v="145.47999999999999"/>
    <n v="0.1"/>
    <n v="130.93199999999999"/>
    <s v="COD"/>
    <x v="1"/>
    <x v="0"/>
    <x v="0"/>
  </r>
  <r>
    <x v="0"/>
    <s v="SALE1814"/>
    <x v="1"/>
    <x v="2"/>
    <x v="2"/>
    <x v="1"/>
    <x v="1"/>
    <n v="1"/>
    <n v="281.83"/>
    <n v="0.16"/>
    <n v="236.7372"/>
    <s v="COD"/>
    <x v="1"/>
    <x v="0"/>
    <x v="1"/>
  </r>
  <r>
    <x v="0"/>
    <s v="SALE1917"/>
    <x v="1"/>
    <x v="3"/>
    <x v="3"/>
    <x v="1"/>
    <x v="1"/>
    <n v="2"/>
    <n v="687.35"/>
    <n v="0.2"/>
    <n v="1099.76"/>
    <s v="COD"/>
    <x v="0"/>
    <x v="0"/>
    <x v="0"/>
  </r>
  <r>
    <x v="0"/>
    <s v="SALE244"/>
    <x v="2"/>
    <x v="4"/>
    <x v="4"/>
    <x v="2"/>
    <x v="2"/>
    <n v="4"/>
    <n v="452.67"/>
    <n v="0.28000000000000003"/>
    <n v="1303.6895999999999"/>
    <s v="PayPal"/>
    <x v="0"/>
    <x v="0"/>
    <x v="1"/>
  </r>
  <r>
    <x v="0"/>
    <s v="SALE1278"/>
    <x v="2"/>
    <x v="5"/>
    <x v="5"/>
    <x v="2"/>
    <x v="2"/>
    <n v="2"/>
    <n v="779.29"/>
    <n v="0.12"/>
    <n v="1371.5504000000001"/>
    <s v="COD"/>
    <x v="1"/>
    <x v="0"/>
    <x v="2"/>
  </r>
  <r>
    <x v="0"/>
    <s v="SALE535"/>
    <x v="3"/>
    <x v="6"/>
    <x v="6"/>
    <x v="3"/>
    <x v="1"/>
    <n v="1"/>
    <n v="791.36"/>
    <n v="0.06"/>
    <n v="743.87839999999994"/>
    <s v="PayPal"/>
    <x v="1"/>
    <x v="0"/>
    <x v="3"/>
  </r>
  <r>
    <x v="0"/>
    <s v="SALE1808"/>
    <x v="3"/>
    <x v="7"/>
    <x v="7"/>
    <x v="3"/>
    <x v="1"/>
    <n v="3"/>
    <n v="168.89"/>
    <n v="0.03"/>
    <n v="491.46989999999988"/>
    <s v="COD"/>
    <x v="0"/>
    <x v="0"/>
    <x v="0"/>
  </r>
  <r>
    <x v="0"/>
    <s v="SALE236"/>
    <x v="4"/>
    <x v="8"/>
    <x v="8"/>
    <x v="4"/>
    <x v="3"/>
    <n v="4"/>
    <n v="469.68"/>
    <n v="0.19"/>
    <n v="1521.7632000000001"/>
    <s v="Credit Card"/>
    <x v="0"/>
    <x v="0"/>
    <x v="2"/>
  </r>
  <r>
    <x v="0"/>
    <s v="SALE1562"/>
    <x v="4"/>
    <x v="9"/>
    <x v="9"/>
    <x v="4"/>
    <x v="3"/>
    <n v="1"/>
    <n v="465.63"/>
    <n v="0.25"/>
    <n v="349.22250000000003"/>
    <s v="Credit Card"/>
    <x v="0"/>
    <x v="0"/>
    <x v="1"/>
  </r>
  <r>
    <x v="0"/>
    <s v="SALE494"/>
    <x v="5"/>
    <x v="10"/>
    <x v="10"/>
    <x v="5"/>
    <x v="4"/>
    <n v="1"/>
    <n v="917.17"/>
    <n v="0.13"/>
    <n v="797.93790000000001"/>
    <s v="COD"/>
    <x v="1"/>
    <x v="0"/>
    <x v="1"/>
  </r>
  <r>
    <x v="0"/>
    <s v="SALE843"/>
    <x v="6"/>
    <x v="11"/>
    <x v="11"/>
    <x v="6"/>
    <x v="3"/>
    <n v="1"/>
    <n v="346.2"/>
    <n v="0.28999999999999998"/>
    <n v="245.80199999999999"/>
    <s v="Credit Card"/>
    <x v="1"/>
    <x v="0"/>
    <x v="2"/>
  </r>
  <r>
    <x v="0"/>
    <s v="SALE404"/>
    <x v="7"/>
    <x v="12"/>
    <x v="12"/>
    <x v="7"/>
    <x v="3"/>
    <n v="4"/>
    <n v="585.45000000000005"/>
    <n v="0.25"/>
    <n v="1756.35"/>
    <s v="COD"/>
    <x v="1"/>
    <x v="0"/>
    <x v="3"/>
  </r>
  <r>
    <x v="0"/>
    <s v="SALE667"/>
    <x v="8"/>
    <x v="13"/>
    <x v="13"/>
    <x v="8"/>
    <x v="2"/>
    <n v="1"/>
    <n v="242.08"/>
    <n v="0.18"/>
    <n v="198.50559999999999"/>
    <s v="PayPal"/>
    <x v="1"/>
    <x v="0"/>
    <x v="3"/>
  </r>
  <r>
    <x v="0"/>
    <s v="SALE395"/>
    <x v="8"/>
    <x v="14"/>
    <x v="14"/>
    <x v="8"/>
    <x v="2"/>
    <n v="4"/>
    <n v="276.23"/>
    <n v="0.12"/>
    <n v="972.32960000000003"/>
    <s v="Credit Card"/>
    <x v="1"/>
    <x v="0"/>
    <x v="1"/>
  </r>
  <r>
    <x v="0"/>
    <s v="SALE649"/>
    <x v="8"/>
    <x v="15"/>
    <x v="15"/>
    <x v="8"/>
    <x v="2"/>
    <n v="2"/>
    <n v="347.95"/>
    <n v="0.13"/>
    <n v="605.43299999999999"/>
    <s v="COD"/>
    <x v="0"/>
    <x v="0"/>
    <x v="2"/>
  </r>
  <r>
    <x v="0"/>
    <s v="SALE929"/>
    <x v="9"/>
    <x v="16"/>
    <x v="16"/>
    <x v="9"/>
    <x v="3"/>
    <n v="1"/>
    <n v="588.92999999999995"/>
    <n v="0.03"/>
    <n v="571.26209999999992"/>
    <s v="COD"/>
    <x v="1"/>
    <x v="0"/>
    <x v="3"/>
  </r>
  <r>
    <x v="0"/>
    <s v="SALE1765"/>
    <x v="10"/>
    <x v="17"/>
    <x v="17"/>
    <x v="10"/>
    <x v="4"/>
    <n v="2"/>
    <n v="596.84"/>
    <n v="0.01"/>
    <n v="1181.7431999999999"/>
    <s v="PayPal"/>
    <x v="0"/>
    <x v="0"/>
    <x v="3"/>
  </r>
  <r>
    <x v="0"/>
    <s v="SALE1877"/>
    <x v="11"/>
    <x v="18"/>
    <x v="18"/>
    <x v="11"/>
    <x v="0"/>
    <n v="2"/>
    <n v="614.21"/>
    <n v="0.11"/>
    <n v="1093.2937999999999"/>
    <s v="PayPal"/>
    <x v="0"/>
    <x v="0"/>
    <x v="0"/>
  </r>
  <r>
    <x v="0"/>
    <s v="SALE357"/>
    <x v="12"/>
    <x v="19"/>
    <x v="19"/>
    <x v="12"/>
    <x v="2"/>
    <n v="3"/>
    <n v="158.72"/>
    <n v="0.13"/>
    <n v="414.25920000000002"/>
    <s v="Credit Card"/>
    <x v="1"/>
    <x v="0"/>
    <x v="1"/>
  </r>
  <r>
    <x v="0"/>
    <s v="SALE1435"/>
    <x v="12"/>
    <x v="20"/>
    <x v="20"/>
    <x v="12"/>
    <x v="2"/>
    <n v="1"/>
    <n v="640.92999999999995"/>
    <n v="0.19"/>
    <n v="519.15329999999994"/>
    <s v="PayPal"/>
    <x v="0"/>
    <x v="0"/>
    <x v="0"/>
  </r>
  <r>
    <x v="0"/>
    <s v="SALE1048"/>
    <x v="13"/>
    <x v="21"/>
    <x v="21"/>
    <x v="13"/>
    <x v="3"/>
    <n v="1"/>
    <n v="143.69999999999999"/>
    <n v="0.19"/>
    <n v="116.39700000000001"/>
    <s v="PayPal"/>
    <x v="0"/>
    <x v="0"/>
    <x v="0"/>
  </r>
  <r>
    <x v="0"/>
    <s v="SALE1903"/>
    <x v="14"/>
    <x v="22"/>
    <x v="22"/>
    <x v="14"/>
    <x v="4"/>
    <n v="3"/>
    <n v="476.1"/>
    <n v="0.05"/>
    <n v="1356.885"/>
    <s v="COD"/>
    <x v="1"/>
    <x v="0"/>
    <x v="3"/>
  </r>
  <r>
    <x v="0"/>
    <s v="SALE9"/>
    <x v="15"/>
    <x v="23"/>
    <x v="23"/>
    <x v="15"/>
    <x v="2"/>
    <n v="2"/>
    <n v="873.17"/>
    <n v="0.23"/>
    <n v="1344.6818000000001"/>
    <s v="PayPal"/>
    <x v="1"/>
    <x v="0"/>
    <x v="1"/>
  </r>
  <r>
    <x v="0"/>
    <s v="SALE182"/>
    <x v="16"/>
    <x v="24"/>
    <x v="24"/>
    <x v="16"/>
    <x v="0"/>
    <n v="4"/>
    <n v="741.88"/>
    <n v="0.02"/>
    <n v="2908.1696000000002"/>
    <s v="COD"/>
    <x v="1"/>
    <x v="0"/>
    <x v="0"/>
  </r>
  <r>
    <x v="0"/>
    <s v="SALE1612"/>
    <x v="16"/>
    <x v="25"/>
    <x v="25"/>
    <x v="16"/>
    <x v="0"/>
    <n v="1"/>
    <n v="905.5"/>
    <n v="0.28999999999999998"/>
    <n v="642.90499999999997"/>
    <s v="COD"/>
    <x v="0"/>
    <x v="0"/>
    <x v="2"/>
  </r>
  <r>
    <x v="0"/>
    <s v="SALE1165"/>
    <x v="17"/>
    <x v="26"/>
    <x v="26"/>
    <x v="17"/>
    <x v="2"/>
    <n v="2"/>
    <n v="961.68"/>
    <n v="0.27"/>
    <n v="1404.0527999999999"/>
    <s v="PayPal"/>
    <x v="1"/>
    <x v="0"/>
    <x v="3"/>
  </r>
  <r>
    <x v="0"/>
    <s v="SALE1758"/>
    <x v="18"/>
    <x v="27"/>
    <x v="27"/>
    <x v="18"/>
    <x v="4"/>
    <n v="2"/>
    <n v="324.18"/>
    <n v="0.06"/>
    <n v="609.45839999999998"/>
    <s v="COD"/>
    <x v="0"/>
    <x v="0"/>
    <x v="3"/>
  </r>
  <r>
    <x v="0"/>
    <s v="SALE1556"/>
    <x v="18"/>
    <x v="28"/>
    <x v="28"/>
    <x v="18"/>
    <x v="4"/>
    <n v="1"/>
    <n v="887.38"/>
    <n v="0.01"/>
    <n v="878.50620000000004"/>
    <s v="COD"/>
    <x v="0"/>
    <x v="0"/>
    <x v="0"/>
  </r>
  <r>
    <x v="0"/>
    <s v="SALE472"/>
    <x v="19"/>
    <x v="29"/>
    <x v="29"/>
    <x v="19"/>
    <x v="4"/>
    <n v="3"/>
    <n v="416.01"/>
    <n v="0.02"/>
    <n v="1223.0694000000001"/>
    <s v="Credit Card"/>
    <x v="1"/>
    <x v="0"/>
    <x v="1"/>
  </r>
  <r>
    <x v="0"/>
    <s v="SALE269"/>
    <x v="19"/>
    <x v="30"/>
    <x v="30"/>
    <x v="19"/>
    <x v="4"/>
    <n v="4"/>
    <n v="747.01"/>
    <n v="0.13"/>
    <n v="2599.5947999999999"/>
    <s v="PayPal"/>
    <x v="1"/>
    <x v="0"/>
    <x v="3"/>
  </r>
  <r>
    <x v="0"/>
    <s v="SALE88"/>
    <x v="20"/>
    <x v="31"/>
    <x v="31"/>
    <x v="20"/>
    <x v="3"/>
    <n v="2"/>
    <n v="217.83"/>
    <n v="0.14000000000000001"/>
    <n v="374.66759999999999"/>
    <s v="PayPal"/>
    <x v="0"/>
    <x v="0"/>
    <x v="1"/>
  </r>
  <r>
    <x v="0"/>
    <s v="SALE1445"/>
    <x v="21"/>
    <x v="32"/>
    <x v="32"/>
    <x v="21"/>
    <x v="0"/>
    <n v="3"/>
    <n v="158.27000000000001"/>
    <n v="0.24"/>
    <n v="360.85559999999998"/>
    <s v="COD"/>
    <x v="1"/>
    <x v="0"/>
    <x v="2"/>
  </r>
  <r>
    <x v="0"/>
    <s v="SALE1781"/>
    <x v="21"/>
    <x v="33"/>
    <x v="33"/>
    <x v="21"/>
    <x v="0"/>
    <n v="1"/>
    <n v="609.29"/>
    <n v="0.15"/>
    <n v="517.89649999999995"/>
    <s v="Credit Card"/>
    <x v="0"/>
    <x v="0"/>
    <x v="1"/>
  </r>
  <r>
    <x v="0"/>
    <s v="SALE1292"/>
    <x v="22"/>
    <x v="34"/>
    <x v="34"/>
    <x v="22"/>
    <x v="0"/>
    <n v="1"/>
    <n v="70.52"/>
    <n v="0.08"/>
    <n v="64.878399999999999"/>
    <s v="COD"/>
    <x v="1"/>
    <x v="0"/>
    <x v="0"/>
  </r>
  <r>
    <x v="0"/>
    <s v="SALE794"/>
    <x v="23"/>
    <x v="35"/>
    <x v="35"/>
    <x v="23"/>
    <x v="0"/>
    <n v="3"/>
    <n v="846.19"/>
    <n v="0.09"/>
    <n v="2310.0987"/>
    <s v="COD"/>
    <x v="1"/>
    <x v="0"/>
    <x v="0"/>
  </r>
  <r>
    <x v="0"/>
    <s v="SALE1122"/>
    <x v="23"/>
    <x v="36"/>
    <x v="36"/>
    <x v="23"/>
    <x v="0"/>
    <n v="2"/>
    <n v="700.95"/>
    <n v="0.18"/>
    <n v="1149.558"/>
    <s v="Credit Card"/>
    <x v="0"/>
    <x v="0"/>
    <x v="1"/>
  </r>
  <r>
    <x v="0"/>
    <s v="SALE541"/>
    <x v="23"/>
    <x v="17"/>
    <x v="37"/>
    <x v="23"/>
    <x v="0"/>
    <n v="1"/>
    <n v="878.84"/>
    <n v="0.28000000000000003"/>
    <n v="632.76480000000004"/>
    <s v="COD"/>
    <x v="1"/>
    <x v="0"/>
    <x v="1"/>
  </r>
  <r>
    <x v="0"/>
    <s v="SALE1334"/>
    <x v="24"/>
    <x v="37"/>
    <x v="38"/>
    <x v="24"/>
    <x v="3"/>
    <n v="2"/>
    <n v="905.47"/>
    <n v="0.2"/>
    <n v="1448.752"/>
    <s v="COD"/>
    <x v="1"/>
    <x v="0"/>
    <x v="3"/>
  </r>
  <r>
    <x v="0"/>
    <s v="SALE179"/>
    <x v="24"/>
    <x v="38"/>
    <x v="39"/>
    <x v="24"/>
    <x v="3"/>
    <n v="2"/>
    <n v="522.16999999999996"/>
    <n v="0.27"/>
    <n v="762.36819999999989"/>
    <s v="Credit Card"/>
    <x v="1"/>
    <x v="0"/>
    <x v="1"/>
  </r>
  <r>
    <x v="0"/>
    <s v="SALE1871"/>
    <x v="24"/>
    <x v="10"/>
    <x v="40"/>
    <x v="24"/>
    <x v="3"/>
    <n v="3"/>
    <n v="201.05"/>
    <n v="0.23"/>
    <n v="464.42550000000011"/>
    <s v="PayPal"/>
    <x v="1"/>
    <x v="0"/>
    <x v="1"/>
  </r>
  <r>
    <x v="0"/>
    <s v="SALE1558"/>
    <x v="25"/>
    <x v="39"/>
    <x v="41"/>
    <x v="25"/>
    <x v="4"/>
    <n v="2"/>
    <n v="157.91"/>
    <n v="0.09"/>
    <n v="287.39620000000002"/>
    <s v="COD"/>
    <x v="1"/>
    <x v="0"/>
    <x v="3"/>
  </r>
  <r>
    <x v="0"/>
    <s v="SALE141"/>
    <x v="26"/>
    <x v="40"/>
    <x v="42"/>
    <x v="26"/>
    <x v="1"/>
    <n v="1"/>
    <n v="503.95"/>
    <n v="0.26"/>
    <n v="372.923"/>
    <s v="COD"/>
    <x v="0"/>
    <x v="0"/>
    <x v="3"/>
  </r>
  <r>
    <x v="0"/>
    <s v="SALE1647"/>
    <x v="26"/>
    <x v="41"/>
    <x v="43"/>
    <x v="26"/>
    <x v="1"/>
    <n v="4"/>
    <n v="92.35"/>
    <n v="0.15"/>
    <n v="313.99"/>
    <s v="Credit Card"/>
    <x v="1"/>
    <x v="0"/>
    <x v="3"/>
  </r>
  <r>
    <x v="0"/>
    <s v="SALE156"/>
    <x v="27"/>
    <x v="42"/>
    <x v="44"/>
    <x v="27"/>
    <x v="1"/>
    <n v="2"/>
    <n v="921.52"/>
    <n v="0"/>
    <n v="1843.04"/>
    <s v="PayPal"/>
    <x v="0"/>
    <x v="0"/>
    <x v="1"/>
  </r>
  <r>
    <x v="0"/>
    <s v="SALE1776"/>
    <x v="28"/>
    <x v="43"/>
    <x v="45"/>
    <x v="28"/>
    <x v="4"/>
    <n v="4"/>
    <n v="477.83"/>
    <n v="0.05"/>
    <n v="1815.7539999999999"/>
    <s v="COD"/>
    <x v="0"/>
    <x v="0"/>
    <x v="1"/>
  </r>
  <r>
    <x v="0"/>
    <s v="SALE345"/>
    <x v="29"/>
    <x v="44"/>
    <x v="46"/>
    <x v="29"/>
    <x v="3"/>
    <n v="2"/>
    <n v="660.81"/>
    <n v="0.18"/>
    <n v="1083.7284"/>
    <s v="Credit Card"/>
    <x v="1"/>
    <x v="0"/>
    <x v="3"/>
  </r>
  <r>
    <x v="0"/>
    <s v="SALE234"/>
    <x v="30"/>
    <x v="45"/>
    <x v="47"/>
    <x v="30"/>
    <x v="3"/>
    <n v="1"/>
    <n v="447.16"/>
    <n v="0.22"/>
    <n v="348.78480000000002"/>
    <s v="COD"/>
    <x v="0"/>
    <x v="0"/>
    <x v="1"/>
  </r>
  <r>
    <x v="0"/>
    <s v="SALE453"/>
    <x v="31"/>
    <x v="46"/>
    <x v="48"/>
    <x v="31"/>
    <x v="2"/>
    <n v="2"/>
    <n v="911.14"/>
    <n v="0.1"/>
    <n v="1640.0519999999999"/>
    <s v="Credit Card"/>
    <x v="0"/>
    <x v="0"/>
    <x v="1"/>
  </r>
  <r>
    <x v="0"/>
    <s v="SALE1641"/>
    <x v="32"/>
    <x v="47"/>
    <x v="49"/>
    <x v="32"/>
    <x v="2"/>
    <n v="4"/>
    <n v="827.39"/>
    <n v="0.06"/>
    <n v="3110.9863999999998"/>
    <s v="COD"/>
    <x v="0"/>
    <x v="0"/>
    <x v="1"/>
  </r>
  <r>
    <x v="0"/>
    <s v="SALE854"/>
    <x v="32"/>
    <x v="48"/>
    <x v="50"/>
    <x v="32"/>
    <x v="2"/>
    <n v="3"/>
    <n v="247.41"/>
    <n v="0.05"/>
    <n v="705.11850000000004"/>
    <s v="COD"/>
    <x v="0"/>
    <x v="0"/>
    <x v="2"/>
  </r>
  <r>
    <x v="0"/>
    <s v="SALE1722"/>
    <x v="33"/>
    <x v="49"/>
    <x v="25"/>
    <x v="33"/>
    <x v="4"/>
    <n v="3"/>
    <n v="130.41"/>
    <n v="0.14000000000000001"/>
    <n v="336.45780000000002"/>
    <s v="PayPal"/>
    <x v="0"/>
    <x v="0"/>
    <x v="2"/>
  </r>
  <r>
    <x v="0"/>
    <s v="SALE329"/>
    <x v="34"/>
    <x v="50"/>
    <x v="51"/>
    <x v="34"/>
    <x v="1"/>
    <n v="4"/>
    <n v="24.72"/>
    <n v="0.28000000000000003"/>
    <n v="71.193599999999989"/>
    <s v="Credit Card"/>
    <x v="0"/>
    <x v="0"/>
    <x v="2"/>
  </r>
  <r>
    <x v="0"/>
    <s v="SALE1246"/>
    <x v="35"/>
    <x v="51"/>
    <x v="52"/>
    <x v="35"/>
    <x v="0"/>
    <n v="1"/>
    <n v="147.96"/>
    <n v="0.24"/>
    <n v="112.4496"/>
    <s v="COD"/>
    <x v="0"/>
    <x v="0"/>
    <x v="2"/>
  </r>
  <r>
    <x v="0"/>
    <s v="SALE965"/>
    <x v="35"/>
    <x v="52"/>
    <x v="53"/>
    <x v="35"/>
    <x v="0"/>
    <n v="4"/>
    <n v="189.21"/>
    <n v="0.06"/>
    <n v="711.42959999999994"/>
    <s v="COD"/>
    <x v="0"/>
    <x v="0"/>
    <x v="0"/>
  </r>
  <r>
    <x v="0"/>
    <s v="SALE427"/>
    <x v="36"/>
    <x v="37"/>
    <x v="54"/>
    <x v="36"/>
    <x v="1"/>
    <n v="4"/>
    <n v="925.95"/>
    <n v="0.16"/>
    <n v="3111.192"/>
    <s v="COD"/>
    <x v="0"/>
    <x v="0"/>
    <x v="2"/>
  </r>
  <r>
    <x v="0"/>
    <s v="SALE1989"/>
    <x v="37"/>
    <x v="52"/>
    <x v="55"/>
    <x v="37"/>
    <x v="1"/>
    <n v="2"/>
    <n v="358.87"/>
    <n v="0.24"/>
    <n v="545.48239999999998"/>
    <s v="Credit Card"/>
    <x v="0"/>
    <x v="0"/>
    <x v="2"/>
  </r>
  <r>
    <x v="0"/>
    <s v="SALE1827"/>
    <x v="37"/>
    <x v="53"/>
    <x v="56"/>
    <x v="37"/>
    <x v="1"/>
    <n v="3"/>
    <n v="713.95"/>
    <n v="0"/>
    <n v="2141.85"/>
    <s v="Credit Card"/>
    <x v="0"/>
    <x v="0"/>
    <x v="2"/>
  </r>
  <r>
    <x v="0"/>
    <s v="SALE1517"/>
    <x v="37"/>
    <x v="54"/>
    <x v="57"/>
    <x v="37"/>
    <x v="1"/>
    <n v="4"/>
    <n v="179.62"/>
    <n v="0.05"/>
    <n v="682.55600000000004"/>
    <s v="Credit Card"/>
    <x v="1"/>
    <x v="0"/>
    <x v="2"/>
  </r>
  <r>
    <x v="0"/>
    <s v="SALE1363"/>
    <x v="38"/>
    <x v="55"/>
    <x v="58"/>
    <x v="38"/>
    <x v="1"/>
    <n v="1"/>
    <n v="570.52"/>
    <n v="0"/>
    <n v="570.52"/>
    <s v="PayPal"/>
    <x v="1"/>
    <x v="0"/>
    <x v="3"/>
  </r>
  <r>
    <x v="0"/>
    <s v="SALE762"/>
    <x v="39"/>
    <x v="56"/>
    <x v="59"/>
    <x v="39"/>
    <x v="0"/>
    <n v="1"/>
    <n v="928.72"/>
    <n v="0.1"/>
    <n v="835.84800000000007"/>
    <s v="COD"/>
    <x v="1"/>
    <x v="0"/>
    <x v="1"/>
  </r>
  <r>
    <x v="0"/>
    <s v="SALE1602"/>
    <x v="39"/>
    <x v="57"/>
    <x v="54"/>
    <x v="39"/>
    <x v="0"/>
    <n v="1"/>
    <n v="305.70999999999998"/>
    <n v="0.26"/>
    <n v="226.22540000000001"/>
    <s v="COD"/>
    <x v="0"/>
    <x v="0"/>
    <x v="2"/>
  </r>
  <r>
    <x v="0"/>
    <s v="SALE1269"/>
    <x v="40"/>
    <x v="58"/>
    <x v="60"/>
    <x v="40"/>
    <x v="4"/>
    <n v="4"/>
    <n v="305.95"/>
    <n v="0.08"/>
    <n v="1125.896"/>
    <s v="PayPal"/>
    <x v="0"/>
    <x v="0"/>
    <x v="3"/>
  </r>
  <r>
    <x v="0"/>
    <s v="SALE161"/>
    <x v="41"/>
    <x v="59"/>
    <x v="61"/>
    <x v="41"/>
    <x v="2"/>
    <n v="1"/>
    <n v="479.58"/>
    <n v="0.05"/>
    <n v="455.60099999999989"/>
    <s v="PayPal"/>
    <x v="0"/>
    <x v="0"/>
    <x v="1"/>
  </r>
  <r>
    <x v="0"/>
    <s v="SALE919"/>
    <x v="41"/>
    <x v="60"/>
    <x v="62"/>
    <x v="41"/>
    <x v="2"/>
    <n v="1"/>
    <n v="550.05999999999995"/>
    <n v="0.01"/>
    <n v="544.55939999999998"/>
    <s v="Credit Card"/>
    <x v="0"/>
    <x v="0"/>
    <x v="3"/>
  </r>
  <r>
    <x v="0"/>
    <s v="SALE605"/>
    <x v="42"/>
    <x v="61"/>
    <x v="63"/>
    <x v="42"/>
    <x v="3"/>
    <n v="1"/>
    <n v="61.11"/>
    <n v="0.1"/>
    <n v="54.999000000000002"/>
    <s v="PayPal"/>
    <x v="0"/>
    <x v="0"/>
    <x v="1"/>
  </r>
  <r>
    <x v="0"/>
    <s v="SALE493"/>
    <x v="42"/>
    <x v="62"/>
    <x v="64"/>
    <x v="42"/>
    <x v="3"/>
    <n v="2"/>
    <n v="488.02"/>
    <n v="0.27"/>
    <n v="712.50919999999996"/>
    <s v="PayPal"/>
    <x v="0"/>
    <x v="0"/>
    <x v="3"/>
  </r>
  <r>
    <x v="0"/>
    <s v="SALE1030"/>
    <x v="43"/>
    <x v="63"/>
    <x v="65"/>
    <x v="43"/>
    <x v="3"/>
    <n v="1"/>
    <n v="328.51"/>
    <n v="0.2"/>
    <n v="262.80799999999999"/>
    <s v="COD"/>
    <x v="0"/>
    <x v="0"/>
    <x v="2"/>
  </r>
  <r>
    <x v="0"/>
    <s v="SALE521"/>
    <x v="43"/>
    <x v="64"/>
    <x v="66"/>
    <x v="43"/>
    <x v="3"/>
    <n v="3"/>
    <n v="780.69"/>
    <n v="0.1"/>
    <n v="2107.8629999999998"/>
    <s v="COD"/>
    <x v="1"/>
    <x v="0"/>
    <x v="3"/>
  </r>
  <r>
    <x v="0"/>
    <s v="SALE819"/>
    <x v="44"/>
    <x v="65"/>
    <x v="67"/>
    <x v="44"/>
    <x v="0"/>
    <n v="1"/>
    <n v="719.94"/>
    <n v="0.23"/>
    <n v="554.35380000000009"/>
    <s v="COD"/>
    <x v="0"/>
    <x v="0"/>
    <x v="3"/>
  </r>
  <r>
    <x v="0"/>
    <s v="SALE1336"/>
    <x v="45"/>
    <x v="66"/>
    <x v="9"/>
    <x v="45"/>
    <x v="4"/>
    <n v="3"/>
    <n v="580.45000000000005"/>
    <n v="0"/>
    <n v="1741.35"/>
    <s v="PayPal"/>
    <x v="0"/>
    <x v="0"/>
    <x v="1"/>
  </r>
  <r>
    <x v="0"/>
    <s v="SALE1654"/>
    <x v="45"/>
    <x v="67"/>
    <x v="68"/>
    <x v="45"/>
    <x v="4"/>
    <n v="1"/>
    <n v="676.26"/>
    <n v="0.14000000000000001"/>
    <n v="581.58359999999993"/>
    <s v="Credit Card"/>
    <x v="0"/>
    <x v="0"/>
    <x v="2"/>
  </r>
  <r>
    <x v="0"/>
    <s v="SALE1026"/>
    <x v="46"/>
    <x v="68"/>
    <x v="69"/>
    <x v="46"/>
    <x v="3"/>
    <n v="2"/>
    <n v="773.75"/>
    <n v="0.16"/>
    <n v="1299.9000000000001"/>
    <s v="PayPal"/>
    <x v="1"/>
    <x v="0"/>
    <x v="3"/>
  </r>
  <r>
    <x v="0"/>
    <s v="SALE523"/>
    <x v="47"/>
    <x v="69"/>
    <x v="70"/>
    <x v="47"/>
    <x v="3"/>
    <n v="4"/>
    <n v="854.37"/>
    <n v="7.0000000000000007E-2"/>
    <n v="3178.2564000000002"/>
    <s v="PayPal"/>
    <x v="0"/>
    <x v="0"/>
    <x v="0"/>
  </r>
  <r>
    <x v="0"/>
    <s v="SALE768"/>
    <x v="48"/>
    <x v="70"/>
    <x v="71"/>
    <x v="48"/>
    <x v="1"/>
    <n v="1"/>
    <n v="303.79000000000002"/>
    <n v="0.24"/>
    <n v="230.88040000000001"/>
    <s v="PayPal"/>
    <x v="0"/>
    <x v="0"/>
    <x v="0"/>
  </r>
  <r>
    <x v="0"/>
    <s v="SALE1836"/>
    <x v="48"/>
    <x v="71"/>
    <x v="72"/>
    <x v="48"/>
    <x v="1"/>
    <n v="3"/>
    <n v="63.96"/>
    <n v="0.02"/>
    <n v="188.04239999999999"/>
    <s v="Credit Card"/>
    <x v="1"/>
    <x v="0"/>
    <x v="0"/>
  </r>
  <r>
    <x v="0"/>
    <s v="SALE629"/>
    <x v="48"/>
    <x v="72"/>
    <x v="73"/>
    <x v="48"/>
    <x v="1"/>
    <n v="1"/>
    <n v="92.83"/>
    <n v="0.26"/>
    <n v="68.694199999999995"/>
    <s v="PayPal"/>
    <x v="0"/>
    <x v="0"/>
    <x v="3"/>
  </r>
  <r>
    <x v="0"/>
    <s v="SALE440"/>
    <x v="49"/>
    <x v="73"/>
    <x v="74"/>
    <x v="49"/>
    <x v="4"/>
    <n v="2"/>
    <n v="226.43"/>
    <n v="0.03"/>
    <n v="439.27420000000001"/>
    <s v="Credit Card"/>
    <x v="1"/>
    <x v="0"/>
    <x v="2"/>
  </r>
  <r>
    <x v="0"/>
    <s v="SALE883"/>
    <x v="49"/>
    <x v="74"/>
    <x v="75"/>
    <x v="49"/>
    <x v="4"/>
    <n v="3"/>
    <n v="762"/>
    <n v="0.02"/>
    <n v="2240.2800000000002"/>
    <s v="PayPal"/>
    <x v="0"/>
    <x v="0"/>
    <x v="2"/>
  </r>
  <r>
    <x v="0"/>
    <s v="SALE1252"/>
    <x v="50"/>
    <x v="75"/>
    <x v="76"/>
    <x v="50"/>
    <x v="2"/>
    <n v="1"/>
    <n v="227.35"/>
    <n v="0.06"/>
    <n v="213.709"/>
    <s v="COD"/>
    <x v="0"/>
    <x v="0"/>
    <x v="1"/>
  </r>
  <r>
    <x v="0"/>
    <s v="SALE839"/>
    <x v="51"/>
    <x v="76"/>
    <x v="14"/>
    <x v="51"/>
    <x v="2"/>
    <n v="3"/>
    <n v="693.42"/>
    <n v="0.08"/>
    <n v="1913.8391999999999"/>
    <s v="PayPal"/>
    <x v="1"/>
    <x v="0"/>
    <x v="1"/>
  </r>
  <r>
    <x v="0"/>
    <s v="SALE148"/>
    <x v="51"/>
    <x v="77"/>
    <x v="28"/>
    <x v="51"/>
    <x v="2"/>
    <n v="1"/>
    <n v="652.03"/>
    <n v="0.27"/>
    <n v="475.9819"/>
    <s v="Credit Card"/>
    <x v="0"/>
    <x v="0"/>
    <x v="0"/>
  </r>
  <r>
    <x v="0"/>
    <s v="SALE519"/>
    <x v="52"/>
    <x v="12"/>
    <x v="77"/>
    <x v="52"/>
    <x v="3"/>
    <n v="4"/>
    <n v="370.09"/>
    <n v="0.22"/>
    <n v="1154.6808000000001"/>
    <s v="COD"/>
    <x v="0"/>
    <x v="0"/>
    <x v="0"/>
  </r>
  <r>
    <x v="0"/>
    <s v="SALE1280"/>
    <x v="53"/>
    <x v="78"/>
    <x v="54"/>
    <x v="53"/>
    <x v="1"/>
    <n v="2"/>
    <n v="121.67"/>
    <n v="0.08"/>
    <n v="223.87280000000001"/>
    <s v="COD"/>
    <x v="0"/>
    <x v="0"/>
    <x v="2"/>
  </r>
  <r>
    <x v="0"/>
    <s v="SALE1509"/>
    <x v="54"/>
    <x v="79"/>
    <x v="78"/>
    <x v="54"/>
    <x v="0"/>
    <n v="3"/>
    <n v="65.569999999999993"/>
    <n v="0.3"/>
    <n v="137.697"/>
    <s v="COD"/>
    <x v="1"/>
    <x v="0"/>
    <x v="1"/>
  </r>
  <r>
    <x v="0"/>
    <s v="SALE109"/>
    <x v="55"/>
    <x v="80"/>
    <x v="79"/>
    <x v="55"/>
    <x v="4"/>
    <n v="3"/>
    <n v="376.46"/>
    <n v="0.09"/>
    <n v="1027.7357999999999"/>
    <s v="COD"/>
    <x v="0"/>
    <x v="0"/>
    <x v="3"/>
  </r>
  <r>
    <x v="0"/>
    <s v="SALE1147"/>
    <x v="55"/>
    <x v="81"/>
    <x v="30"/>
    <x v="55"/>
    <x v="4"/>
    <n v="2"/>
    <n v="844.31"/>
    <n v="7.0000000000000007E-2"/>
    <n v="1570.4166"/>
    <s v="PayPal"/>
    <x v="1"/>
    <x v="0"/>
    <x v="3"/>
  </r>
  <r>
    <x v="0"/>
    <s v="SALE728"/>
    <x v="55"/>
    <x v="82"/>
    <x v="80"/>
    <x v="55"/>
    <x v="4"/>
    <n v="4"/>
    <n v="289.77"/>
    <n v="0.06"/>
    <n v="1089.5352"/>
    <s v="PayPal"/>
    <x v="1"/>
    <x v="0"/>
    <x v="1"/>
  </r>
  <r>
    <x v="0"/>
    <s v="SALE892"/>
    <x v="56"/>
    <x v="83"/>
    <x v="81"/>
    <x v="56"/>
    <x v="2"/>
    <n v="1"/>
    <n v="533.79999999999995"/>
    <n v="0.27"/>
    <n v="389.67399999999998"/>
    <s v="COD"/>
    <x v="1"/>
    <x v="0"/>
    <x v="1"/>
  </r>
  <r>
    <x v="0"/>
    <s v="SALE1582"/>
    <x v="56"/>
    <x v="84"/>
    <x v="82"/>
    <x v="56"/>
    <x v="2"/>
    <n v="1"/>
    <n v="681.47"/>
    <n v="0.15"/>
    <n v="579.24950000000001"/>
    <s v="Credit Card"/>
    <x v="1"/>
    <x v="0"/>
    <x v="3"/>
  </r>
  <r>
    <x v="0"/>
    <s v="SALE818"/>
    <x v="57"/>
    <x v="85"/>
    <x v="83"/>
    <x v="57"/>
    <x v="1"/>
    <n v="2"/>
    <n v="698.94"/>
    <n v="0.06"/>
    <n v="1314.0072"/>
    <s v="Credit Card"/>
    <x v="1"/>
    <x v="0"/>
    <x v="1"/>
  </r>
  <r>
    <x v="0"/>
    <s v="SALE496"/>
    <x v="58"/>
    <x v="60"/>
    <x v="84"/>
    <x v="58"/>
    <x v="3"/>
    <n v="2"/>
    <n v="264.39"/>
    <n v="0.11"/>
    <n v="470.61419999999998"/>
    <s v="COD"/>
    <x v="1"/>
    <x v="0"/>
    <x v="1"/>
  </r>
  <r>
    <x v="0"/>
    <s v="SALE1739"/>
    <x v="59"/>
    <x v="86"/>
    <x v="67"/>
    <x v="59"/>
    <x v="4"/>
    <n v="3"/>
    <n v="330.98"/>
    <n v="0.11"/>
    <n v="883.71660000000008"/>
    <s v="Credit Card"/>
    <x v="0"/>
    <x v="0"/>
    <x v="3"/>
  </r>
  <r>
    <x v="1"/>
    <s v="SALE274"/>
    <x v="60"/>
    <x v="87"/>
    <x v="85"/>
    <x v="60"/>
    <x v="2"/>
    <n v="1"/>
    <n v="406.79"/>
    <n v="0.03"/>
    <n v="394.58629999999999"/>
    <s v="COD"/>
    <x v="1"/>
    <x v="0"/>
    <x v="0"/>
  </r>
  <r>
    <x v="1"/>
    <s v="SALE1865"/>
    <x v="0"/>
    <x v="88"/>
    <x v="86"/>
    <x v="0"/>
    <x v="0"/>
    <n v="4"/>
    <n v="972.14"/>
    <n v="0.25"/>
    <n v="2916.42"/>
    <s v="Credit Card"/>
    <x v="0"/>
    <x v="0"/>
    <x v="2"/>
  </r>
  <r>
    <x v="1"/>
    <s v="SALE1715"/>
    <x v="1"/>
    <x v="89"/>
    <x v="85"/>
    <x v="1"/>
    <x v="1"/>
    <n v="1"/>
    <n v="120.83"/>
    <n v="0.08"/>
    <n v="111.1636"/>
    <s v="Credit Card"/>
    <x v="1"/>
    <x v="0"/>
    <x v="0"/>
  </r>
  <r>
    <x v="1"/>
    <s v="SALE326"/>
    <x v="61"/>
    <x v="90"/>
    <x v="87"/>
    <x v="61"/>
    <x v="0"/>
    <n v="2"/>
    <n v="610.37"/>
    <n v="0.1"/>
    <n v="1098.6659999999999"/>
    <s v="PayPal"/>
    <x v="1"/>
    <x v="0"/>
    <x v="1"/>
  </r>
  <r>
    <x v="1"/>
    <s v="SALE1895"/>
    <x v="2"/>
    <x v="91"/>
    <x v="88"/>
    <x v="2"/>
    <x v="2"/>
    <n v="2"/>
    <n v="660.27"/>
    <n v="0.01"/>
    <n v="1307.3345999999999"/>
    <s v="PayPal"/>
    <x v="0"/>
    <x v="0"/>
    <x v="1"/>
  </r>
  <r>
    <x v="1"/>
    <s v="SALE1185"/>
    <x v="62"/>
    <x v="92"/>
    <x v="25"/>
    <x v="62"/>
    <x v="0"/>
    <n v="1"/>
    <n v="86.03"/>
    <n v="0.01"/>
    <n v="85.169700000000006"/>
    <s v="Credit Card"/>
    <x v="0"/>
    <x v="0"/>
    <x v="2"/>
  </r>
  <r>
    <x v="1"/>
    <s v="SALE609"/>
    <x v="62"/>
    <x v="93"/>
    <x v="89"/>
    <x v="62"/>
    <x v="0"/>
    <n v="4"/>
    <n v="479.11"/>
    <n v="0.24"/>
    <n v="1456.4944"/>
    <s v="PayPal"/>
    <x v="1"/>
    <x v="0"/>
    <x v="3"/>
  </r>
  <r>
    <x v="1"/>
    <s v="SALE91"/>
    <x v="3"/>
    <x v="94"/>
    <x v="90"/>
    <x v="3"/>
    <x v="1"/>
    <n v="4"/>
    <n v="102.19"/>
    <n v="0.17"/>
    <n v="339.27080000000001"/>
    <s v="PayPal"/>
    <x v="1"/>
    <x v="0"/>
    <x v="3"/>
  </r>
  <r>
    <x v="1"/>
    <s v="SALE572"/>
    <x v="4"/>
    <x v="95"/>
    <x v="91"/>
    <x v="4"/>
    <x v="3"/>
    <n v="3"/>
    <n v="282.33"/>
    <n v="7.0000000000000007E-2"/>
    <n v="787.70069999999998"/>
    <s v="Credit Card"/>
    <x v="0"/>
    <x v="0"/>
    <x v="3"/>
  </r>
  <r>
    <x v="1"/>
    <s v="SALE89"/>
    <x v="4"/>
    <x v="96"/>
    <x v="92"/>
    <x v="4"/>
    <x v="3"/>
    <n v="4"/>
    <n v="187.71"/>
    <n v="0.06"/>
    <n v="705.78959999999995"/>
    <s v="COD"/>
    <x v="0"/>
    <x v="0"/>
    <x v="2"/>
  </r>
  <r>
    <x v="1"/>
    <s v="SALE297"/>
    <x v="4"/>
    <x v="97"/>
    <x v="93"/>
    <x v="4"/>
    <x v="3"/>
    <n v="4"/>
    <n v="353.67"/>
    <n v="0.03"/>
    <n v="1372.2396000000001"/>
    <s v="COD"/>
    <x v="1"/>
    <x v="0"/>
    <x v="2"/>
  </r>
  <r>
    <x v="1"/>
    <s v="SALE683"/>
    <x v="4"/>
    <x v="98"/>
    <x v="94"/>
    <x v="4"/>
    <x v="3"/>
    <n v="3"/>
    <n v="401.42"/>
    <n v="0.01"/>
    <n v="1192.2174"/>
    <s v="COD"/>
    <x v="0"/>
    <x v="0"/>
    <x v="3"/>
  </r>
  <r>
    <x v="1"/>
    <s v="SALE356"/>
    <x v="5"/>
    <x v="99"/>
    <x v="95"/>
    <x v="5"/>
    <x v="4"/>
    <n v="1"/>
    <n v="691.38"/>
    <n v="0.11"/>
    <n v="615.32820000000004"/>
    <s v="COD"/>
    <x v="1"/>
    <x v="0"/>
    <x v="0"/>
  </r>
  <r>
    <x v="1"/>
    <s v="SALE647"/>
    <x v="6"/>
    <x v="100"/>
    <x v="8"/>
    <x v="6"/>
    <x v="3"/>
    <n v="3"/>
    <n v="79.95"/>
    <n v="0.2"/>
    <n v="191.88"/>
    <s v="COD"/>
    <x v="0"/>
    <x v="0"/>
    <x v="2"/>
  </r>
  <r>
    <x v="1"/>
    <s v="SALE1340"/>
    <x v="7"/>
    <x v="101"/>
    <x v="96"/>
    <x v="7"/>
    <x v="3"/>
    <n v="3"/>
    <n v="684.22"/>
    <n v="0.09"/>
    <n v="1867.9205999999999"/>
    <s v="Credit Card"/>
    <x v="0"/>
    <x v="0"/>
    <x v="0"/>
  </r>
  <r>
    <x v="1"/>
    <s v="SALE1819"/>
    <x v="8"/>
    <x v="102"/>
    <x v="97"/>
    <x v="8"/>
    <x v="2"/>
    <n v="1"/>
    <n v="486.39"/>
    <n v="0.09"/>
    <n v="442.61489999999998"/>
    <s v="COD"/>
    <x v="1"/>
    <x v="0"/>
    <x v="2"/>
  </r>
  <r>
    <x v="1"/>
    <s v="SALE979"/>
    <x v="8"/>
    <x v="103"/>
    <x v="45"/>
    <x v="8"/>
    <x v="2"/>
    <n v="3"/>
    <n v="614.63"/>
    <n v="0.06"/>
    <n v="1733.2565999999999"/>
    <s v="PayPal"/>
    <x v="0"/>
    <x v="0"/>
    <x v="1"/>
  </r>
  <r>
    <x v="1"/>
    <s v="SALE1417"/>
    <x v="63"/>
    <x v="104"/>
    <x v="98"/>
    <x v="63"/>
    <x v="4"/>
    <n v="2"/>
    <n v="54.51"/>
    <n v="7.0000000000000007E-2"/>
    <n v="101.3886"/>
    <s v="Credit Card"/>
    <x v="0"/>
    <x v="0"/>
    <x v="1"/>
  </r>
  <r>
    <x v="1"/>
    <s v="SALE1036"/>
    <x v="63"/>
    <x v="105"/>
    <x v="99"/>
    <x v="63"/>
    <x v="4"/>
    <n v="3"/>
    <n v="688.76"/>
    <n v="0.12"/>
    <n v="1818.3263999999999"/>
    <s v="PayPal"/>
    <x v="1"/>
    <x v="0"/>
    <x v="1"/>
  </r>
  <r>
    <x v="1"/>
    <s v="SALE257"/>
    <x v="64"/>
    <x v="106"/>
    <x v="100"/>
    <x v="64"/>
    <x v="3"/>
    <n v="2"/>
    <n v="679.86"/>
    <n v="0.22"/>
    <n v="1060.5816"/>
    <s v="COD"/>
    <x v="1"/>
    <x v="0"/>
    <x v="0"/>
  </r>
  <r>
    <x v="1"/>
    <s v="SALE1003"/>
    <x v="64"/>
    <x v="32"/>
    <x v="101"/>
    <x v="64"/>
    <x v="3"/>
    <n v="4"/>
    <n v="996.85"/>
    <n v="0.24"/>
    <n v="3030.424"/>
    <s v="PayPal"/>
    <x v="0"/>
    <x v="0"/>
    <x v="2"/>
  </r>
  <r>
    <x v="1"/>
    <s v="SALE545"/>
    <x v="11"/>
    <x v="107"/>
    <x v="102"/>
    <x v="11"/>
    <x v="0"/>
    <n v="4"/>
    <n v="90.32"/>
    <n v="0.08"/>
    <n v="332.37759999999997"/>
    <s v="PayPal"/>
    <x v="0"/>
    <x v="0"/>
    <x v="2"/>
  </r>
  <r>
    <x v="1"/>
    <s v="SALE481"/>
    <x v="13"/>
    <x v="35"/>
    <x v="31"/>
    <x v="13"/>
    <x v="3"/>
    <n v="3"/>
    <n v="205.34"/>
    <n v="0.25"/>
    <n v="462.01499999999999"/>
    <s v="Credit Card"/>
    <x v="0"/>
    <x v="0"/>
    <x v="1"/>
  </r>
  <r>
    <x v="1"/>
    <s v="SALE939"/>
    <x v="13"/>
    <x v="30"/>
    <x v="76"/>
    <x v="13"/>
    <x v="3"/>
    <n v="1"/>
    <n v="182.28"/>
    <n v="0.15"/>
    <n v="154.93799999999999"/>
    <s v="COD"/>
    <x v="0"/>
    <x v="0"/>
    <x v="1"/>
  </r>
  <r>
    <x v="1"/>
    <s v="SALE1902"/>
    <x v="14"/>
    <x v="108"/>
    <x v="103"/>
    <x v="14"/>
    <x v="4"/>
    <n v="2"/>
    <n v="594.63"/>
    <n v="0.12"/>
    <n v="1046.5488"/>
    <s v="Credit Card"/>
    <x v="0"/>
    <x v="0"/>
    <x v="3"/>
  </r>
  <r>
    <x v="1"/>
    <s v="SALE1323"/>
    <x v="65"/>
    <x v="104"/>
    <x v="104"/>
    <x v="65"/>
    <x v="2"/>
    <n v="4"/>
    <n v="629.04999999999995"/>
    <n v="0.26"/>
    <n v="1861.9880000000001"/>
    <s v="Credit Card"/>
    <x v="0"/>
    <x v="0"/>
    <x v="0"/>
  </r>
  <r>
    <x v="1"/>
    <s v="SALE1685"/>
    <x v="66"/>
    <x v="34"/>
    <x v="105"/>
    <x v="66"/>
    <x v="3"/>
    <n v="2"/>
    <n v="938.6"/>
    <n v="0.04"/>
    <n v="1802.1120000000001"/>
    <s v="PayPal"/>
    <x v="1"/>
    <x v="0"/>
    <x v="2"/>
  </r>
  <r>
    <x v="1"/>
    <s v="SALE163"/>
    <x v="67"/>
    <x v="109"/>
    <x v="27"/>
    <x v="67"/>
    <x v="1"/>
    <n v="1"/>
    <n v="488.31"/>
    <n v="0.03"/>
    <n v="473.66070000000002"/>
    <s v="PayPal"/>
    <x v="0"/>
    <x v="0"/>
    <x v="3"/>
  </r>
  <r>
    <x v="1"/>
    <s v="SALE1635"/>
    <x v="15"/>
    <x v="110"/>
    <x v="106"/>
    <x v="15"/>
    <x v="2"/>
    <n v="1"/>
    <n v="339.7"/>
    <n v="0.1"/>
    <n v="305.73"/>
    <s v="Credit Card"/>
    <x v="0"/>
    <x v="0"/>
    <x v="1"/>
  </r>
  <r>
    <x v="1"/>
    <s v="SALE1129"/>
    <x v="16"/>
    <x v="24"/>
    <x v="66"/>
    <x v="16"/>
    <x v="0"/>
    <n v="3"/>
    <n v="848.48"/>
    <n v="0"/>
    <n v="2545.44"/>
    <s v="COD"/>
    <x v="1"/>
    <x v="0"/>
    <x v="3"/>
  </r>
  <r>
    <x v="1"/>
    <s v="SALE946"/>
    <x v="17"/>
    <x v="111"/>
    <x v="107"/>
    <x v="17"/>
    <x v="2"/>
    <n v="2"/>
    <n v="157.18"/>
    <n v="0.15"/>
    <n v="267.20600000000002"/>
    <s v="Credit Card"/>
    <x v="1"/>
    <x v="0"/>
    <x v="3"/>
  </r>
  <r>
    <x v="1"/>
    <s v="SALE1133"/>
    <x v="19"/>
    <x v="112"/>
    <x v="108"/>
    <x v="19"/>
    <x v="4"/>
    <n v="1"/>
    <n v="438.41"/>
    <n v="0.09"/>
    <n v="398.95310000000012"/>
    <s v="Credit Card"/>
    <x v="0"/>
    <x v="0"/>
    <x v="2"/>
  </r>
  <r>
    <x v="1"/>
    <s v="SALE1753"/>
    <x v="21"/>
    <x v="113"/>
    <x v="109"/>
    <x v="21"/>
    <x v="0"/>
    <n v="4"/>
    <n v="352.72"/>
    <n v="0.25"/>
    <n v="1058.1600000000001"/>
    <s v="Credit Card"/>
    <x v="0"/>
    <x v="0"/>
    <x v="1"/>
  </r>
  <r>
    <x v="1"/>
    <s v="SALE11"/>
    <x v="21"/>
    <x v="15"/>
    <x v="110"/>
    <x v="21"/>
    <x v="0"/>
    <n v="4"/>
    <n v="286.92"/>
    <n v="0.17"/>
    <n v="952.57439999999997"/>
    <s v="Credit Card"/>
    <x v="1"/>
    <x v="0"/>
    <x v="2"/>
  </r>
  <r>
    <x v="1"/>
    <s v="SALE1065"/>
    <x v="22"/>
    <x v="73"/>
    <x v="1"/>
    <x v="22"/>
    <x v="0"/>
    <n v="2"/>
    <n v="994.29"/>
    <n v="0.01"/>
    <n v="1968.6941999999999"/>
    <s v="PayPal"/>
    <x v="1"/>
    <x v="0"/>
    <x v="0"/>
  </r>
  <r>
    <x v="1"/>
    <s v="SALE1433"/>
    <x v="22"/>
    <x v="114"/>
    <x v="111"/>
    <x v="22"/>
    <x v="0"/>
    <n v="3"/>
    <n v="765.21"/>
    <n v="0.14000000000000001"/>
    <n v="1974.2418"/>
    <s v="COD"/>
    <x v="1"/>
    <x v="0"/>
    <x v="3"/>
  </r>
  <r>
    <x v="1"/>
    <s v="SALE1595"/>
    <x v="68"/>
    <x v="115"/>
    <x v="112"/>
    <x v="68"/>
    <x v="0"/>
    <n v="1"/>
    <n v="135.87"/>
    <n v="0.23"/>
    <n v="104.6199"/>
    <s v="PayPal"/>
    <x v="0"/>
    <x v="0"/>
    <x v="1"/>
  </r>
  <r>
    <x v="1"/>
    <s v="SALE823"/>
    <x v="69"/>
    <x v="116"/>
    <x v="113"/>
    <x v="69"/>
    <x v="3"/>
    <n v="4"/>
    <n v="415.02"/>
    <n v="0.01"/>
    <n v="1643.4792"/>
    <s v="PayPal"/>
    <x v="0"/>
    <x v="0"/>
    <x v="0"/>
  </r>
  <r>
    <x v="1"/>
    <s v="SALE1179"/>
    <x v="24"/>
    <x v="117"/>
    <x v="114"/>
    <x v="24"/>
    <x v="3"/>
    <n v="3"/>
    <n v="876.01"/>
    <n v="0.2"/>
    <n v="2102.424"/>
    <s v="Credit Card"/>
    <x v="1"/>
    <x v="0"/>
    <x v="1"/>
  </r>
  <r>
    <x v="1"/>
    <s v="SALE1578"/>
    <x v="25"/>
    <x v="118"/>
    <x v="115"/>
    <x v="25"/>
    <x v="4"/>
    <n v="2"/>
    <n v="216.02"/>
    <n v="0.25"/>
    <n v="324.02999999999997"/>
    <s v="Credit Card"/>
    <x v="0"/>
    <x v="0"/>
    <x v="0"/>
  </r>
  <r>
    <x v="1"/>
    <s v="SALE1049"/>
    <x v="25"/>
    <x v="119"/>
    <x v="89"/>
    <x v="25"/>
    <x v="4"/>
    <n v="4"/>
    <n v="837.34"/>
    <n v="0.05"/>
    <n v="3181.8919999999998"/>
    <s v="PayPal"/>
    <x v="1"/>
    <x v="0"/>
    <x v="3"/>
  </r>
  <r>
    <x v="1"/>
    <s v="SALE1144"/>
    <x v="27"/>
    <x v="64"/>
    <x v="116"/>
    <x v="27"/>
    <x v="1"/>
    <n v="3"/>
    <n v="803.31"/>
    <n v="0.1"/>
    <n v="2168.9369999999999"/>
    <s v="PayPal"/>
    <x v="0"/>
    <x v="0"/>
    <x v="0"/>
  </r>
  <r>
    <x v="1"/>
    <s v="SALE1106"/>
    <x v="29"/>
    <x v="3"/>
    <x v="114"/>
    <x v="29"/>
    <x v="3"/>
    <n v="3"/>
    <n v="326.2"/>
    <n v="0.22"/>
    <n v="763.30799999999999"/>
    <s v="COD"/>
    <x v="1"/>
    <x v="0"/>
    <x v="1"/>
  </r>
  <r>
    <x v="1"/>
    <s v="SALE1811"/>
    <x v="70"/>
    <x v="120"/>
    <x v="117"/>
    <x v="70"/>
    <x v="4"/>
    <n v="3"/>
    <n v="841.47"/>
    <n v="0.15"/>
    <n v="2145.7485000000001"/>
    <s v="COD"/>
    <x v="1"/>
    <x v="0"/>
    <x v="1"/>
  </r>
  <r>
    <x v="1"/>
    <s v="SALE503"/>
    <x v="30"/>
    <x v="121"/>
    <x v="74"/>
    <x v="30"/>
    <x v="3"/>
    <n v="2"/>
    <n v="355.41"/>
    <n v="0.13"/>
    <n v="618.41340000000002"/>
    <s v="COD"/>
    <x v="1"/>
    <x v="0"/>
    <x v="2"/>
  </r>
  <r>
    <x v="1"/>
    <s v="SALE645"/>
    <x v="30"/>
    <x v="122"/>
    <x v="118"/>
    <x v="30"/>
    <x v="3"/>
    <n v="1"/>
    <n v="389.2"/>
    <n v="0.05"/>
    <n v="369.74"/>
    <s v="Credit Card"/>
    <x v="1"/>
    <x v="0"/>
    <x v="3"/>
  </r>
  <r>
    <x v="1"/>
    <s v="SALE644"/>
    <x v="31"/>
    <x v="123"/>
    <x v="93"/>
    <x v="31"/>
    <x v="2"/>
    <n v="1"/>
    <n v="172.04"/>
    <n v="0.04"/>
    <n v="165.1584"/>
    <s v="PayPal"/>
    <x v="1"/>
    <x v="0"/>
    <x v="2"/>
  </r>
  <r>
    <x v="1"/>
    <s v="SALE601"/>
    <x v="32"/>
    <x v="124"/>
    <x v="115"/>
    <x v="32"/>
    <x v="2"/>
    <n v="4"/>
    <n v="165.37"/>
    <n v="0.28999999999999998"/>
    <n v="469.6508"/>
    <s v="Credit Card"/>
    <x v="0"/>
    <x v="0"/>
    <x v="0"/>
  </r>
  <r>
    <x v="1"/>
    <s v="SALE1175"/>
    <x v="71"/>
    <x v="125"/>
    <x v="119"/>
    <x v="71"/>
    <x v="1"/>
    <n v="2"/>
    <n v="424.54"/>
    <n v="0.24"/>
    <n v="645.30080000000009"/>
    <s v="PayPal"/>
    <x v="1"/>
    <x v="0"/>
    <x v="1"/>
  </r>
  <r>
    <x v="1"/>
    <s v="SALE202"/>
    <x v="35"/>
    <x v="126"/>
    <x v="120"/>
    <x v="35"/>
    <x v="0"/>
    <n v="4"/>
    <n v="408.07"/>
    <n v="0.28000000000000003"/>
    <n v="1175.2416000000001"/>
    <s v="COD"/>
    <x v="0"/>
    <x v="0"/>
    <x v="2"/>
  </r>
  <r>
    <x v="1"/>
    <s v="SALE1549"/>
    <x v="35"/>
    <x v="127"/>
    <x v="121"/>
    <x v="35"/>
    <x v="0"/>
    <n v="3"/>
    <n v="103.66"/>
    <n v="0.26"/>
    <n v="230.12520000000001"/>
    <s v="COD"/>
    <x v="0"/>
    <x v="0"/>
    <x v="1"/>
  </r>
  <r>
    <x v="1"/>
    <s v="SALE1297"/>
    <x v="72"/>
    <x v="128"/>
    <x v="122"/>
    <x v="72"/>
    <x v="3"/>
    <n v="2"/>
    <n v="892.46"/>
    <n v="7.0000000000000007E-2"/>
    <n v="1659.9756"/>
    <s v="PayPal"/>
    <x v="0"/>
    <x v="0"/>
    <x v="1"/>
  </r>
  <r>
    <x v="1"/>
    <s v="SALE1936"/>
    <x v="38"/>
    <x v="129"/>
    <x v="123"/>
    <x v="38"/>
    <x v="1"/>
    <n v="1"/>
    <n v="338.83"/>
    <n v="0.19"/>
    <n v="274.45229999999998"/>
    <s v="PayPal"/>
    <x v="1"/>
    <x v="0"/>
    <x v="1"/>
  </r>
  <r>
    <x v="1"/>
    <s v="SALE1437"/>
    <x v="38"/>
    <x v="50"/>
    <x v="124"/>
    <x v="38"/>
    <x v="1"/>
    <n v="1"/>
    <n v="209.93"/>
    <n v="0.21"/>
    <n v="165.84469999999999"/>
    <s v="Credit Card"/>
    <x v="1"/>
    <x v="0"/>
    <x v="0"/>
  </r>
  <r>
    <x v="1"/>
    <s v="SALE1774"/>
    <x v="39"/>
    <x v="130"/>
    <x v="125"/>
    <x v="39"/>
    <x v="0"/>
    <n v="4"/>
    <n v="921.84"/>
    <n v="0.04"/>
    <n v="3539.8656000000001"/>
    <s v="Credit Card"/>
    <x v="0"/>
    <x v="0"/>
    <x v="1"/>
  </r>
  <r>
    <x v="1"/>
    <s v="SALE651"/>
    <x v="73"/>
    <x v="131"/>
    <x v="126"/>
    <x v="73"/>
    <x v="1"/>
    <n v="1"/>
    <n v="888.05"/>
    <n v="0.2"/>
    <n v="710.44"/>
    <s v="PayPal"/>
    <x v="0"/>
    <x v="0"/>
    <x v="1"/>
  </r>
  <r>
    <x v="1"/>
    <s v="SALE725"/>
    <x v="73"/>
    <x v="132"/>
    <x v="127"/>
    <x v="73"/>
    <x v="1"/>
    <n v="1"/>
    <n v="506.55"/>
    <n v="0.28000000000000003"/>
    <n v="364.71600000000001"/>
    <s v="Credit Card"/>
    <x v="0"/>
    <x v="0"/>
    <x v="1"/>
  </r>
  <r>
    <x v="1"/>
    <s v="SALE71"/>
    <x v="42"/>
    <x v="121"/>
    <x v="114"/>
    <x v="42"/>
    <x v="3"/>
    <n v="2"/>
    <n v="668.3"/>
    <n v="7.0000000000000007E-2"/>
    <n v="1243.038"/>
    <s v="Credit Card"/>
    <x v="1"/>
    <x v="0"/>
    <x v="1"/>
  </r>
  <r>
    <x v="1"/>
    <s v="SALE218"/>
    <x v="42"/>
    <x v="133"/>
    <x v="128"/>
    <x v="42"/>
    <x v="3"/>
    <n v="4"/>
    <n v="640.97"/>
    <n v="0.11"/>
    <n v="2281.8532"/>
    <s v="COD"/>
    <x v="0"/>
    <x v="0"/>
    <x v="2"/>
  </r>
  <r>
    <x v="1"/>
    <s v="SALE1950"/>
    <x v="43"/>
    <x v="46"/>
    <x v="129"/>
    <x v="43"/>
    <x v="3"/>
    <n v="1"/>
    <n v="721.74"/>
    <n v="0.24"/>
    <n v="548.52240000000006"/>
    <s v="PayPal"/>
    <x v="1"/>
    <x v="0"/>
    <x v="3"/>
  </r>
  <r>
    <x v="1"/>
    <s v="SALE1253"/>
    <x v="44"/>
    <x v="134"/>
    <x v="116"/>
    <x v="44"/>
    <x v="0"/>
    <n v="1"/>
    <n v="842.46"/>
    <n v="0.05"/>
    <n v="800.33699999999999"/>
    <s v="COD"/>
    <x v="0"/>
    <x v="0"/>
    <x v="0"/>
  </r>
  <r>
    <x v="1"/>
    <s v="SALE308"/>
    <x v="44"/>
    <x v="135"/>
    <x v="130"/>
    <x v="44"/>
    <x v="0"/>
    <n v="4"/>
    <n v="396.53"/>
    <n v="7.0000000000000007E-2"/>
    <n v="1475.0916"/>
    <s v="PayPal"/>
    <x v="0"/>
    <x v="0"/>
    <x v="2"/>
  </r>
  <r>
    <x v="1"/>
    <s v="SALE585"/>
    <x v="74"/>
    <x v="136"/>
    <x v="131"/>
    <x v="74"/>
    <x v="0"/>
    <n v="2"/>
    <n v="829.15"/>
    <n v="0.11"/>
    <n v="1475.8869999999999"/>
    <s v="PayPal"/>
    <x v="1"/>
    <x v="0"/>
    <x v="2"/>
  </r>
  <r>
    <x v="1"/>
    <s v="SALE761"/>
    <x v="75"/>
    <x v="137"/>
    <x v="19"/>
    <x v="75"/>
    <x v="2"/>
    <n v="3"/>
    <n v="468.25"/>
    <n v="7.0000000000000007E-2"/>
    <n v="1306.4175"/>
    <s v="PayPal"/>
    <x v="1"/>
    <x v="0"/>
    <x v="1"/>
  </r>
  <r>
    <x v="1"/>
    <s v="SALE379"/>
    <x v="75"/>
    <x v="138"/>
    <x v="81"/>
    <x v="75"/>
    <x v="2"/>
    <n v="3"/>
    <n v="636.03"/>
    <n v="0.06"/>
    <n v="1793.6045999999999"/>
    <s v="COD"/>
    <x v="1"/>
    <x v="0"/>
    <x v="1"/>
  </r>
  <r>
    <x v="1"/>
    <s v="SALE34"/>
    <x v="76"/>
    <x v="139"/>
    <x v="132"/>
    <x v="76"/>
    <x v="2"/>
    <n v="2.4605071932557498"/>
    <n v="873.22"/>
    <n v="0.18"/>
    <n v="2148.1212"/>
    <s v="Credit Card"/>
    <x v="0"/>
    <x v="0"/>
    <x v="3"/>
  </r>
  <r>
    <x v="1"/>
    <s v="SALE1101"/>
    <x v="77"/>
    <x v="140"/>
    <x v="133"/>
    <x v="77"/>
    <x v="0"/>
    <n v="3"/>
    <n v="324.29000000000002"/>
    <n v="0.16"/>
    <n v="817.21080000000006"/>
    <s v="COD"/>
    <x v="1"/>
    <x v="0"/>
    <x v="3"/>
  </r>
  <r>
    <x v="1"/>
    <s v="SALE791"/>
    <x v="77"/>
    <x v="141"/>
    <x v="134"/>
    <x v="77"/>
    <x v="0"/>
    <n v="2"/>
    <n v="443.09"/>
    <n v="0.02"/>
    <n v="868.45639999999992"/>
    <s v="PayPal"/>
    <x v="0"/>
    <x v="0"/>
    <x v="3"/>
  </r>
  <r>
    <x v="1"/>
    <s v="SALE696"/>
    <x v="77"/>
    <x v="142"/>
    <x v="29"/>
    <x v="77"/>
    <x v="0"/>
    <n v="4"/>
    <n v="167.83"/>
    <n v="0.15"/>
    <n v="570.62200000000007"/>
    <s v="Credit Card"/>
    <x v="1"/>
    <x v="0"/>
    <x v="1"/>
  </r>
  <r>
    <x v="1"/>
    <s v="SALE1163"/>
    <x v="46"/>
    <x v="108"/>
    <x v="135"/>
    <x v="46"/>
    <x v="3"/>
    <n v="1"/>
    <n v="791.83"/>
    <n v="0.28000000000000003"/>
    <n v="570.11760000000004"/>
    <s v="PayPal"/>
    <x v="1"/>
    <x v="0"/>
    <x v="0"/>
  </r>
  <r>
    <x v="1"/>
    <s v="SALE928"/>
    <x v="46"/>
    <x v="143"/>
    <x v="136"/>
    <x v="46"/>
    <x v="3"/>
    <n v="3"/>
    <n v="138.86000000000001"/>
    <n v="0.11"/>
    <n v="370.75619999999998"/>
    <s v="PayPal"/>
    <x v="0"/>
    <x v="0"/>
    <x v="0"/>
  </r>
  <r>
    <x v="1"/>
    <s v="SALE1849"/>
    <x v="47"/>
    <x v="144"/>
    <x v="137"/>
    <x v="47"/>
    <x v="3"/>
    <n v="4"/>
    <n v="740.5"/>
    <n v="0.17"/>
    <n v="2458.46"/>
    <s v="PayPal"/>
    <x v="1"/>
    <x v="0"/>
    <x v="1"/>
  </r>
  <r>
    <x v="1"/>
    <s v="SALE1142"/>
    <x v="48"/>
    <x v="145"/>
    <x v="138"/>
    <x v="48"/>
    <x v="1"/>
    <n v="3"/>
    <n v="460.93"/>
    <n v="0.19"/>
    <n v="1120.0599"/>
    <s v="COD"/>
    <x v="1"/>
    <x v="0"/>
    <x v="2"/>
  </r>
  <r>
    <x v="1"/>
    <s v="SALE1088"/>
    <x v="78"/>
    <x v="146"/>
    <x v="104"/>
    <x v="78"/>
    <x v="2"/>
    <n v="3"/>
    <n v="204.77"/>
    <n v="0.14000000000000001"/>
    <n v="528.3066"/>
    <s v="Credit Card"/>
    <x v="0"/>
    <x v="0"/>
    <x v="0"/>
  </r>
  <r>
    <x v="1"/>
    <s v="SALE1099"/>
    <x v="49"/>
    <x v="147"/>
    <x v="139"/>
    <x v="49"/>
    <x v="4"/>
    <n v="1"/>
    <n v="784.46"/>
    <n v="0.14000000000000001"/>
    <n v="674.63560000000007"/>
    <s v="COD"/>
    <x v="0"/>
    <x v="0"/>
    <x v="2"/>
  </r>
  <r>
    <x v="1"/>
    <s v="SALE1667"/>
    <x v="50"/>
    <x v="48"/>
    <x v="140"/>
    <x v="50"/>
    <x v="2"/>
    <n v="1"/>
    <n v="119.04"/>
    <n v="0.13"/>
    <n v="103.56480000000001"/>
    <s v="COD"/>
    <x v="1"/>
    <x v="0"/>
    <x v="0"/>
  </r>
  <r>
    <x v="1"/>
    <s v="SALE462"/>
    <x v="51"/>
    <x v="148"/>
    <x v="141"/>
    <x v="51"/>
    <x v="2"/>
    <n v="2"/>
    <n v="291.83999999999997"/>
    <n v="0.25"/>
    <n v="437.76"/>
    <s v="PayPal"/>
    <x v="0"/>
    <x v="0"/>
    <x v="0"/>
  </r>
  <r>
    <x v="1"/>
    <s v="SALE1260"/>
    <x v="51"/>
    <x v="102"/>
    <x v="50"/>
    <x v="51"/>
    <x v="2"/>
    <n v="4"/>
    <n v="800"/>
    <n v="0.2"/>
    <n v="2560"/>
    <s v="Credit Card"/>
    <x v="0"/>
    <x v="0"/>
    <x v="2"/>
  </r>
  <r>
    <x v="1"/>
    <s v="SALE1546"/>
    <x v="52"/>
    <x v="149"/>
    <x v="142"/>
    <x v="52"/>
    <x v="3"/>
    <n v="1"/>
    <n v="149.56"/>
    <n v="0.09"/>
    <n v="136.09960000000001"/>
    <s v="Credit Card"/>
    <x v="1"/>
    <x v="0"/>
    <x v="1"/>
  </r>
  <r>
    <x v="1"/>
    <s v="SALE360"/>
    <x v="52"/>
    <x v="150"/>
    <x v="120"/>
    <x v="52"/>
    <x v="3"/>
    <n v="4"/>
    <n v="677.25"/>
    <n v="0.14000000000000001"/>
    <n v="2329.7399999999998"/>
    <s v="PayPal"/>
    <x v="0"/>
    <x v="0"/>
    <x v="2"/>
  </r>
  <r>
    <x v="1"/>
    <s v="SALE1397"/>
    <x v="52"/>
    <x v="151"/>
    <x v="143"/>
    <x v="52"/>
    <x v="3"/>
    <n v="3"/>
    <n v="642.94000000000005"/>
    <n v="0.05"/>
    <n v="1832.3789999999999"/>
    <s v="COD"/>
    <x v="0"/>
    <x v="0"/>
    <x v="0"/>
  </r>
  <r>
    <x v="1"/>
    <s v="SALE1462"/>
    <x v="53"/>
    <x v="138"/>
    <x v="47"/>
    <x v="53"/>
    <x v="1"/>
    <n v="1"/>
    <n v="122.27"/>
    <n v="0.26"/>
    <n v="90.479799999999997"/>
    <s v="PayPal"/>
    <x v="0"/>
    <x v="0"/>
    <x v="1"/>
  </r>
  <r>
    <x v="1"/>
    <s v="SALE298"/>
    <x v="54"/>
    <x v="152"/>
    <x v="95"/>
    <x v="54"/>
    <x v="0"/>
    <n v="4"/>
    <n v="61.98"/>
    <n v="0.16"/>
    <n v="208.25280000000001"/>
    <s v="Credit Card"/>
    <x v="1"/>
    <x v="0"/>
    <x v="0"/>
  </r>
  <r>
    <x v="1"/>
    <s v="SALE642"/>
    <x v="54"/>
    <x v="153"/>
    <x v="144"/>
    <x v="54"/>
    <x v="0"/>
    <n v="3"/>
    <n v="853.32"/>
    <n v="7.0000000000000007E-2"/>
    <n v="2380.7628"/>
    <s v="COD"/>
    <x v="1"/>
    <x v="0"/>
    <x v="3"/>
  </r>
  <r>
    <x v="1"/>
    <s v="SALE1422"/>
    <x v="54"/>
    <x v="154"/>
    <x v="145"/>
    <x v="54"/>
    <x v="0"/>
    <n v="2"/>
    <n v="410"/>
    <n v="0.13"/>
    <n v="713.4"/>
    <s v="COD"/>
    <x v="1"/>
    <x v="0"/>
    <x v="1"/>
  </r>
  <r>
    <x v="1"/>
    <s v="SALE307"/>
    <x v="54"/>
    <x v="155"/>
    <x v="64"/>
    <x v="54"/>
    <x v="0"/>
    <n v="3"/>
    <n v="135.94"/>
    <n v="0.2"/>
    <n v="326.25599999999997"/>
    <s v="Credit Card"/>
    <x v="0"/>
    <x v="0"/>
    <x v="3"/>
  </r>
  <r>
    <x v="1"/>
    <s v="SALE881"/>
    <x v="56"/>
    <x v="156"/>
    <x v="146"/>
    <x v="56"/>
    <x v="2"/>
    <n v="3"/>
    <n v="476.37"/>
    <n v="0.21"/>
    <n v="1128.9969000000001"/>
    <s v="COD"/>
    <x v="0"/>
    <x v="0"/>
    <x v="2"/>
  </r>
  <r>
    <x v="1"/>
    <s v="SALE175"/>
    <x v="56"/>
    <x v="140"/>
    <x v="147"/>
    <x v="56"/>
    <x v="2"/>
    <n v="2"/>
    <n v="707.65"/>
    <n v="0.14000000000000001"/>
    <n v="1217.1579999999999"/>
    <s v="Credit Card"/>
    <x v="1"/>
    <x v="0"/>
    <x v="3"/>
  </r>
  <r>
    <x v="1"/>
    <s v="SALE968"/>
    <x v="56"/>
    <x v="157"/>
    <x v="148"/>
    <x v="56"/>
    <x v="2"/>
    <n v="2"/>
    <n v="954.1"/>
    <n v="0.17"/>
    <n v="1583.806"/>
    <s v="PayPal"/>
    <x v="1"/>
    <x v="0"/>
    <x v="0"/>
  </r>
  <r>
    <x v="1"/>
    <s v="SALE747"/>
    <x v="57"/>
    <x v="27"/>
    <x v="149"/>
    <x v="57"/>
    <x v="1"/>
    <n v="1"/>
    <n v="126.09"/>
    <n v="0.05"/>
    <n v="119.7855"/>
    <s v="COD"/>
    <x v="0"/>
    <x v="0"/>
    <x v="1"/>
  </r>
  <r>
    <x v="1"/>
    <s v="SALE505"/>
    <x v="58"/>
    <x v="158"/>
    <x v="150"/>
    <x v="58"/>
    <x v="3"/>
    <n v="1"/>
    <n v="301.60000000000002"/>
    <n v="0.27"/>
    <n v="220.16800000000001"/>
    <s v="Credit Card"/>
    <x v="0"/>
    <x v="0"/>
    <x v="2"/>
  </r>
  <r>
    <x v="1"/>
    <s v="SALE1326"/>
    <x v="58"/>
    <x v="159"/>
    <x v="151"/>
    <x v="58"/>
    <x v="3"/>
    <n v="1"/>
    <n v="128.93"/>
    <n v="0.26"/>
    <n v="95.408200000000008"/>
    <s v="Credit Card"/>
    <x v="1"/>
    <x v="0"/>
    <x v="1"/>
  </r>
  <r>
    <x v="1"/>
    <s v="SALE1343"/>
    <x v="79"/>
    <x v="102"/>
    <x v="90"/>
    <x v="79"/>
    <x v="3"/>
    <n v="3"/>
    <n v="760.38"/>
    <n v="0"/>
    <n v="2281.14"/>
    <s v="COD"/>
    <x v="1"/>
    <x v="0"/>
    <x v="3"/>
  </r>
  <r>
    <x v="1"/>
    <s v="SALE1172"/>
    <x v="80"/>
    <x v="160"/>
    <x v="119"/>
    <x v="80"/>
    <x v="2"/>
    <n v="2"/>
    <n v="698.34"/>
    <n v="0.15"/>
    <n v="1187.1780000000001"/>
    <s v="PayPal"/>
    <x v="1"/>
    <x v="0"/>
    <x v="1"/>
  </r>
  <r>
    <x v="2"/>
    <s v="SALE87"/>
    <x v="81"/>
    <x v="76"/>
    <x v="152"/>
    <x v="81"/>
    <x v="4"/>
    <n v="3"/>
    <n v="964.39"/>
    <n v="0.04"/>
    <n v="2777.4432000000002"/>
    <s v="Credit Card"/>
    <x v="1"/>
    <x v="0"/>
    <x v="2"/>
  </r>
  <r>
    <x v="2"/>
    <s v="SALE1968"/>
    <x v="1"/>
    <x v="161"/>
    <x v="41"/>
    <x v="1"/>
    <x v="1"/>
    <n v="3"/>
    <n v="195.31"/>
    <n v="0.13"/>
    <n v="509.75909999999999"/>
    <s v="COD"/>
    <x v="1"/>
    <x v="0"/>
    <x v="3"/>
  </r>
  <r>
    <x v="2"/>
    <s v="SALE1461"/>
    <x v="61"/>
    <x v="162"/>
    <x v="153"/>
    <x v="61"/>
    <x v="0"/>
    <n v="1"/>
    <n v="120.57"/>
    <n v="0.06"/>
    <n v="113.33580000000001"/>
    <s v="PayPal"/>
    <x v="1"/>
    <x v="0"/>
    <x v="3"/>
  </r>
  <r>
    <x v="2"/>
    <s v="SALE1428"/>
    <x v="2"/>
    <x v="24"/>
    <x v="154"/>
    <x v="2"/>
    <x v="2"/>
    <n v="3"/>
    <n v="696.74"/>
    <n v="0.13"/>
    <n v="1818.4914000000001"/>
    <s v="COD"/>
    <x v="0"/>
    <x v="0"/>
    <x v="0"/>
  </r>
  <r>
    <x v="2"/>
    <s v="SALE402"/>
    <x v="2"/>
    <x v="163"/>
    <x v="138"/>
    <x v="2"/>
    <x v="2"/>
    <n v="1"/>
    <n v="753.39"/>
    <n v="0.04"/>
    <n v="723.25439999999992"/>
    <s v="COD"/>
    <x v="1"/>
    <x v="0"/>
    <x v="2"/>
  </r>
  <r>
    <x v="2"/>
    <s v="SALE1565"/>
    <x v="2"/>
    <x v="164"/>
    <x v="155"/>
    <x v="2"/>
    <x v="2"/>
    <n v="2"/>
    <n v="675.65"/>
    <n v="0.2"/>
    <n v="1081.04"/>
    <s v="COD"/>
    <x v="0"/>
    <x v="0"/>
    <x v="2"/>
  </r>
  <r>
    <x v="2"/>
    <s v="SALE887"/>
    <x v="3"/>
    <x v="165"/>
    <x v="156"/>
    <x v="3"/>
    <x v="1"/>
    <n v="2"/>
    <n v="693.61"/>
    <n v="0.15"/>
    <n v="1179.1369999999999"/>
    <s v="PayPal"/>
    <x v="1"/>
    <x v="0"/>
    <x v="2"/>
  </r>
  <r>
    <x v="2"/>
    <s v="SALE256"/>
    <x v="4"/>
    <x v="16"/>
    <x v="112"/>
    <x v="4"/>
    <x v="3"/>
    <n v="2"/>
    <n v="71.77"/>
    <n v="0.22"/>
    <n v="111.96120000000001"/>
    <s v="Credit Card"/>
    <x v="0"/>
    <x v="0"/>
    <x v="1"/>
  </r>
  <r>
    <x v="2"/>
    <s v="SALE976"/>
    <x v="6"/>
    <x v="166"/>
    <x v="157"/>
    <x v="6"/>
    <x v="3"/>
    <n v="2"/>
    <n v="466.42"/>
    <n v="0.12"/>
    <n v="820.89920000000006"/>
    <s v="PayPal"/>
    <x v="1"/>
    <x v="0"/>
    <x v="3"/>
  </r>
  <r>
    <x v="2"/>
    <s v="SALE1855"/>
    <x v="6"/>
    <x v="167"/>
    <x v="158"/>
    <x v="6"/>
    <x v="3"/>
    <n v="3"/>
    <n v="569.98"/>
    <n v="0.05"/>
    <n v="1624.443"/>
    <s v="Credit Card"/>
    <x v="0"/>
    <x v="0"/>
    <x v="0"/>
  </r>
  <r>
    <x v="2"/>
    <s v="SALE810"/>
    <x v="82"/>
    <x v="133"/>
    <x v="100"/>
    <x v="82"/>
    <x v="4"/>
    <n v="4"/>
    <n v="863.87"/>
    <n v="0.21"/>
    <n v="2729.8292000000001"/>
    <s v="COD"/>
    <x v="1"/>
    <x v="0"/>
    <x v="0"/>
  </r>
  <r>
    <x v="2"/>
    <s v="SALE1644"/>
    <x v="82"/>
    <x v="168"/>
    <x v="37"/>
    <x v="82"/>
    <x v="4"/>
    <n v="1"/>
    <n v="948.33"/>
    <n v="0.11"/>
    <n v="844.01370000000009"/>
    <s v="Credit Card"/>
    <x v="1"/>
    <x v="0"/>
    <x v="1"/>
  </r>
  <r>
    <x v="2"/>
    <s v="SALE483"/>
    <x v="8"/>
    <x v="14"/>
    <x v="159"/>
    <x v="8"/>
    <x v="2"/>
    <n v="1"/>
    <n v="771.73"/>
    <n v="0.2"/>
    <n v="617.38400000000001"/>
    <s v="Credit Card"/>
    <x v="0"/>
    <x v="0"/>
    <x v="2"/>
  </r>
  <r>
    <x v="2"/>
    <s v="SALE1503"/>
    <x v="8"/>
    <x v="169"/>
    <x v="160"/>
    <x v="8"/>
    <x v="2"/>
    <n v="1"/>
    <n v="251.99"/>
    <n v="0.09"/>
    <n v="229.3109"/>
    <s v="Credit Card"/>
    <x v="1"/>
    <x v="0"/>
    <x v="0"/>
  </r>
  <r>
    <x v="2"/>
    <s v="SALE1104"/>
    <x v="8"/>
    <x v="170"/>
    <x v="161"/>
    <x v="8"/>
    <x v="2"/>
    <n v="2"/>
    <n v="218.07"/>
    <n v="0.19"/>
    <n v="353.27339999999998"/>
    <s v="PayPal"/>
    <x v="1"/>
    <x v="0"/>
    <x v="2"/>
  </r>
  <r>
    <x v="2"/>
    <s v="SALE121"/>
    <x v="9"/>
    <x v="171"/>
    <x v="162"/>
    <x v="9"/>
    <x v="3"/>
    <n v="3"/>
    <n v="432.4"/>
    <n v="0.04"/>
    <n v="1245.3119999999999"/>
    <s v="Credit Card"/>
    <x v="0"/>
    <x v="0"/>
    <x v="3"/>
  </r>
  <r>
    <x v="2"/>
    <s v="SALE1847"/>
    <x v="9"/>
    <x v="172"/>
    <x v="163"/>
    <x v="9"/>
    <x v="3"/>
    <n v="2"/>
    <n v="523.14"/>
    <n v="0.13"/>
    <n v="910.2636"/>
    <s v="PayPal"/>
    <x v="0"/>
    <x v="0"/>
    <x v="1"/>
  </r>
  <r>
    <x v="2"/>
    <s v="SALE1971"/>
    <x v="64"/>
    <x v="173"/>
    <x v="164"/>
    <x v="64"/>
    <x v="3"/>
    <n v="1"/>
    <n v="412.2"/>
    <n v="0.11"/>
    <n v="366.858"/>
    <s v="Credit Card"/>
    <x v="0"/>
    <x v="0"/>
    <x v="3"/>
  </r>
  <r>
    <x v="2"/>
    <s v="SALE695"/>
    <x v="11"/>
    <x v="174"/>
    <x v="5"/>
    <x v="11"/>
    <x v="0"/>
    <n v="4"/>
    <n v="413.48"/>
    <n v="0.02"/>
    <n v="1620.8416"/>
    <s v="PayPal"/>
    <x v="1"/>
    <x v="0"/>
    <x v="2"/>
  </r>
  <r>
    <x v="2"/>
    <s v="SALE113"/>
    <x v="12"/>
    <x v="175"/>
    <x v="118"/>
    <x v="12"/>
    <x v="2"/>
    <n v="1"/>
    <n v="281.97000000000003"/>
    <n v="0.2"/>
    <n v="225.57599999999999"/>
    <s v="PayPal"/>
    <x v="1"/>
    <x v="0"/>
    <x v="3"/>
  </r>
  <r>
    <x v="2"/>
    <s v="SALE510"/>
    <x v="13"/>
    <x v="176"/>
    <x v="114"/>
    <x v="13"/>
    <x v="3"/>
    <n v="3"/>
    <n v="125.68"/>
    <n v="0.26"/>
    <n v="279.00959999999998"/>
    <s v="COD"/>
    <x v="1"/>
    <x v="0"/>
    <x v="1"/>
  </r>
  <r>
    <x v="2"/>
    <s v="SALE1127"/>
    <x v="65"/>
    <x v="163"/>
    <x v="165"/>
    <x v="65"/>
    <x v="2"/>
    <n v="2"/>
    <n v="47.86"/>
    <n v="0.03"/>
    <n v="92.848399999999998"/>
    <s v="PayPal"/>
    <x v="0"/>
    <x v="0"/>
    <x v="3"/>
  </r>
  <r>
    <x v="2"/>
    <s v="SALE1579"/>
    <x v="66"/>
    <x v="177"/>
    <x v="32"/>
    <x v="66"/>
    <x v="3"/>
    <n v="2"/>
    <n v="613.47"/>
    <n v="0.02"/>
    <n v="1202.4012"/>
    <s v="PayPal"/>
    <x v="1"/>
    <x v="0"/>
    <x v="2"/>
  </r>
  <r>
    <x v="2"/>
    <s v="SALE886"/>
    <x v="66"/>
    <x v="178"/>
    <x v="166"/>
    <x v="66"/>
    <x v="3"/>
    <n v="3"/>
    <n v="465.4"/>
    <n v="0.28999999999999998"/>
    <n v="991.30199999999979"/>
    <s v="COD"/>
    <x v="1"/>
    <x v="0"/>
    <x v="2"/>
  </r>
  <r>
    <x v="2"/>
    <s v="SALE455"/>
    <x v="66"/>
    <x v="179"/>
    <x v="167"/>
    <x v="66"/>
    <x v="3"/>
    <n v="2"/>
    <n v="780.05"/>
    <n v="0.12"/>
    <n v="1372.8879999999999"/>
    <s v="COD"/>
    <x v="0"/>
    <x v="0"/>
    <x v="2"/>
  </r>
  <r>
    <x v="2"/>
    <s v="SALE60"/>
    <x v="66"/>
    <x v="81"/>
    <x v="168"/>
    <x v="66"/>
    <x v="3"/>
    <n v="1"/>
    <n v="198.83"/>
    <n v="0.09"/>
    <n v="180.93530000000001"/>
    <s v="COD"/>
    <x v="0"/>
    <x v="0"/>
    <x v="3"/>
  </r>
  <r>
    <x v="2"/>
    <s v="SALE864"/>
    <x v="15"/>
    <x v="180"/>
    <x v="169"/>
    <x v="15"/>
    <x v="2"/>
    <n v="2"/>
    <n v="379.78"/>
    <n v="0.2"/>
    <n v="607.64800000000002"/>
    <s v="Credit Card"/>
    <x v="0"/>
    <x v="0"/>
    <x v="0"/>
  </r>
  <r>
    <x v="2"/>
    <s v="SALE1217"/>
    <x v="19"/>
    <x v="181"/>
    <x v="170"/>
    <x v="19"/>
    <x v="4"/>
    <n v="3"/>
    <n v="145.25"/>
    <n v="0.24"/>
    <n v="331.17"/>
    <s v="PayPal"/>
    <x v="1"/>
    <x v="0"/>
    <x v="0"/>
  </r>
  <r>
    <x v="2"/>
    <s v="SALE54"/>
    <x v="22"/>
    <x v="16"/>
    <x v="142"/>
    <x v="22"/>
    <x v="0"/>
    <n v="4"/>
    <n v="428.09"/>
    <n v="7.0000000000000007E-2"/>
    <n v="1592.4947999999999"/>
    <s v="Credit Card"/>
    <x v="1"/>
    <x v="0"/>
    <x v="1"/>
  </r>
  <r>
    <x v="2"/>
    <s v="SALE1421"/>
    <x v="24"/>
    <x v="66"/>
    <x v="151"/>
    <x v="24"/>
    <x v="3"/>
    <n v="4"/>
    <n v="557.51"/>
    <n v="0.11"/>
    <n v="1984.7356"/>
    <s v="Credit Card"/>
    <x v="1"/>
    <x v="0"/>
    <x v="1"/>
  </r>
  <r>
    <x v="2"/>
    <s v="SALE1581"/>
    <x v="25"/>
    <x v="182"/>
    <x v="171"/>
    <x v="25"/>
    <x v="4"/>
    <n v="1"/>
    <n v="209.7"/>
    <n v="0.2"/>
    <n v="167.76"/>
    <s v="PayPal"/>
    <x v="1"/>
    <x v="0"/>
    <x v="2"/>
  </r>
  <r>
    <x v="2"/>
    <s v="SALE840"/>
    <x v="83"/>
    <x v="17"/>
    <x v="120"/>
    <x v="83"/>
    <x v="0"/>
    <n v="4"/>
    <n v="751.63"/>
    <n v="0.28000000000000003"/>
    <n v="2164.6943999999999"/>
    <s v="COD"/>
    <x v="0"/>
    <x v="0"/>
    <x v="2"/>
  </r>
  <r>
    <x v="2"/>
    <s v="SALE194"/>
    <x v="27"/>
    <x v="183"/>
    <x v="172"/>
    <x v="27"/>
    <x v="1"/>
    <n v="3"/>
    <n v="958.15"/>
    <n v="0.24"/>
    <n v="2184.5819999999999"/>
    <s v="COD"/>
    <x v="1"/>
    <x v="0"/>
    <x v="1"/>
  </r>
  <r>
    <x v="2"/>
    <s v="SALE1637"/>
    <x v="28"/>
    <x v="49"/>
    <x v="173"/>
    <x v="28"/>
    <x v="4"/>
    <n v="2"/>
    <n v="824.91"/>
    <n v="0.09"/>
    <n v="1501.3362"/>
    <s v="Credit Card"/>
    <x v="1"/>
    <x v="0"/>
    <x v="1"/>
  </r>
  <r>
    <x v="2"/>
    <s v="SALE804"/>
    <x v="28"/>
    <x v="184"/>
    <x v="174"/>
    <x v="28"/>
    <x v="4"/>
    <n v="2"/>
    <n v="516.02"/>
    <n v="0.19"/>
    <n v="835.95240000000001"/>
    <s v="COD"/>
    <x v="0"/>
    <x v="0"/>
    <x v="1"/>
  </r>
  <r>
    <x v="2"/>
    <s v="SALE96"/>
    <x v="29"/>
    <x v="185"/>
    <x v="175"/>
    <x v="29"/>
    <x v="3"/>
    <n v="1"/>
    <n v="842.9"/>
    <n v="0.06"/>
    <n v="792.32599999999991"/>
    <s v="COD"/>
    <x v="0"/>
    <x v="0"/>
    <x v="2"/>
  </r>
  <r>
    <x v="2"/>
    <s v="SALE961"/>
    <x v="84"/>
    <x v="143"/>
    <x v="161"/>
    <x v="84"/>
    <x v="0"/>
    <n v="3"/>
    <n v="918.26"/>
    <n v="0.17"/>
    <n v="2286.4674"/>
    <s v="COD"/>
    <x v="1"/>
    <x v="0"/>
    <x v="2"/>
  </r>
  <r>
    <x v="2"/>
    <s v="SALE1100"/>
    <x v="85"/>
    <x v="186"/>
    <x v="160"/>
    <x v="85"/>
    <x v="3"/>
    <n v="3"/>
    <n v="70.88"/>
    <n v="0.27"/>
    <n v="155.22720000000001"/>
    <s v="COD"/>
    <x v="1"/>
    <x v="0"/>
    <x v="0"/>
  </r>
  <r>
    <x v="2"/>
    <s v="SALE905"/>
    <x v="85"/>
    <x v="187"/>
    <x v="176"/>
    <x v="85"/>
    <x v="3"/>
    <n v="2"/>
    <n v="295.12"/>
    <n v="0.09"/>
    <n v="537.11840000000007"/>
    <s v="COD"/>
    <x v="0"/>
    <x v="0"/>
    <x v="3"/>
  </r>
  <r>
    <x v="2"/>
    <s v="SALE64"/>
    <x v="70"/>
    <x v="188"/>
    <x v="164"/>
    <x v="70"/>
    <x v="4"/>
    <n v="3"/>
    <n v="480.06"/>
    <n v="0.01"/>
    <n v="1440.17"/>
    <s v="Credit Card"/>
    <x v="0"/>
    <x v="0"/>
    <x v="3"/>
  </r>
  <r>
    <x v="2"/>
    <s v="SALE1650"/>
    <x v="70"/>
    <x v="189"/>
    <x v="177"/>
    <x v="70"/>
    <x v="4"/>
    <n v="1"/>
    <n v="899.09"/>
    <n v="0.2"/>
    <n v="719.27200000000005"/>
    <s v="PayPal"/>
    <x v="0"/>
    <x v="0"/>
    <x v="3"/>
  </r>
  <r>
    <x v="2"/>
    <s v="SALE316"/>
    <x v="30"/>
    <x v="190"/>
    <x v="178"/>
    <x v="30"/>
    <x v="3"/>
    <n v="3"/>
    <n v="977.55"/>
    <n v="0.02"/>
    <n v="2873.9969999999989"/>
    <s v="PayPal"/>
    <x v="1"/>
    <x v="0"/>
    <x v="0"/>
  </r>
  <r>
    <x v="2"/>
    <s v="SALE813"/>
    <x v="30"/>
    <x v="191"/>
    <x v="179"/>
    <x v="30"/>
    <x v="3"/>
    <n v="4"/>
    <n v="250.64"/>
    <n v="0.1"/>
    <n v="902.30399999999997"/>
    <s v="PayPal"/>
    <x v="1"/>
    <x v="0"/>
    <x v="0"/>
  </r>
  <r>
    <x v="2"/>
    <s v="SALE1398"/>
    <x v="86"/>
    <x v="192"/>
    <x v="180"/>
    <x v="86"/>
    <x v="3"/>
    <n v="4"/>
    <n v="559.59"/>
    <n v="0.19"/>
    <n v="1813.0716"/>
    <s v="COD"/>
    <x v="1"/>
    <x v="0"/>
    <x v="2"/>
  </r>
  <r>
    <x v="2"/>
    <s v="SALE232"/>
    <x v="33"/>
    <x v="193"/>
    <x v="181"/>
    <x v="33"/>
    <x v="4"/>
    <n v="4"/>
    <n v="794.97"/>
    <n v="0.24"/>
    <n v="2416.7087999999999"/>
    <s v="PayPal"/>
    <x v="1"/>
    <x v="0"/>
    <x v="2"/>
  </r>
  <r>
    <x v="2"/>
    <s v="SALE1111"/>
    <x v="33"/>
    <x v="87"/>
    <x v="182"/>
    <x v="33"/>
    <x v="4"/>
    <n v="1"/>
    <n v="937.01"/>
    <n v="7.0000000000000007E-2"/>
    <n v="871.41929999999991"/>
    <s v="Credit Card"/>
    <x v="0"/>
    <x v="0"/>
    <x v="0"/>
  </r>
  <r>
    <x v="2"/>
    <s v="SALE417"/>
    <x v="33"/>
    <x v="194"/>
    <x v="183"/>
    <x v="33"/>
    <x v="4"/>
    <n v="2"/>
    <n v="466.27"/>
    <n v="0.11"/>
    <n v="829.9606"/>
    <s v="PayPal"/>
    <x v="1"/>
    <x v="0"/>
    <x v="0"/>
  </r>
  <r>
    <x v="2"/>
    <s v="SALE602"/>
    <x v="34"/>
    <x v="40"/>
    <x v="184"/>
    <x v="34"/>
    <x v="1"/>
    <n v="3"/>
    <n v="483.06"/>
    <n v="0.05"/>
    <n v="1376.721"/>
    <s v="Credit Card"/>
    <x v="1"/>
    <x v="0"/>
    <x v="2"/>
  </r>
  <r>
    <x v="2"/>
    <s v="SALE1568"/>
    <x v="34"/>
    <x v="195"/>
    <x v="185"/>
    <x v="34"/>
    <x v="1"/>
    <n v="4"/>
    <n v="458.58"/>
    <n v="0.28999999999999998"/>
    <n v="1302.3671999999999"/>
    <s v="COD"/>
    <x v="0"/>
    <x v="0"/>
    <x v="1"/>
  </r>
  <r>
    <x v="2"/>
    <s v="SALE1261"/>
    <x v="71"/>
    <x v="121"/>
    <x v="186"/>
    <x v="71"/>
    <x v="1"/>
    <n v="3"/>
    <n v="118.25"/>
    <n v="0.26"/>
    <n v="262.51499999999999"/>
    <s v="PayPal"/>
    <x v="1"/>
    <x v="0"/>
    <x v="3"/>
  </r>
  <r>
    <x v="2"/>
    <s v="SALE851"/>
    <x v="71"/>
    <x v="196"/>
    <x v="110"/>
    <x v="71"/>
    <x v="1"/>
    <n v="4"/>
    <n v="597.79999999999995"/>
    <n v="0.2"/>
    <n v="1912.96"/>
    <s v="Credit Card"/>
    <x v="1"/>
    <x v="0"/>
    <x v="2"/>
  </r>
  <r>
    <x v="2"/>
    <s v="SALE1108"/>
    <x v="87"/>
    <x v="197"/>
    <x v="187"/>
    <x v="87"/>
    <x v="3"/>
    <n v="3"/>
    <n v="808.87"/>
    <n v="0.12"/>
    <n v="2135.4168"/>
    <s v="COD"/>
    <x v="1"/>
    <x v="0"/>
    <x v="1"/>
  </r>
  <r>
    <x v="2"/>
    <s v="SALE1008"/>
    <x v="36"/>
    <x v="198"/>
    <x v="188"/>
    <x v="36"/>
    <x v="1"/>
    <n v="1"/>
    <n v="395.18"/>
    <n v="0.09"/>
    <n v="359.61380000000003"/>
    <s v="PayPal"/>
    <x v="0"/>
    <x v="0"/>
    <x v="1"/>
  </r>
  <r>
    <x v="2"/>
    <s v="SALE1569"/>
    <x v="72"/>
    <x v="199"/>
    <x v="42"/>
    <x v="72"/>
    <x v="3"/>
    <n v="4"/>
    <n v="704.49"/>
    <n v="0.05"/>
    <n v="2677.0619999999999"/>
    <s v="COD"/>
    <x v="0"/>
    <x v="0"/>
    <x v="3"/>
  </r>
  <r>
    <x v="2"/>
    <s v="SALE748"/>
    <x v="39"/>
    <x v="200"/>
    <x v="189"/>
    <x v="39"/>
    <x v="0"/>
    <n v="4"/>
    <n v="602.39"/>
    <n v="0.19"/>
    <n v="1951.7436"/>
    <s v="COD"/>
    <x v="0"/>
    <x v="0"/>
    <x v="2"/>
  </r>
  <r>
    <x v="2"/>
    <s v="SALE1707"/>
    <x v="39"/>
    <x v="184"/>
    <x v="190"/>
    <x v="39"/>
    <x v="0"/>
    <n v="4"/>
    <n v="359.71"/>
    <n v="0.05"/>
    <n v="1366.8979999999999"/>
    <s v="PayPal"/>
    <x v="1"/>
    <x v="0"/>
    <x v="1"/>
  </r>
  <r>
    <x v="2"/>
    <s v="SALE342"/>
    <x v="88"/>
    <x v="201"/>
    <x v="121"/>
    <x v="88"/>
    <x v="2"/>
    <n v="2"/>
    <n v="692.72"/>
    <n v="0.13"/>
    <n v="1205.3327999999999"/>
    <s v="PayPal"/>
    <x v="0"/>
    <x v="0"/>
    <x v="1"/>
  </r>
  <r>
    <x v="2"/>
    <s v="SALE22"/>
    <x v="40"/>
    <x v="202"/>
    <x v="191"/>
    <x v="40"/>
    <x v="4"/>
    <n v="3"/>
    <n v="979.42"/>
    <n v="0.03"/>
    <n v="2850.1122"/>
    <s v="PayPal"/>
    <x v="1"/>
    <x v="0"/>
    <x v="3"/>
  </r>
  <r>
    <x v="2"/>
    <s v="SALE1770"/>
    <x v="89"/>
    <x v="203"/>
    <x v="192"/>
    <x v="89"/>
    <x v="2"/>
    <n v="4"/>
    <n v="614.76"/>
    <n v="0.16"/>
    <n v="2065.5936000000002"/>
    <s v="Credit Card"/>
    <x v="0"/>
    <x v="0"/>
    <x v="2"/>
  </r>
  <r>
    <x v="2"/>
    <s v="SALE1162"/>
    <x v="73"/>
    <x v="204"/>
    <x v="193"/>
    <x v="73"/>
    <x v="1"/>
    <n v="2"/>
    <n v="913.08"/>
    <n v="0.26"/>
    <n v="1351.3584000000001"/>
    <s v="Credit Card"/>
    <x v="0"/>
    <x v="0"/>
    <x v="0"/>
  </r>
  <r>
    <x v="2"/>
    <s v="SALE68"/>
    <x v="42"/>
    <x v="205"/>
    <x v="194"/>
    <x v="42"/>
    <x v="3"/>
    <n v="4"/>
    <n v="62.48"/>
    <n v="0.18"/>
    <n v="204.93440000000001"/>
    <s v="Credit Card"/>
    <x v="0"/>
    <x v="0"/>
    <x v="2"/>
  </r>
  <r>
    <x v="2"/>
    <s v="SALE1002"/>
    <x v="43"/>
    <x v="206"/>
    <x v="195"/>
    <x v="43"/>
    <x v="3"/>
    <n v="3"/>
    <n v="909.11"/>
    <n v="0.23"/>
    <n v="2100.0441000000001"/>
    <s v="COD"/>
    <x v="0"/>
    <x v="0"/>
    <x v="0"/>
  </r>
  <r>
    <x v="2"/>
    <s v="SALE1832"/>
    <x v="43"/>
    <x v="207"/>
    <x v="85"/>
    <x v="43"/>
    <x v="3"/>
    <n v="4"/>
    <n v="166.93"/>
    <n v="0.02"/>
    <n v="654.36559999999997"/>
    <s v="PayPal"/>
    <x v="1"/>
    <x v="0"/>
    <x v="0"/>
  </r>
  <r>
    <x v="2"/>
    <s v="SALE525"/>
    <x v="44"/>
    <x v="117"/>
    <x v="35"/>
    <x v="44"/>
    <x v="0"/>
    <n v="2"/>
    <n v="407.46"/>
    <n v="0.21"/>
    <n v="643.78679999999997"/>
    <s v="Credit Card"/>
    <x v="1"/>
    <x v="0"/>
    <x v="0"/>
  </r>
  <r>
    <x v="2"/>
    <s v="SALE473"/>
    <x v="44"/>
    <x v="208"/>
    <x v="161"/>
    <x v="44"/>
    <x v="0"/>
    <n v="1"/>
    <n v="30.94"/>
    <n v="0.21"/>
    <n v="24.442599999999999"/>
    <s v="COD"/>
    <x v="1"/>
    <x v="0"/>
    <x v="2"/>
  </r>
  <r>
    <x v="2"/>
    <s v="SALE1042"/>
    <x v="45"/>
    <x v="209"/>
    <x v="196"/>
    <x v="45"/>
    <x v="4"/>
    <n v="4"/>
    <n v="552.38"/>
    <n v="0.1"/>
    <n v="1988.568"/>
    <s v="PayPal"/>
    <x v="1"/>
    <x v="0"/>
    <x v="1"/>
  </r>
  <r>
    <x v="2"/>
    <s v="SALE613"/>
    <x v="45"/>
    <x v="169"/>
    <x v="197"/>
    <x v="45"/>
    <x v="4"/>
    <n v="4"/>
    <n v="659.03"/>
    <n v="0.15"/>
    <n v="2240.7020000000002"/>
    <s v="Credit Card"/>
    <x v="0"/>
    <x v="0"/>
    <x v="2"/>
  </r>
  <r>
    <x v="2"/>
    <s v="SALE76"/>
    <x v="90"/>
    <x v="33"/>
    <x v="119"/>
    <x v="90"/>
    <x v="0"/>
    <n v="2"/>
    <n v="686.31"/>
    <n v="0.25"/>
    <n v="1029.4649999999999"/>
    <s v="Credit Card"/>
    <x v="1"/>
    <x v="0"/>
    <x v="1"/>
  </r>
  <r>
    <x v="2"/>
    <s v="SALE875"/>
    <x v="90"/>
    <x v="210"/>
    <x v="198"/>
    <x v="90"/>
    <x v="0"/>
    <n v="4"/>
    <n v="762.94"/>
    <n v="0.09"/>
    <n v="2777.1016"/>
    <s v="COD"/>
    <x v="0"/>
    <x v="0"/>
    <x v="1"/>
  </r>
  <r>
    <x v="2"/>
    <s v="SALE937"/>
    <x v="90"/>
    <x v="211"/>
    <x v="199"/>
    <x v="90"/>
    <x v="0"/>
    <n v="3"/>
    <n v="904.48"/>
    <n v="0.21"/>
    <n v="2143.6176"/>
    <s v="PayPal"/>
    <x v="0"/>
    <x v="0"/>
    <x v="0"/>
  </r>
  <r>
    <x v="2"/>
    <s v="SALE387"/>
    <x v="91"/>
    <x v="212"/>
    <x v="200"/>
    <x v="91"/>
    <x v="2"/>
    <n v="4"/>
    <n v="773.81"/>
    <n v="0.08"/>
    <n v="2847.6208000000001"/>
    <s v="COD"/>
    <x v="1"/>
    <x v="0"/>
    <x v="0"/>
  </r>
  <r>
    <x v="2"/>
    <s v="SALE1599"/>
    <x v="91"/>
    <x v="213"/>
    <x v="201"/>
    <x v="91"/>
    <x v="2"/>
    <n v="2"/>
    <n v="61.31"/>
    <n v="0.15"/>
    <n v="104.227"/>
    <s v="COD"/>
    <x v="1"/>
    <x v="0"/>
    <x v="2"/>
  </r>
  <r>
    <x v="2"/>
    <s v="SALE1942"/>
    <x v="91"/>
    <x v="214"/>
    <x v="72"/>
    <x v="91"/>
    <x v="2"/>
    <n v="4"/>
    <n v="87.83"/>
    <n v="0.23"/>
    <n v="270.51639999999998"/>
    <s v="PayPal"/>
    <x v="1"/>
    <x v="0"/>
    <x v="0"/>
  </r>
  <r>
    <x v="2"/>
    <s v="SALE475"/>
    <x v="46"/>
    <x v="215"/>
    <x v="202"/>
    <x v="46"/>
    <x v="3"/>
    <n v="2"/>
    <n v="145.26"/>
    <n v="0.19"/>
    <n v="235.3212"/>
    <s v="PayPal"/>
    <x v="1"/>
    <x v="0"/>
    <x v="0"/>
  </r>
  <r>
    <x v="2"/>
    <s v="SALE1600"/>
    <x v="46"/>
    <x v="216"/>
    <x v="203"/>
    <x v="46"/>
    <x v="3"/>
    <n v="2"/>
    <n v="870.13"/>
    <n v="0.23"/>
    <n v="1340.0001999999999"/>
    <s v="Credit Card"/>
    <x v="1"/>
    <x v="0"/>
    <x v="2"/>
  </r>
  <r>
    <x v="2"/>
    <s v="SALE790"/>
    <x v="47"/>
    <x v="217"/>
    <x v="204"/>
    <x v="47"/>
    <x v="3"/>
    <n v="2"/>
    <n v="807.1"/>
    <n v="0.28999999999999998"/>
    <n v="1146.0820000000001"/>
    <s v="Credit Card"/>
    <x v="1"/>
    <x v="0"/>
    <x v="0"/>
  </r>
  <r>
    <x v="2"/>
    <s v="SALE633"/>
    <x v="48"/>
    <x v="0"/>
    <x v="205"/>
    <x v="48"/>
    <x v="1"/>
    <n v="1"/>
    <n v="343.05"/>
    <n v="0.28000000000000003"/>
    <n v="246.99600000000001"/>
    <s v="PayPal"/>
    <x v="0"/>
    <x v="0"/>
    <x v="2"/>
  </r>
  <r>
    <x v="2"/>
    <s v="SALE377"/>
    <x v="48"/>
    <x v="218"/>
    <x v="103"/>
    <x v="48"/>
    <x v="1"/>
    <n v="1"/>
    <n v="995.52"/>
    <n v="0.22"/>
    <n v="776.50559999999996"/>
    <s v="PayPal"/>
    <x v="0"/>
    <x v="0"/>
    <x v="3"/>
  </r>
  <r>
    <x v="2"/>
    <s v="SALE1436"/>
    <x v="50"/>
    <x v="219"/>
    <x v="206"/>
    <x v="50"/>
    <x v="2"/>
    <n v="2"/>
    <n v="611.25"/>
    <n v="0.22"/>
    <n v="953.55000000000007"/>
    <s v="Credit Card"/>
    <x v="1"/>
    <x v="0"/>
    <x v="3"/>
  </r>
  <r>
    <x v="2"/>
    <s v="SALE989"/>
    <x v="52"/>
    <x v="220"/>
    <x v="20"/>
    <x v="52"/>
    <x v="3"/>
    <n v="1"/>
    <n v="66.14"/>
    <n v="0.14000000000000001"/>
    <n v="56.880400000000002"/>
    <s v="COD"/>
    <x v="0"/>
    <x v="0"/>
    <x v="0"/>
  </r>
  <r>
    <x v="2"/>
    <s v="SALE1316"/>
    <x v="52"/>
    <x v="221"/>
    <x v="207"/>
    <x v="52"/>
    <x v="3"/>
    <n v="4"/>
    <n v="216.81"/>
    <n v="0.28999999999999998"/>
    <n v="615.74040000000002"/>
    <s v="Credit Card"/>
    <x v="1"/>
    <x v="0"/>
    <x v="2"/>
  </r>
  <r>
    <x v="2"/>
    <s v="SALE381"/>
    <x v="53"/>
    <x v="222"/>
    <x v="208"/>
    <x v="53"/>
    <x v="1"/>
    <n v="3"/>
    <n v="437.96"/>
    <n v="0.27"/>
    <n v="959.13239999999985"/>
    <s v="COD"/>
    <x v="1"/>
    <x v="0"/>
    <x v="3"/>
  </r>
  <r>
    <x v="2"/>
    <s v="SALE1997"/>
    <x v="53"/>
    <x v="223"/>
    <x v="53"/>
    <x v="53"/>
    <x v="1"/>
    <n v="2"/>
    <n v="685.31"/>
    <n v="0.26"/>
    <n v="1014.2588"/>
    <s v="PayPal"/>
    <x v="0"/>
    <x v="0"/>
    <x v="0"/>
  </r>
  <r>
    <x v="2"/>
    <s v="SALE172"/>
    <x v="53"/>
    <x v="224"/>
    <x v="132"/>
    <x v="53"/>
    <x v="1"/>
    <n v="2"/>
    <n v="827.92"/>
    <n v="0.25"/>
    <n v="1241.8800000000001"/>
    <s v="COD"/>
    <x v="0"/>
    <x v="0"/>
    <x v="3"/>
  </r>
  <r>
    <x v="2"/>
    <s v="SALE616"/>
    <x v="92"/>
    <x v="225"/>
    <x v="209"/>
    <x v="92"/>
    <x v="3"/>
    <n v="4"/>
    <n v="386.41"/>
    <n v="0.13"/>
    <n v="1344.7067999999999"/>
    <s v="COD"/>
    <x v="1"/>
    <x v="0"/>
    <x v="2"/>
  </r>
  <r>
    <x v="2"/>
    <s v="SALE857"/>
    <x v="93"/>
    <x v="226"/>
    <x v="210"/>
    <x v="93"/>
    <x v="0"/>
    <n v="4"/>
    <n v="370.5"/>
    <n v="0.13"/>
    <n v="1289.3399999999999"/>
    <s v="PayPal"/>
    <x v="1"/>
    <x v="0"/>
    <x v="0"/>
  </r>
  <r>
    <x v="2"/>
    <s v="SALE1807"/>
    <x v="57"/>
    <x v="227"/>
    <x v="211"/>
    <x v="57"/>
    <x v="1"/>
    <n v="4"/>
    <n v="33.630000000000003"/>
    <n v="0.05"/>
    <n v="127.794"/>
    <s v="Credit Card"/>
    <x v="0"/>
    <x v="0"/>
    <x v="1"/>
  </r>
  <r>
    <x v="2"/>
    <s v="SALE1731"/>
    <x v="57"/>
    <x v="58"/>
    <x v="30"/>
    <x v="57"/>
    <x v="1"/>
    <n v="2"/>
    <n v="886.67"/>
    <n v="0.24"/>
    <n v="1347.7384"/>
    <s v="PayPal"/>
    <x v="1"/>
    <x v="0"/>
    <x v="3"/>
  </r>
  <r>
    <x v="2"/>
    <s v="SALE1948"/>
    <x v="57"/>
    <x v="228"/>
    <x v="197"/>
    <x v="57"/>
    <x v="1"/>
    <n v="4"/>
    <n v="101.25"/>
    <n v="0.16"/>
    <n v="340.2"/>
    <s v="PayPal"/>
    <x v="0"/>
    <x v="0"/>
    <x v="2"/>
  </r>
  <r>
    <x v="2"/>
    <s v="SALE1890"/>
    <x v="57"/>
    <x v="229"/>
    <x v="37"/>
    <x v="57"/>
    <x v="1"/>
    <n v="4"/>
    <n v="731.72"/>
    <n v="0.22"/>
    <n v="2282.9663999999998"/>
    <s v="COD"/>
    <x v="1"/>
    <x v="0"/>
    <x v="1"/>
  </r>
  <r>
    <x v="2"/>
    <s v="SALE1591"/>
    <x v="58"/>
    <x v="154"/>
    <x v="212"/>
    <x v="58"/>
    <x v="3"/>
    <n v="1"/>
    <n v="749.78"/>
    <n v="0.03"/>
    <n v="727.28659999999991"/>
    <s v="Credit Card"/>
    <x v="1"/>
    <x v="0"/>
    <x v="2"/>
  </r>
  <r>
    <x v="2"/>
    <s v="SALE1661"/>
    <x v="59"/>
    <x v="230"/>
    <x v="163"/>
    <x v="59"/>
    <x v="4"/>
    <n v="3"/>
    <n v="582.32000000000005"/>
    <n v="0"/>
    <n v="1746.96"/>
    <s v="PayPal"/>
    <x v="0"/>
    <x v="0"/>
    <x v="1"/>
  </r>
  <r>
    <x v="2"/>
    <s v="SALE138"/>
    <x v="79"/>
    <x v="231"/>
    <x v="213"/>
    <x v="79"/>
    <x v="3"/>
    <n v="3"/>
    <n v="237.68"/>
    <n v="0.1"/>
    <n v="641.73599999999999"/>
    <s v="COD"/>
    <x v="1"/>
    <x v="0"/>
    <x v="2"/>
  </r>
  <r>
    <x v="2"/>
    <s v="SALE1443"/>
    <x v="79"/>
    <x v="232"/>
    <x v="207"/>
    <x v="79"/>
    <x v="3"/>
    <n v="3"/>
    <n v="679.38"/>
    <n v="0.3"/>
    <n v="1426.6980000000001"/>
    <s v="COD"/>
    <x v="1"/>
    <x v="0"/>
    <x v="2"/>
  </r>
  <r>
    <x v="2"/>
    <s v="SALE1630"/>
    <x v="94"/>
    <x v="233"/>
    <x v="150"/>
    <x v="94"/>
    <x v="0"/>
    <n v="2"/>
    <n v="443.15"/>
    <n v="0.27"/>
    <n v="646.99899999999991"/>
    <s v="PayPal"/>
    <x v="0"/>
    <x v="0"/>
    <x v="2"/>
  </r>
  <r>
    <x v="2"/>
    <s v="SALE1438"/>
    <x v="80"/>
    <x v="234"/>
    <x v="133"/>
    <x v="80"/>
    <x v="2"/>
    <n v="3"/>
    <n v="130.38999999999999"/>
    <n v="0.24"/>
    <n v="297.28919999999999"/>
    <s v="PayPal"/>
    <x v="1"/>
    <x v="0"/>
    <x v="3"/>
  </r>
  <r>
    <x v="2"/>
    <s v="SALE583"/>
    <x v="80"/>
    <x v="235"/>
    <x v="214"/>
    <x v="80"/>
    <x v="2"/>
    <n v="3"/>
    <n v="53.83"/>
    <n v="0.24"/>
    <n v="122.7324"/>
    <s v="Credit Card"/>
    <x v="0"/>
    <x v="0"/>
    <x v="2"/>
  </r>
  <r>
    <x v="3"/>
    <s v="SALE985"/>
    <x v="81"/>
    <x v="236"/>
    <x v="215"/>
    <x v="81"/>
    <x v="4"/>
    <n v="4"/>
    <n v="880.26"/>
    <n v="0.11"/>
    <n v="3133.7256000000002"/>
    <s v="COD"/>
    <x v="1"/>
    <x v="0"/>
    <x v="2"/>
  </r>
  <r>
    <x v="3"/>
    <s v="SALE1543"/>
    <x v="81"/>
    <x v="237"/>
    <x v="177"/>
    <x v="81"/>
    <x v="4"/>
    <n v="3"/>
    <n v="305"/>
    <n v="0.01"/>
    <n v="905.85"/>
    <s v="COD"/>
    <x v="0"/>
    <x v="0"/>
    <x v="3"/>
  </r>
  <r>
    <x v="3"/>
    <s v="SALE528"/>
    <x v="60"/>
    <x v="238"/>
    <x v="216"/>
    <x v="60"/>
    <x v="2"/>
    <n v="1"/>
    <n v="57.94"/>
    <n v="0.13"/>
    <n v="50.407799999999988"/>
    <s v="PayPal"/>
    <x v="1"/>
    <x v="0"/>
    <x v="1"/>
  </r>
  <r>
    <x v="3"/>
    <s v="SALE1178"/>
    <x v="3"/>
    <x v="239"/>
    <x v="2"/>
    <x v="3"/>
    <x v="1"/>
    <n v="2"/>
    <n v="851.77"/>
    <n v="0.13"/>
    <n v="1482.0798"/>
    <s v="PayPal"/>
    <x v="1"/>
    <x v="0"/>
    <x v="1"/>
  </r>
  <r>
    <x v="3"/>
    <s v="SALE264"/>
    <x v="3"/>
    <x v="240"/>
    <x v="217"/>
    <x v="3"/>
    <x v="1"/>
    <n v="4"/>
    <n v="640.23"/>
    <n v="0.06"/>
    <n v="2407.2647999999999"/>
    <s v="COD"/>
    <x v="0"/>
    <x v="0"/>
    <x v="3"/>
  </r>
  <r>
    <x v="3"/>
    <s v="SALE1471"/>
    <x v="3"/>
    <x v="241"/>
    <x v="218"/>
    <x v="3"/>
    <x v="1"/>
    <n v="1"/>
    <n v="558.41999999999996"/>
    <n v="0.03"/>
    <n v="541.66739999999993"/>
    <s v="Credit Card"/>
    <x v="0"/>
    <x v="0"/>
    <x v="2"/>
  </r>
  <r>
    <x v="3"/>
    <s v="SALE571"/>
    <x v="5"/>
    <x v="242"/>
    <x v="219"/>
    <x v="5"/>
    <x v="4"/>
    <n v="1"/>
    <n v="974.52"/>
    <n v="0.01"/>
    <n v="964.77480000000003"/>
    <s v="PayPal"/>
    <x v="0"/>
    <x v="0"/>
    <x v="3"/>
  </r>
  <r>
    <x v="3"/>
    <s v="SALE1032"/>
    <x v="6"/>
    <x v="243"/>
    <x v="220"/>
    <x v="6"/>
    <x v="3"/>
    <n v="3"/>
    <n v="663.73"/>
    <n v="0.06"/>
    <n v="1871.7185999999999"/>
    <s v="COD"/>
    <x v="1"/>
    <x v="0"/>
    <x v="3"/>
  </r>
  <r>
    <x v="3"/>
    <s v="SALE758"/>
    <x v="7"/>
    <x v="244"/>
    <x v="67"/>
    <x v="7"/>
    <x v="3"/>
    <n v="1"/>
    <n v="202.13"/>
    <n v="0.13"/>
    <n v="175.85310000000001"/>
    <s v="COD"/>
    <x v="0"/>
    <x v="0"/>
    <x v="3"/>
  </r>
  <r>
    <x v="3"/>
    <s v="SALE1478"/>
    <x v="63"/>
    <x v="168"/>
    <x v="39"/>
    <x v="63"/>
    <x v="4"/>
    <n v="1"/>
    <n v="588.61"/>
    <n v="0.1"/>
    <n v="529.74900000000002"/>
    <s v="PayPal"/>
    <x v="1"/>
    <x v="0"/>
    <x v="1"/>
  </r>
  <r>
    <x v="3"/>
    <s v="SALE632"/>
    <x v="10"/>
    <x v="245"/>
    <x v="221"/>
    <x v="10"/>
    <x v="4"/>
    <n v="2"/>
    <n v="151.47"/>
    <n v="0.21"/>
    <n v="239.32259999999999"/>
    <s v="PayPal"/>
    <x v="1"/>
    <x v="0"/>
    <x v="1"/>
  </r>
  <r>
    <x v="3"/>
    <s v="SALE158"/>
    <x v="13"/>
    <x v="192"/>
    <x v="187"/>
    <x v="13"/>
    <x v="3"/>
    <n v="2"/>
    <n v="60.98"/>
    <n v="0.23"/>
    <n v="93.909199999999998"/>
    <s v="PayPal"/>
    <x v="1"/>
    <x v="0"/>
    <x v="1"/>
  </r>
  <r>
    <x v="3"/>
    <s v="SALE47"/>
    <x v="65"/>
    <x v="246"/>
    <x v="222"/>
    <x v="65"/>
    <x v="2"/>
    <n v="1"/>
    <n v="135.78"/>
    <n v="0.14000000000000001"/>
    <n v="116.77079999999999"/>
    <s v="PayPal"/>
    <x v="1"/>
    <x v="0"/>
    <x v="3"/>
  </r>
  <r>
    <x v="3"/>
    <s v="SALE1160"/>
    <x v="65"/>
    <x v="247"/>
    <x v="223"/>
    <x v="65"/>
    <x v="2"/>
    <n v="2"/>
    <n v="723.75"/>
    <n v="0.03"/>
    <n v="1404.075"/>
    <s v="PayPal"/>
    <x v="1"/>
    <x v="0"/>
    <x v="1"/>
  </r>
  <r>
    <x v="3"/>
    <s v="SALE1728"/>
    <x v="66"/>
    <x v="248"/>
    <x v="224"/>
    <x v="66"/>
    <x v="3"/>
    <n v="4"/>
    <n v="862.25"/>
    <n v="0.28000000000000003"/>
    <n v="2483.2800000000002"/>
    <s v="PayPal"/>
    <x v="0"/>
    <x v="0"/>
    <x v="2"/>
  </r>
  <r>
    <x v="3"/>
    <s v="SALE767"/>
    <x v="15"/>
    <x v="249"/>
    <x v="190"/>
    <x v="15"/>
    <x v="2"/>
    <n v="1"/>
    <n v="827.91"/>
    <n v="0.21"/>
    <n v="654.0489"/>
    <s v="PayPal"/>
    <x v="1"/>
    <x v="0"/>
    <x v="1"/>
  </r>
  <r>
    <x v="3"/>
    <s v="SALE1621"/>
    <x v="16"/>
    <x v="250"/>
    <x v="225"/>
    <x v="16"/>
    <x v="0"/>
    <n v="1"/>
    <n v="324.56"/>
    <n v="0.03"/>
    <n v="314.82319999999999"/>
    <s v="COD"/>
    <x v="1"/>
    <x v="0"/>
    <x v="3"/>
  </r>
  <r>
    <x v="3"/>
    <s v="SALE906"/>
    <x v="16"/>
    <x v="96"/>
    <x v="195"/>
    <x v="16"/>
    <x v="0"/>
    <n v="2"/>
    <n v="414.18"/>
    <n v="0.25"/>
    <n v="621.27"/>
    <s v="PayPal"/>
    <x v="0"/>
    <x v="0"/>
    <x v="0"/>
  </r>
  <r>
    <x v="3"/>
    <s v="SALE1067"/>
    <x v="16"/>
    <x v="123"/>
    <x v="226"/>
    <x v="16"/>
    <x v="0"/>
    <n v="1"/>
    <n v="164.73"/>
    <n v="0.12"/>
    <n v="144.9624"/>
    <s v="PayPal"/>
    <x v="0"/>
    <x v="0"/>
    <x v="2"/>
  </r>
  <r>
    <x v="3"/>
    <s v="SALE1254"/>
    <x v="18"/>
    <x v="211"/>
    <x v="227"/>
    <x v="18"/>
    <x v="4"/>
    <n v="3"/>
    <n v="120.67"/>
    <n v="0.08"/>
    <n v="333.04919999999998"/>
    <s v="COD"/>
    <x v="1"/>
    <x v="0"/>
    <x v="1"/>
  </r>
  <r>
    <x v="3"/>
    <s v="SALE666"/>
    <x v="19"/>
    <x v="251"/>
    <x v="228"/>
    <x v="19"/>
    <x v="4"/>
    <n v="3"/>
    <n v="917.64"/>
    <n v="0.24"/>
    <n v="2092.2192"/>
    <s v="PayPal"/>
    <x v="0"/>
    <x v="0"/>
    <x v="2"/>
  </r>
  <r>
    <x v="3"/>
    <s v="SALE279"/>
    <x v="19"/>
    <x v="252"/>
    <x v="82"/>
    <x v="19"/>
    <x v="4"/>
    <n v="3"/>
    <n v="995.38"/>
    <n v="0.1"/>
    <n v="2687.5259999999998"/>
    <s v="PayPal"/>
    <x v="1"/>
    <x v="0"/>
    <x v="3"/>
  </r>
  <r>
    <x v="3"/>
    <s v="SALE933"/>
    <x v="20"/>
    <x v="253"/>
    <x v="229"/>
    <x v="20"/>
    <x v="3"/>
    <n v="3"/>
    <n v="649.78"/>
    <n v="0.1"/>
    <n v="1754.4059999999999"/>
    <s v="PayPal"/>
    <x v="1"/>
    <x v="0"/>
    <x v="0"/>
  </r>
  <r>
    <x v="3"/>
    <s v="SALE118"/>
    <x v="21"/>
    <x v="221"/>
    <x v="220"/>
    <x v="21"/>
    <x v="0"/>
    <n v="1"/>
    <n v="165"/>
    <n v="0.3"/>
    <n v="115.5"/>
    <s v="COD"/>
    <x v="1"/>
    <x v="0"/>
    <x v="3"/>
  </r>
  <r>
    <x v="3"/>
    <s v="SALE1632"/>
    <x v="21"/>
    <x v="254"/>
    <x v="103"/>
    <x v="21"/>
    <x v="0"/>
    <n v="3"/>
    <n v="590.30999999999995"/>
    <n v="0.17"/>
    <n v="1469.8719000000001"/>
    <s v="PayPal"/>
    <x v="0"/>
    <x v="0"/>
    <x v="3"/>
  </r>
  <r>
    <x v="3"/>
    <s v="SALE1474"/>
    <x v="21"/>
    <x v="255"/>
    <x v="230"/>
    <x v="21"/>
    <x v="0"/>
    <n v="4"/>
    <n v="278.70999999999998"/>
    <n v="0.2"/>
    <n v="891.87199999999996"/>
    <s v="PayPal"/>
    <x v="1"/>
    <x v="0"/>
    <x v="1"/>
  </r>
  <r>
    <x v="3"/>
    <s v="SALE1078"/>
    <x v="95"/>
    <x v="77"/>
    <x v="231"/>
    <x v="95"/>
    <x v="4"/>
    <n v="1"/>
    <n v="769.4"/>
    <n v="0.16"/>
    <n v="646.29599999999994"/>
    <s v="Credit Card"/>
    <x v="1"/>
    <x v="0"/>
    <x v="3"/>
  </r>
  <r>
    <x v="3"/>
    <s v="SALE420"/>
    <x v="22"/>
    <x v="93"/>
    <x v="64"/>
    <x v="22"/>
    <x v="0"/>
    <n v="2"/>
    <n v="74.63"/>
    <n v="0.01"/>
    <n v="147.76740000000001"/>
    <s v="PayPal"/>
    <x v="0"/>
    <x v="0"/>
    <x v="3"/>
  </r>
  <r>
    <x v="3"/>
    <s v="SALE726"/>
    <x v="96"/>
    <x v="256"/>
    <x v="232"/>
    <x v="96"/>
    <x v="3"/>
    <n v="3"/>
    <n v="28.69"/>
    <n v="0.02"/>
    <n v="84.348600000000005"/>
    <s v="Credit Card"/>
    <x v="0"/>
    <x v="0"/>
    <x v="1"/>
  </r>
  <r>
    <x v="3"/>
    <s v="SALE805"/>
    <x v="23"/>
    <x v="257"/>
    <x v="36"/>
    <x v="23"/>
    <x v="0"/>
    <n v="2"/>
    <n v="705.61"/>
    <n v="0.28000000000000003"/>
    <n v="1016.0784"/>
    <s v="Credit Card"/>
    <x v="0"/>
    <x v="0"/>
    <x v="1"/>
  </r>
  <r>
    <x v="3"/>
    <s v="SALE1864"/>
    <x v="23"/>
    <x v="258"/>
    <x v="233"/>
    <x v="23"/>
    <x v="0"/>
    <n v="2"/>
    <n v="271.88"/>
    <n v="0.11"/>
    <n v="483.94639999999998"/>
    <s v="COD"/>
    <x v="1"/>
    <x v="0"/>
    <x v="2"/>
  </r>
  <r>
    <x v="3"/>
    <s v="SALE1959"/>
    <x v="68"/>
    <x v="69"/>
    <x v="234"/>
    <x v="68"/>
    <x v="0"/>
    <n v="2"/>
    <n v="249.02"/>
    <n v="0.01"/>
    <n v="493.05959999999999"/>
    <s v="COD"/>
    <x v="0"/>
    <x v="0"/>
    <x v="0"/>
  </r>
  <r>
    <x v="3"/>
    <s v="SALE197"/>
    <x v="69"/>
    <x v="259"/>
    <x v="235"/>
    <x v="69"/>
    <x v="3"/>
    <n v="1"/>
    <n v="541.24"/>
    <n v="0.03"/>
    <n v="525.00279999999998"/>
    <s v="PayPal"/>
    <x v="1"/>
    <x v="0"/>
    <x v="1"/>
  </r>
  <r>
    <x v="3"/>
    <s v="SALE73"/>
    <x v="24"/>
    <x v="260"/>
    <x v="236"/>
    <x v="24"/>
    <x v="3"/>
    <n v="2"/>
    <n v="556.42999999999995"/>
    <n v="0.13"/>
    <n v="968.18819999999994"/>
    <s v="Credit Card"/>
    <x v="1"/>
    <x v="0"/>
    <x v="4"/>
  </r>
  <r>
    <x v="3"/>
    <s v="SALE1991"/>
    <x v="24"/>
    <x v="261"/>
    <x v="152"/>
    <x v="24"/>
    <x v="3"/>
    <n v="1"/>
    <n v="183.47"/>
    <n v="0.17"/>
    <n v="152.2801"/>
    <s v="PayPal"/>
    <x v="1"/>
    <x v="0"/>
    <x v="2"/>
  </r>
  <r>
    <x v="3"/>
    <s v="SALE738"/>
    <x v="25"/>
    <x v="262"/>
    <x v="237"/>
    <x v="25"/>
    <x v="4"/>
    <n v="2"/>
    <n v="213.69"/>
    <n v="0.28000000000000003"/>
    <n v="307.71359999999999"/>
    <s v="PayPal"/>
    <x v="0"/>
    <x v="0"/>
    <x v="2"/>
  </r>
  <r>
    <x v="3"/>
    <s v="SALE1384"/>
    <x v="26"/>
    <x v="47"/>
    <x v="238"/>
    <x v="26"/>
    <x v="1"/>
    <n v="1"/>
    <n v="713.63"/>
    <n v="0.28000000000000003"/>
    <n v="513.81359999999995"/>
    <s v="COD"/>
    <x v="0"/>
    <x v="0"/>
    <x v="0"/>
  </r>
  <r>
    <x v="3"/>
    <s v="SALE1251"/>
    <x v="83"/>
    <x v="263"/>
    <x v="104"/>
    <x v="83"/>
    <x v="0"/>
    <n v="2"/>
    <n v="875.2"/>
    <n v="0.19"/>
    <n v="1417.8240000000001"/>
    <s v="Credit Card"/>
    <x v="0"/>
    <x v="0"/>
    <x v="0"/>
  </r>
  <r>
    <x v="3"/>
    <s v="SALE171"/>
    <x v="27"/>
    <x v="264"/>
    <x v="239"/>
    <x v="27"/>
    <x v="1"/>
    <n v="1"/>
    <n v="325.08"/>
    <n v="0.26"/>
    <n v="240.5592"/>
    <s v="PayPal"/>
    <x v="0"/>
    <x v="0"/>
    <x v="1"/>
  </r>
  <r>
    <x v="3"/>
    <s v="SALE1806"/>
    <x v="27"/>
    <x v="132"/>
    <x v="166"/>
    <x v="27"/>
    <x v="1"/>
    <n v="4"/>
    <n v="450.3"/>
    <n v="0.02"/>
    <n v="1765.1759999999999"/>
    <s v="Credit Card"/>
    <x v="1"/>
    <x v="0"/>
    <x v="2"/>
  </r>
  <r>
    <x v="3"/>
    <s v="SALE55"/>
    <x v="27"/>
    <x v="231"/>
    <x v="185"/>
    <x v="27"/>
    <x v="1"/>
    <n v="2"/>
    <n v="559.71"/>
    <n v="0.3"/>
    <n v="783.59400000000005"/>
    <s v="COD"/>
    <x v="0"/>
    <x v="0"/>
    <x v="1"/>
  </r>
  <r>
    <x v="3"/>
    <s v="SALE986"/>
    <x v="84"/>
    <x v="265"/>
    <x v="165"/>
    <x v="84"/>
    <x v="0"/>
    <n v="3"/>
    <n v="461.02"/>
    <n v="0.28999999999999998"/>
    <n v="981.97259999999994"/>
    <s v="PayPal"/>
    <x v="0"/>
    <x v="0"/>
    <x v="3"/>
  </r>
  <r>
    <x v="3"/>
    <s v="SALE131"/>
    <x v="84"/>
    <x v="266"/>
    <x v="218"/>
    <x v="84"/>
    <x v="0"/>
    <n v="3"/>
    <n v="298.35000000000002"/>
    <n v="0.05"/>
    <n v="850.29750000000001"/>
    <s v="COD"/>
    <x v="0"/>
    <x v="0"/>
    <x v="2"/>
  </r>
  <r>
    <x v="3"/>
    <s v="SALE1131"/>
    <x v="70"/>
    <x v="267"/>
    <x v="240"/>
    <x v="70"/>
    <x v="4"/>
    <n v="3"/>
    <n v="269.83999999999997"/>
    <n v="0.05"/>
    <n v="769.04399999999998"/>
    <s v="PayPal"/>
    <x v="0"/>
    <x v="0"/>
    <x v="0"/>
  </r>
  <r>
    <x v="3"/>
    <s v="SALE1693"/>
    <x v="31"/>
    <x v="268"/>
    <x v="241"/>
    <x v="31"/>
    <x v="2"/>
    <n v="4"/>
    <n v="73.69"/>
    <n v="0.08"/>
    <n v="271.17919999999998"/>
    <s v="Credit Card"/>
    <x v="0"/>
    <x v="0"/>
    <x v="1"/>
  </r>
  <r>
    <x v="3"/>
    <s v="SALE1368"/>
    <x v="97"/>
    <x v="269"/>
    <x v="111"/>
    <x v="97"/>
    <x v="1"/>
    <n v="2"/>
    <n v="23.58"/>
    <n v="0.02"/>
    <n v="46.216799999999999"/>
    <s v="PayPal"/>
    <x v="1"/>
    <x v="0"/>
    <x v="3"/>
  </r>
  <r>
    <x v="3"/>
    <s v="SALE740"/>
    <x v="97"/>
    <x v="57"/>
    <x v="242"/>
    <x v="97"/>
    <x v="1"/>
    <n v="2"/>
    <n v="81.16"/>
    <n v="0.16"/>
    <n v="136.34880000000001"/>
    <s v="PayPal"/>
    <x v="1"/>
    <x v="0"/>
    <x v="3"/>
  </r>
  <r>
    <x v="3"/>
    <s v="SALE1415"/>
    <x v="97"/>
    <x v="76"/>
    <x v="211"/>
    <x v="97"/>
    <x v="1"/>
    <n v="4"/>
    <n v="511.43"/>
    <n v="0.18"/>
    <n v="1677.4903999999999"/>
    <s v="COD"/>
    <x v="0"/>
    <x v="0"/>
    <x v="1"/>
  </r>
  <r>
    <x v="3"/>
    <s v="SALE1947"/>
    <x v="97"/>
    <x v="270"/>
    <x v="131"/>
    <x v="97"/>
    <x v="1"/>
    <n v="2"/>
    <n v="410.63"/>
    <n v="0.28000000000000003"/>
    <n v="591.30719999999997"/>
    <s v="COD"/>
    <x v="1"/>
    <x v="0"/>
    <x v="2"/>
  </r>
  <r>
    <x v="3"/>
    <s v="SALE1784"/>
    <x v="97"/>
    <x v="228"/>
    <x v="94"/>
    <x v="97"/>
    <x v="1"/>
    <n v="2"/>
    <n v="687.36"/>
    <n v="7.0000000000000007E-2"/>
    <n v="1278.4896000000001"/>
    <s v="COD"/>
    <x v="0"/>
    <x v="0"/>
    <x v="3"/>
  </r>
  <r>
    <x v="3"/>
    <s v="SALE1809"/>
    <x v="71"/>
    <x v="271"/>
    <x v="142"/>
    <x v="71"/>
    <x v="1"/>
    <n v="1"/>
    <n v="141.85"/>
    <n v="0.06"/>
    <n v="133.339"/>
    <s v="PayPal"/>
    <x v="1"/>
    <x v="0"/>
    <x v="1"/>
  </r>
  <r>
    <x v="3"/>
    <s v="SALE1274"/>
    <x v="71"/>
    <x v="272"/>
    <x v="189"/>
    <x v="71"/>
    <x v="1"/>
    <n v="3"/>
    <n v="257.11"/>
    <n v="0.26"/>
    <n v="570.78420000000006"/>
    <s v="COD"/>
    <x v="0"/>
    <x v="0"/>
    <x v="2"/>
  </r>
  <r>
    <x v="3"/>
    <s v="SALE1833"/>
    <x v="71"/>
    <x v="131"/>
    <x v="243"/>
    <x v="71"/>
    <x v="1"/>
    <n v="4"/>
    <n v="861.55"/>
    <n v="0.12"/>
    <n v="3032.6559999999999"/>
    <s v="Credit Card"/>
    <x v="0"/>
    <x v="0"/>
    <x v="2"/>
  </r>
  <r>
    <x v="3"/>
    <s v="SALE1998"/>
    <x v="87"/>
    <x v="273"/>
    <x v="224"/>
    <x v="87"/>
    <x v="3"/>
    <n v="3"/>
    <n v="945.37"/>
    <n v="0.05"/>
    <n v="2694.3045000000002"/>
    <s v="Credit Card"/>
    <x v="0"/>
    <x v="0"/>
    <x v="2"/>
  </r>
  <r>
    <x v="3"/>
    <s v="SALE1951"/>
    <x v="35"/>
    <x v="274"/>
    <x v="241"/>
    <x v="35"/>
    <x v="0"/>
    <n v="2"/>
    <n v="527.91"/>
    <n v="0.02"/>
    <n v="1034.7036000000001"/>
    <s v="Credit Card"/>
    <x v="0"/>
    <x v="0"/>
    <x v="1"/>
  </r>
  <r>
    <x v="3"/>
    <s v="SALE1418"/>
    <x v="35"/>
    <x v="201"/>
    <x v="27"/>
    <x v="35"/>
    <x v="0"/>
    <n v="4"/>
    <n v="964"/>
    <n v="0.14000000000000001"/>
    <n v="3316.16"/>
    <s v="PayPal"/>
    <x v="0"/>
    <x v="0"/>
    <x v="3"/>
  </r>
  <r>
    <x v="3"/>
    <s v="SALE1880"/>
    <x v="36"/>
    <x v="275"/>
    <x v="244"/>
    <x v="36"/>
    <x v="1"/>
    <n v="1"/>
    <n v="503.95"/>
    <n v="0.24"/>
    <n v="383.00200000000001"/>
    <s v="PayPal"/>
    <x v="0"/>
    <x v="0"/>
    <x v="1"/>
  </r>
  <r>
    <x v="3"/>
    <s v="SALE1256"/>
    <x v="36"/>
    <x v="276"/>
    <x v="245"/>
    <x v="36"/>
    <x v="1"/>
    <n v="4"/>
    <n v="592.67999999999995"/>
    <n v="0.03"/>
    <n v="2299.5983999999999"/>
    <s v="Credit Card"/>
    <x v="0"/>
    <x v="0"/>
    <x v="2"/>
  </r>
  <r>
    <x v="3"/>
    <s v="SALE1747"/>
    <x v="37"/>
    <x v="72"/>
    <x v="246"/>
    <x v="37"/>
    <x v="1"/>
    <n v="3"/>
    <n v="773.86"/>
    <n v="0.22"/>
    <n v="1810.8324"/>
    <s v="Credit Card"/>
    <x v="0"/>
    <x v="0"/>
    <x v="1"/>
  </r>
  <r>
    <x v="3"/>
    <s v="SALE243"/>
    <x v="72"/>
    <x v="263"/>
    <x v="237"/>
    <x v="72"/>
    <x v="3"/>
    <n v="2"/>
    <n v="703.95"/>
    <n v="0.03"/>
    <n v="1365.663"/>
    <s v="Credit Card"/>
    <x v="0"/>
    <x v="0"/>
    <x v="2"/>
  </r>
  <r>
    <x v="3"/>
    <s v="SALE1755"/>
    <x v="38"/>
    <x v="277"/>
    <x v="247"/>
    <x v="38"/>
    <x v="1"/>
    <n v="1"/>
    <n v="891.79"/>
    <n v="0.03"/>
    <n v="865.03629999999998"/>
    <s v="Credit Card"/>
    <x v="0"/>
    <x v="0"/>
    <x v="2"/>
  </r>
  <r>
    <x v="3"/>
    <s v="SALE1802"/>
    <x v="39"/>
    <x v="222"/>
    <x v="100"/>
    <x v="39"/>
    <x v="0"/>
    <n v="4"/>
    <n v="645.71"/>
    <n v="0.1"/>
    <n v="2324.556"/>
    <s v="PayPal"/>
    <x v="1"/>
    <x v="0"/>
    <x v="0"/>
  </r>
  <r>
    <x v="3"/>
    <s v="SALE1967"/>
    <x v="39"/>
    <x v="278"/>
    <x v="238"/>
    <x v="39"/>
    <x v="0"/>
    <n v="2"/>
    <n v="924.73"/>
    <n v="0.28999999999999998"/>
    <n v="1313.1166000000001"/>
    <s v="PayPal"/>
    <x v="0"/>
    <x v="0"/>
    <x v="0"/>
  </r>
  <r>
    <x v="3"/>
    <s v="SALE850"/>
    <x v="88"/>
    <x v="279"/>
    <x v="220"/>
    <x v="88"/>
    <x v="2"/>
    <n v="1"/>
    <n v="935.78"/>
    <n v="0.03"/>
    <n v="907.70659999999998"/>
    <s v="PayPal"/>
    <x v="1"/>
    <x v="0"/>
    <x v="3"/>
  </r>
  <r>
    <x v="3"/>
    <s v="SALE1610"/>
    <x v="40"/>
    <x v="141"/>
    <x v="29"/>
    <x v="40"/>
    <x v="4"/>
    <n v="2"/>
    <n v="895.92"/>
    <n v="0.15"/>
    <n v="1523.0640000000001"/>
    <s v="Credit Card"/>
    <x v="1"/>
    <x v="0"/>
    <x v="1"/>
  </r>
  <r>
    <x v="3"/>
    <s v="SALE1352"/>
    <x v="40"/>
    <x v="224"/>
    <x v="3"/>
    <x v="40"/>
    <x v="4"/>
    <n v="4"/>
    <n v="136.4"/>
    <n v="0.04"/>
    <n v="523.77599999999995"/>
    <s v="COD"/>
    <x v="0"/>
    <x v="0"/>
    <x v="0"/>
  </r>
  <r>
    <x v="3"/>
    <s v="SALE751"/>
    <x v="42"/>
    <x v="280"/>
    <x v="106"/>
    <x v="42"/>
    <x v="3"/>
    <n v="2"/>
    <n v="838.59"/>
    <n v="0.18"/>
    <n v="1375.2876000000001"/>
    <s v="COD"/>
    <x v="0"/>
    <x v="0"/>
    <x v="1"/>
  </r>
  <r>
    <x v="3"/>
    <s v="SALE1552"/>
    <x v="43"/>
    <x v="133"/>
    <x v="74"/>
    <x v="43"/>
    <x v="3"/>
    <n v="4"/>
    <n v="871.2"/>
    <n v="0.28999999999999998"/>
    <n v="2474.2080000000001"/>
    <s v="Credit Card"/>
    <x v="1"/>
    <x v="0"/>
    <x v="2"/>
  </r>
  <r>
    <x v="3"/>
    <s v="SALE952"/>
    <x v="43"/>
    <x v="281"/>
    <x v="248"/>
    <x v="43"/>
    <x v="3"/>
    <n v="3"/>
    <n v="488.37"/>
    <n v="0.27"/>
    <n v="1069.5302999999999"/>
    <s v="COD"/>
    <x v="1"/>
    <x v="0"/>
    <x v="2"/>
  </r>
  <r>
    <x v="3"/>
    <s v="SALE301"/>
    <x v="44"/>
    <x v="282"/>
    <x v="249"/>
    <x v="44"/>
    <x v="0"/>
    <n v="3"/>
    <n v="803.76"/>
    <n v="0.19"/>
    <n v="1953.1368"/>
    <s v="COD"/>
    <x v="1"/>
    <x v="0"/>
    <x v="1"/>
  </r>
  <r>
    <x v="3"/>
    <s v="SALE104"/>
    <x v="50"/>
    <x v="283"/>
    <x v="250"/>
    <x v="50"/>
    <x v="2"/>
    <n v="2"/>
    <n v="879.63"/>
    <n v="7.0000000000000007E-2"/>
    <n v="1636.1117999999999"/>
    <s v="COD"/>
    <x v="1"/>
    <x v="0"/>
    <x v="0"/>
  </r>
  <r>
    <x v="3"/>
    <s v="SALE1970"/>
    <x v="50"/>
    <x v="284"/>
    <x v="165"/>
    <x v="50"/>
    <x v="2"/>
    <n v="2"/>
    <n v="494.35"/>
    <n v="0.1"/>
    <n v="889.83"/>
    <s v="Credit Card"/>
    <x v="0"/>
    <x v="0"/>
    <x v="3"/>
  </r>
  <r>
    <x v="3"/>
    <s v="SALE1204"/>
    <x v="51"/>
    <x v="285"/>
    <x v="203"/>
    <x v="51"/>
    <x v="2"/>
    <n v="4"/>
    <n v="565.51"/>
    <n v="0.16"/>
    <n v="1900.1135999999999"/>
    <s v="PayPal"/>
    <x v="1"/>
    <x v="0"/>
    <x v="2"/>
  </r>
  <r>
    <x v="3"/>
    <s v="SALE1294"/>
    <x v="53"/>
    <x v="286"/>
    <x v="84"/>
    <x v="53"/>
    <x v="1"/>
    <n v="3"/>
    <n v="539.44000000000005"/>
    <n v="0.05"/>
    <n v="1537.404"/>
    <s v="COD"/>
    <x v="1"/>
    <x v="0"/>
    <x v="1"/>
  </r>
  <r>
    <x v="3"/>
    <s v="SALE59"/>
    <x v="53"/>
    <x v="287"/>
    <x v="251"/>
    <x v="53"/>
    <x v="1"/>
    <n v="1"/>
    <n v="996.33"/>
    <n v="0.23"/>
    <n v="767.17410000000007"/>
    <s v="PayPal"/>
    <x v="0"/>
    <x v="0"/>
    <x v="2"/>
  </r>
  <r>
    <x v="3"/>
    <s v="SALE1395"/>
    <x v="54"/>
    <x v="288"/>
    <x v="99"/>
    <x v="54"/>
    <x v="0"/>
    <n v="1"/>
    <n v="413.65"/>
    <n v="0.1"/>
    <n v="372.28500000000003"/>
    <s v="COD"/>
    <x v="1"/>
    <x v="0"/>
    <x v="1"/>
  </r>
  <r>
    <x v="3"/>
    <s v="SALE461"/>
    <x v="55"/>
    <x v="205"/>
    <x v="252"/>
    <x v="55"/>
    <x v="4"/>
    <n v="4"/>
    <n v="202.46"/>
    <n v="0.24"/>
    <n v="615.47840000000008"/>
    <s v="Credit Card"/>
    <x v="1"/>
    <x v="0"/>
    <x v="0"/>
  </r>
  <r>
    <x v="3"/>
    <s v="SALE552"/>
    <x v="56"/>
    <x v="44"/>
    <x v="253"/>
    <x v="56"/>
    <x v="2"/>
    <n v="3"/>
    <n v="862.18"/>
    <n v="0.22"/>
    <n v="2017.5011999999999"/>
    <s v="PayPal"/>
    <x v="0"/>
    <x v="0"/>
    <x v="4"/>
  </r>
  <r>
    <x v="3"/>
    <s v="SALE799"/>
    <x v="56"/>
    <x v="289"/>
    <x v="201"/>
    <x v="56"/>
    <x v="2"/>
    <n v="4"/>
    <n v="23.57"/>
    <n v="0.1"/>
    <n v="84.852000000000004"/>
    <s v="Credit Card"/>
    <x v="1"/>
    <x v="0"/>
    <x v="2"/>
  </r>
  <r>
    <x v="3"/>
    <s v="SALE1046"/>
    <x v="56"/>
    <x v="168"/>
    <x v="162"/>
    <x v="56"/>
    <x v="2"/>
    <n v="1"/>
    <n v="209.39"/>
    <n v="0.28000000000000003"/>
    <n v="150.76079999999999"/>
    <s v="PayPal"/>
    <x v="0"/>
    <x v="0"/>
    <x v="3"/>
  </r>
  <r>
    <x v="3"/>
    <s v="SALE617"/>
    <x v="57"/>
    <x v="120"/>
    <x v="250"/>
    <x v="57"/>
    <x v="1"/>
    <n v="3"/>
    <n v="265.89"/>
    <n v="0.08"/>
    <n v="733.85640000000001"/>
    <s v="COD"/>
    <x v="1"/>
    <x v="0"/>
    <x v="0"/>
  </r>
  <r>
    <x v="3"/>
    <s v="SALE1485"/>
    <x v="57"/>
    <x v="117"/>
    <x v="160"/>
    <x v="57"/>
    <x v="1"/>
    <n v="1"/>
    <n v="861.5"/>
    <n v="0.05"/>
    <n v="818.42499999999995"/>
    <s v="COD"/>
    <x v="1"/>
    <x v="0"/>
    <x v="0"/>
  </r>
  <r>
    <x v="3"/>
    <s v="SALE1322"/>
    <x v="57"/>
    <x v="290"/>
    <x v="254"/>
    <x v="57"/>
    <x v="1"/>
    <n v="3"/>
    <n v="206.84"/>
    <n v="0.19"/>
    <n v="502.62119999999999"/>
    <s v="PayPal"/>
    <x v="0"/>
    <x v="0"/>
    <x v="0"/>
  </r>
  <r>
    <x v="3"/>
    <s v="SALE1195"/>
    <x v="57"/>
    <x v="291"/>
    <x v="255"/>
    <x v="57"/>
    <x v="1"/>
    <n v="3"/>
    <n v="845.67"/>
    <n v="0.12"/>
    <n v="2232.5688"/>
    <s v="COD"/>
    <x v="1"/>
    <x v="0"/>
    <x v="3"/>
  </r>
  <r>
    <x v="3"/>
    <s v="SALE1480"/>
    <x v="79"/>
    <x v="292"/>
    <x v="256"/>
    <x v="79"/>
    <x v="3"/>
    <n v="2"/>
    <n v="181.42"/>
    <n v="0.08"/>
    <n v="333.81279999999998"/>
    <s v="PayPal"/>
    <x v="0"/>
    <x v="0"/>
    <x v="3"/>
  </r>
  <r>
    <x v="3"/>
    <s v="SALE1332"/>
    <x v="94"/>
    <x v="53"/>
    <x v="257"/>
    <x v="94"/>
    <x v="0"/>
    <n v="4"/>
    <n v="862.67"/>
    <n v="0.2"/>
    <n v="2760.5439999999999"/>
    <s v="PayPal"/>
    <x v="1"/>
    <x v="0"/>
    <x v="1"/>
  </r>
  <r>
    <x v="3"/>
    <s v="SALE361"/>
    <x v="94"/>
    <x v="293"/>
    <x v="258"/>
    <x v="94"/>
    <x v="0"/>
    <n v="1"/>
    <n v="645.48"/>
    <n v="0.26"/>
    <n v="477.65519999999998"/>
    <s v="COD"/>
    <x v="1"/>
    <x v="0"/>
    <x v="2"/>
  </r>
  <r>
    <x v="3"/>
    <s v="SALE1500"/>
    <x v="80"/>
    <x v="183"/>
    <x v="34"/>
    <x v="80"/>
    <x v="2"/>
    <n v="1"/>
    <n v="736.54"/>
    <n v="0.16"/>
    <n v="618.69359999999995"/>
    <s v="PayPal"/>
    <x v="1"/>
    <x v="0"/>
    <x v="0"/>
  </r>
  <r>
    <x v="4"/>
    <s v="SALE1900"/>
    <x v="81"/>
    <x v="294"/>
    <x v="259"/>
    <x v="81"/>
    <x v="4"/>
    <n v="2"/>
    <n v="237.59"/>
    <n v="0.12"/>
    <n v="418.15839999999997"/>
    <s v="Credit Card"/>
    <x v="0"/>
    <x v="0"/>
    <x v="0"/>
  </r>
  <r>
    <x v="4"/>
    <s v="SALE837"/>
    <x v="60"/>
    <x v="160"/>
    <x v="39"/>
    <x v="60"/>
    <x v="2"/>
    <n v="3"/>
    <n v="240.27"/>
    <n v="0.15"/>
    <n v="612.68850000000009"/>
    <s v="PayPal"/>
    <x v="1"/>
    <x v="0"/>
    <x v="1"/>
  </r>
  <r>
    <x v="4"/>
    <s v="SALE1476"/>
    <x v="60"/>
    <x v="213"/>
    <x v="180"/>
    <x v="60"/>
    <x v="2"/>
    <n v="4"/>
    <n v="228.98"/>
    <n v="0.22"/>
    <n v="714.41759999999999"/>
    <s v="PayPal"/>
    <x v="1"/>
    <x v="0"/>
    <x v="2"/>
  </r>
  <r>
    <x v="4"/>
    <s v="SALE1754"/>
    <x v="0"/>
    <x v="215"/>
    <x v="260"/>
    <x v="0"/>
    <x v="0"/>
    <n v="1"/>
    <n v="470.18"/>
    <n v="0.19"/>
    <n v="380.84580000000011"/>
    <s v="PayPal"/>
    <x v="1"/>
    <x v="0"/>
    <x v="1"/>
  </r>
  <r>
    <x v="4"/>
    <s v="SALE1973"/>
    <x v="2"/>
    <x v="295"/>
    <x v="186"/>
    <x v="2"/>
    <x v="2"/>
    <n v="1"/>
    <n v="68.209999999999994"/>
    <n v="0.05"/>
    <n v="64.799499999999995"/>
    <s v="PayPal"/>
    <x v="1"/>
    <x v="0"/>
    <x v="3"/>
  </r>
  <r>
    <x v="4"/>
    <s v="SALE1642"/>
    <x v="2"/>
    <x v="296"/>
    <x v="261"/>
    <x v="2"/>
    <x v="2"/>
    <n v="2"/>
    <n v="403.2"/>
    <n v="0.21"/>
    <n v="637.05600000000004"/>
    <s v="PayPal"/>
    <x v="1"/>
    <x v="0"/>
    <x v="3"/>
  </r>
  <r>
    <x v="4"/>
    <s v="SALE1539"/>
    <x v="62"/>
    <x v="297"/>
    <x v="262"/>
    <x v="62"/>
    <x v="0"/>
    <n v="4"/>
    <n v="935.98"/>
    <n v="0.11"/>
    <n v="3332.0888"/>
    <s v="PayPal"/>
    <x v="1"/>
    <x v="0"/>
    <x v="3"/>
  </r>
  <r>
    <x v="4"/>
    <s v="SALE1493"/>
    <x v="4"/>
    <x v="298"/>
    <x v="115"/>
    <x v="4"/>
    <x v="3"/>
    <n v="2"/>
    <n v="428.55"/>
    <n v="0"/>
    <n v="857.1"/>
    <s v="PayPal"/>
    <x v="0"/>
    <x v="0"/>
    <x v="0"/>
  </r>
  <r>
    <x v="4"/>
    <s v="SALE1381"/>
    <x v="5"/>
    <x v="193"/>
    <x v="263"/>
    <x v="5"/>
    <x v="4"/>
    <n v="4"/>
    <n v="455.49"/>
    <n v="0.17"/>
    <n v="1512.2267999999999"/>
    <s v="Credit Card"/>
    <x v="1"/>
    <x v="0"/>
    <x v="3"/>
  </r>
  <r>
    <x v="4"/>
    <s v="SALE1187"/>
    <x v="5"/>
    <x v="299"/>
    <x v="151"/>
    <x v="5"/>
    <x v="4"/>
    <n v="3"/>
    <n v="99.77"/>
    <n v="0.01"/>
    <n v="296.31689999999998"/>
    <s v="PayPal"/>
    <x v="1"/>
    <x v="0"/>
    <x v="1"/>
  </r>
  <r>
    <x v="4"/>
    <s v="SALE1879"/>
    <x v="82"/>
    <x v="120"/>
    <x v="264"/>
    <x v="82"/>
    <x v="4"/>
    <n v="3"/>
    <n v="24.29"/>
    <n v="0.12"/>
    <n v="64.125600000000006"/>
    <s v="PayPal"/>
    <x v="0"/>
    <x v="0"/>
    <x v="0"/>
  </r>
  <r>
    <x v="4"/>
    <s v="SALE1577"/>
    <x v="7"/>
    <x v="109"/>
    <x v="265"/>
    <x v="7"/>
    <x v="3"/>
    <n v="4"/>
    <n v="659.17"/>
    <n v="0.12"/>
    <n v="2320.2784000000001"/>
    <s v="Credit Card"/>
    <x v="0"/>
    <x v="0"/>
    <x v="3"/>
  </r>
  <r>
    <x v="4"/>
    <s v="SALE1096"/>
    <x v="7"/>
    <x v="17"/>
    <x v="266"/>
    <x v="7"/>
    <x v="3"/>
    <n v="1"/>
    <n v="99.35"/>
    <n v="0.08"/>
    <n v="91.402000000000001"/>
    <s v="COD"/>
    <x v="1"/>
    <x v="0"/>
    <x v="2"/>
  </r>
  <r>
    <x v="4"/>
    <s v="SALE1803"/>
    <x v="8"/>
    <x v="73"/>
    <x v="267"/>
    <x v="8"/>
    <x v="2"/>
    <n v="3"/>
    <n v="587.12"/>
    <n v="0.3"/>
    <n v="1232.952"/>
    <s v="Credit Card"/>
    <x v="0"/>
    <x v="0"/>
    <x v="1"/>
  </r>
  <r>
    <x v="4"/>
    <s v="SALE1521"/>
    <x v="8"/>
    <x v="300"/>
    <x v="215"/>
    <x v="8"/>
    <x v="2"/>
    <n v="1"/>
    <n v="440.48"/>
    <n v="0.11"/>
    <n v="392.02720000000011"/>
    <s v="COD"/>
    <x v="1"/>
    <x v="0"/>
    <x v="2"/>
  </r>
  <r>
    <x v="4"/>
    <s v="SALE1993"/>
    <x v="8"/>
    <x v="301"/>
    <x v="268"/>
    <x v="8"/>
    <x v="2"/>
    <n v="3"/>
    <n v="984.12"/>
    <n v="0.27"/>
    <n v="2155.2228"/>
    <s v="Credit Card"/>
    <x v="0"/>
    <x v="0"/>
    <x v="0"/>
  </r>
  <r>
    <x v="4"/>
    <s v="SALE991"/>
    <x v="9"/>
    <x v="269"/>
    <x v="44"/>
    <x v="9"/>
    <x v="3"/>
    <n v="1"/>
    <n v="904.92"/>
    <n v="0.13"/>
    <n v="787.28039999999999"/>
    <s v="Credit Card"/>
    <x v="0"/>
    <x v="0"/>
    <x v="1"/>
  </r>
  <r>
    <x v="4"/>
    <s v="SALE655"/>
    <x v="9"/>
    <x v="286"/>
    <x v="130"/>
    <x v="9"/>
    <x v="3"/>
    <n v="4"/>
    <n v="411.68"/>
    <n v="0.06"/>
    <n v="1547.9168"/>
    <s v="PayPal"/>
    <x v="0"/>
    <x v="0"/>
    <x v="2"/>
  </r>
  <r>
    <x v="4"/>
    <s v="SALE1786"/>
    <x v="64"/>
    <x v="302"/>
    <x v="269"/>
    <x v="64"/>
    <x v="3"/>
    <n v="2"/>
    <n v="722.06"/>
    <n v="7.0000000000000007E-2"/>
    <n v="1343.0316"/>
    <s v="Credit Card"/>
    <x v="1"/>
    <x v="0"/>
    <x v="0"/>
  </r>
  <r>
    <x v="4"/>
    <s v="SALE1665"/>
    <x v="64"/>
    <x v="228"/>
    <x v="270"/>
    <x v="64"/>
    <x v="3"/>
    <n v="3"/>
    <n v="304.67"/>
    <n v="0.11"/>
    <n v="813.46889999999996"/>
    <s v="Credit Card"/>
    <x v="1"/>
    <x v="0"/>
    <x v="1"/>
  </r>
  <r>
    <x v="4"/>
    <s v="SALE353"/>
    <x v="10"/>
    <x v="10"/>
    <x v="115"/>
    <x v="10"/>
    <x v="4"/>
    <n v="4"/>
    <n v="175.91"/>
    <n v="0.13"/>
    <n v="612.16679999999997"/>
    <s v="PayPal"/>
    <x v="0"/>
    <x v="0"/>
    <x v="0"/>
  </r>
  <r>
    <x v="4"/>
    <s v="SALE498"/>
    <x v="10"/>
    <x v="303"/>
    <x v="144"/>
    <x v="10"/>
    <x v="4"/>
    <n v="2"/>
    <n v="583.51"/>
    <n v="0.2"/>
    <n v="933.61599999999999"/>
    <s v="COD"/>
    <x v="1"/>
    <x v="0"/>
    <x v="3"/>
  </r>
  <r>
    <x v="4"/>
    <s v="SALE591"/>
    <x v="67"/>
    <x v="304"/>
    <x v="61"/>
    <x v="67"/>
    <x v="1"/>
    <n v="3"/>
    <n v="622.72"/>
    <n v="0.04"/>
    <n v="1793.4336000000001"/>
    <s v="Credit Card"/>
    <x v="0"/>
    <x v="0"/>
    <x v="1"/>
  </r>
  <r>
    <x v="4"/>
    <s v="SALE1434"/>
    <x v="67"/>
    <x v="305"/>
    <x v="26"/>
    <x v="67"/>
    <x v="1"/>
    <n v="4"/>
    <n v="303.56"/>
    <n v="0.2"/>
    <n v="971.39200000000005"/>
    <s v="COD"/>
    <x v="1"/>
    <x v="0"/>
    <x v="3"/>
  </r>
  <r>
    <x v="4"/>
    <s v="SALE1234"/>
    <x v="16"/>
    <x v="74"/>
    <x v="161"/>
    <x v="16"/>
    <x v="0"/>
    <n v="4"/>
    <n v="94.13"/>
    <n v="0.04"/>
    <n v="361.45920000000001"/>
    <s v="COD"/>
    <x v="1"/>
    <x v="0"/>
    <x v="2"/>
  </r>
  <r>
    <x v="4"/>
    <s v="SALE126"/>
    <x v="17"/>
    <x v="306"/>
    <x v="11"/>
    <x v="17"/>
    <x v="2"/>
    <n v="1"/>
    <n v="996.48"/>
    <n v="7.0000000000000007E-2"/>
    <n v="926.7263999999999"/>
    <s v="COD"/>
    <x v="1"/>
    <x v="0"/>
    <x v="2"/>
  </r>
  <r>
    <x v="4"/>
    <s v="SALE1925"/>
    <x v="17"/>
    <x v="307"/>
    <x v="271"/>
    <x v="17"/>
    <x v="2"/>
    <n v="2"/>
    <n v="338.81"/>
    <n v="7.0000000000000007E-2"/>
    <n v="630.1866"/>
    <s v="COD"/>
    <x v="0"/>
    <x v="0"/>
    <x v="1"/>
  </r>
  <r>
    <x v="4"/>
    <s v="SALE1054"/>
    <x v="17"/>
    <x v="308"/>
    <x v="190"/>
    <x v="17"/>
    <x v="2"/>
    <n v="3"/>
    <n v="471.31"/>
    <n v="0"/>
    <n v="1413.93"/>
    <s v="PayPal"/>
    <x v="1"/>
    <x v="0"/>
    <x v="1"/>
  </r>
  <r>
    <x v="4"/>
    <s v="SALE436"/>
    <x v="19"/>
    <x v="309"/>
    <x v="272"/>
    <x v="19"/>
    <x v="4"/>
    <n v="4"/>
    <n v="747.56"/>
    <n v="0.09"/>
    <n v="2721.1183999999998"/>
    <s v="COD"/>
    <x v="1"/>
    <x v="0"/>
    <x v="3"/>
  </r>
  <r>
    <x v="4"/>
    <s v="SALE1557"/>
    <x v="19"/>
    <x v="250"/>
    <x v="140"/>
    <x v="19"/>
    <x v="4"/>
    <n v="4"/>
    <n v="332.97"/>
    <n v="0.28000000000000003"/>
    <n v="958.95360000000005"/>
    <s v="Credit Card"/>
    <x v="1"/>
    <x v="0"/>
    <x v="0"/>
  </r>
  <r>
    <x v="4"/>
    <s v="SALE305"/>
    <x v="20"/>
    <x v="310"/>
    <x v="273"/>
    <x v="20"/>
    <x v="3"/>
    <n v="4"/>
    <n v="619.74"/>
    <n v="0.13"/>
    <n v="2156.6952000000001"/>
    <s v="COD"/>
    <x v="1"/>
    <x v="0"/>
    <x v="0"/>
  </r>
  <r>
    <x v="4"/>
    <s v="SALE1677"/>
    <x v="20"/>
    <x v="311"/>
    <x v="192"/>
    <x v="20"/>
    <x v="3"/>
    <n v="1"/>
    <n v="21.14"/>
    <n v="0.06"/>
    <n v="19.871600000000001"/>
    <s v="COD"/>
    <x v="0"/>
    <x v="0"/>
    <x v="2"/>
  </r>
  <r>
    <x v="4"/>
    <s v="SALE1670"/>
    <x v="20"/>
    <x v="119"/>
    <x v="217"/>
    <x v="20"/>
    <x v="3"/>
    <n v="2"/>
    <n v="960.81"/>
    <n v="0.28000000000000003"/>
    <n v="1383.5663999999999"/>
    <s v="PayPal"/>
    <x v="0"/>
    <x v="0"/>
    <x v="3"/>
  </r>
  <r>
    <x v="4"/>
    <s v="SALE411"/>
    <x v="21"/>
    <x v="89"/>
    <x v="274"/>
    <x v="21"/>
    <x v="0"/>
    <n v="1"/>
    <n v="770.87"/>
    <n v="0.1"/>
    <n v="693.78300000000002"/>
    <s v="COD"/>
    <x v="0"/>
    <x v="0"/>
    <x v="3"/>
  </r>
  <r>
    <x v="4"/>
    <s v="SALE1648"/>
    <x v="21"/>
    <x v="28"/>
    <x v="30"/>
    <x v="21"/>
    <x v="0"/>
    <n v="4"/>
    <n v="721.54"/>
    <n v="0.21"/>
    <n v="2280.0664000000002"/>
    <s v="Credit Card"/>
    <x v="1"/>
    <x v="0"/>
    <x v="3"/>
  </r>
  <r>
    <x v="4"/>
    <s v="SALE180"/>
    <x v="21"/>
    <x v="134"/>
    <x v="217"/>
    <x v="21"/>
    <x v="0"/>
    <n v="3"/>
    <n v="954.29"/>
    <n v="0.27"/>
    <n v="2089.8951000000002"/>
    <s v="Credit Card"/>
    <x v="0"/>
    <x v="0"/>
    <x v="3"/>
  </r>
  <r>
    <x v="4"/>
    <s v="SALE909"/>
    <x v="95"/>
    <x v="312"/>
    <x v="23"/>
    <x v="95"/>
    <x v="4"/>
    <n v="1"/>
    <n v="221.7"/>
    <n v="0.04"/>
    <n v="212.83199999999999"/>
    <s v="Credit Card"/>
    <x v="1"/>
    <x v="0"/>
    <x v="1"/>
  </r>
  <r>
    <x v="4"/>
    <s v="SALE781"/>
    <x v="22"/>
    <x v="64"/>
    <x v="275"/>
    <x v="22"/>
    <x v="0"/>
    <n v="4"/>
    <n v="95.06"/>
    <n v="0.03"/>
    <n v="368.83280000000002"/>
    <s v="Credit Card"/>
    <x v="1"/>
    <x v="0"/>
    <x v="2"/>
  </r>
  <r>
    <x v="4"/>
    <s v="SALE1499"/>
    <x v="96"/>
    <x v="313"/>
    <x v="23"/>
    <x v="96"/>
    <x v="3"/>
    <n v="2"/>
    <n v="581.19000000000005"/>
    <n v="7.0000000000000007E-2"/>
    <n v="1081.0134"/>
    <s v="COD"/>
    <x v="1"/>
    <x v="0"/>
    <x v="1"/>
  </r>
  <r>
    <x v="4"/>
    <s v="SALE1777"/>
    <x v="23"/>
    <x v="314"/>
    <x v="114"/>
    <x v="23"/>
    <x v="0"/>
    <n v="3"/>
    <n v="605.83000000000004"/>
    <n v="0.28000000000000003"/>
    <n v="1308.5927999999999"/>
    <s v="COD"/>
    <x v="1"/>
    <x v="0"/>
    <x v="1"/>
  </r>
  <r>
    <x v="4"/>
    <s v="SALE44"/>
    <x v="68"/>
    <x v="315"/>
    <x v="276"/>
    <x v="68"/>
    <x v="0"/>
    <n v="2"/>
    <n v="209.32"/>
    <n v="0.23"/>
    <n v="322.3528"/>
    <s v="COD"/>
    <x v="0"/>
    <x v="0"/>
    <x v="1"/>
  </r>
  <r>
    <x v="4"/>
    <s v="SALE1378"/>
    <x v="26"/>
    <x v="316"/>
    <x v="277"/>
    <x v="26"/>
    <x v="1"/>
    <n v="2"/>
    <n v="591.33000000000004"/>
    <n v="0.24"/>
    <n v="898.8216000000001"/>
    <s v="Credit Card"/>
    <x v="0"/>
    <x v="0"/>
    <x v="3"/>
  </r>
  <r>
    <x v="4"/>
    <s v="SALE132"/>
    <x v="83"/>
    <x v="317"/>
    <x v="35"/>
    <x v="83"/>
    <x v="0"/>
    <n v="4"/>
    <n v="950.04"/>
    <n v="0.13"/>
    <n v="3306.1392000000001"/>
    <s v="PayPal"/>
    <x v="1"/>
    <x v="0"/>
    <x v="0"/>
  </r>
  <r>
    <x v="4"/>
    <s v="SALE149"/>
    <x v="28"/>
    <x v="318"/>
    <x v="242"/>
    <x v="28"/>
    <x v="4"/>
    <n v="3"/>
    <n v="513.36"/>
    <n v="7.0000000000000007E-2"/>
    <n v="1432.2744"/>
    <s v="COD"/>
    <x v="1"/>
    <x v="0"/>
    <x v="3"/>
  </r>
  <r>
    <x v="4"/>
    <s v="SALE1310"/>
    <x v="29"/>
    <x v="106"/>
    <x v="278"/>
    <x v="29"/>
    <x v="3"/>
    <n v="2"/>
    <n v="520.45000000000005"/>
    <n v="0.11"/>
    <n v="926.40100000000007"/>
    <s v="COD"/>
    <x v="1"/>
    <x v="0"/>
    <x v="2"/>
  </r>
  <r>
    <x v="4"/>
    <s v="SALE304"/>
    <x v="84"/>
    <x v="174"/>
    <x v="246"/>
    <x v="84"/>
    <x v="0"/>
    <n v="3"/>
    <n v="781.39"/>
    <n v="0.12"/>
    <n v="2062.8696"/>
    <s v="Credit Card"/>
    <x v="0"/>
    <x v="0"/>
    <x v="1"/>
  </r>
  <r>
    <x v="4"/>
    <s v="SALE1885"/>
    <x v="84"/>
    <x v="22"/>
    <x v="279"/>
    <x v="84"/>
    <x v="0"/>
    <n v="1"/>
    <n v="891.62"/>
    <n v="0.06"/>
    <n v="838.12279999999998"/>
    <s v="PayPal"/>
    <x v="0"/>
    <x v="0"/>
    <x v="0"/>
  </r>
  <r>
    <x v="4"/>
    <s v="SALE31"/>
    <x v="70"/>
    <x v="319"/>
    <x v="280"/>
    <x v="70"/>
    <x v="4"/>
    <n v="2"/>
    <n v="148.96"/>
    <n v="0.03"/>
    <n v="288.98239999999998"/>
    <s v="COD"/>
    <x v="1"/>
    <x v="0"/>
    <x v="3"/>
  </r>
  <r>
    <x v="4"/>
    <s v="SALE1186"/>
    <x v="30"/>
    <x v="320"/>
    <x v="281"/>
    <x v="30"/>
    <x v="3"/>
    <n v="4"/>
    <n v="705.12"/>
    <n v="0.15"/>
    <n v="2397.4079999999999"/>
    <s v="PayPal"/>
    <x v="1"/>
    <x v="0"/>
    <x v="2"/>
  </r>
  <r>
    <x v="4"/>
    <s v="SALE164"/>
    <x v="30"/>
    <x v="321"/>
    <x v="60"/>
    <x v="30"/>
    <x v="3"/>
    <n v="4"/>
    <n v="164.04"/>
    <n v="0.26"/>
    <n v="485.55839999999989"/>
    <s v="Credit Card"/>
    <x v="0"/>
    <x v="0"/>
    <x v="3"/>
  </r>
  <r>
    <x v="4"/>
    <s v="SALE1719"/>
    <x v="31"/>
    <x v="274"/>
    <x v="74"/>
    <x v="31"/>
    <x v="2"/>
    <n v="1"/>
    <n v="846.3"/>
    <n v="0.14000000000000001"/>
    <n v="727.81799999999998"/>
    <s v="PayPal"/>
    <x v="1"/>
    <x v="0"/>
    <x v="2"/>
  </r>
  <r>
    <x v="4"/>
    <s v="SALE1772"/>
    <x v="31"/>
    <x v="0"/>
    <x v="282"/>
    <x v="31"/>
    <x v="2"/>
    <n v="1"/>
    <n v="967.76"/>
    <n v="0.09"/>
    <n v="880.66160000000002"/>
    <s v="Credit Card"/>
    <x v="0"/>
    <x v="0"/>
    <x v="2"/>
  </r>
  <r>
    <x v="4"/>
    <s v="SALE1453"/>
    <x v="32"/>
    <x v="101"/>
    <x v="89"/>
    <x v="32"/>
    <x v="2"/>
    <n v="3"/>
    <n v="560.52"/>
    <n v="0.17"/>
    <n v="1395.6948"/>
    <s v="Credit Card"/>
    <x v="1"/>
    <x v="0"/>
    <x v="3"/>
  </r>
  <r>
    <x v="4"/>
    <s v="SALE1580"/>
    <x v="33"/>
    <x v="93"/>
    <x v="283"/>
    <x v="33"/>
    <x v="4"/>
    <n v="2"/>
    <n v="485.17"/>
    <n v="0.11"/>
    <n v="863.60260000000005"/>
    <s v="PayPal"/>
    <x v="0"/>
    <x v="0"/>
    <x v="3"/>
  </r>
  <r>
    <x v="4"/>
    <s v="SALE1483"/>
    <x v="97"/>
    <x v="190"/>
    <x v="159"/>
    <x v="97"/>
    <x v="1"/>
    <n v="1"/>
    <n v="758.89"/>
    <n v="0.1"/>
    <n v="683.00099999999998"/>
    <s v="Credit Card"/>
    <x v="0"/>
    <x v="0"/>
    <x v="2"/>
  </r>
  <r>
    <x v="4"/>
    <s v="SALE1875"/>
    <x v="71"/>
    <x v="52"/>
    <x v="238"/>
    <x v="71"/>
    <x v="1"/>
    <n v="2"/>
    <n v="396.9"/>
    <n v="0.18"/>
    <n v="650.91600000000005"/>
    <s v="PayPal"/>
    <x v="0"/>
    <x v="0"/>
    <x v="0"/>
  </r>
  <r>
    <x v="4"/>
    <s v="SALE1276"/>
    <x v="71"/>
    <x v="18"/>
    <x v="149"/>
    <x v="71"/>
    <x v="1"/>
    <n v="4"/>
    <n v="755.82"/>
    <n v="0.22"/>
    <n v="2358.1583999999998"/>
    <s v="COD"/>
    <x v="0"/>
    <x v="0"/>
    <x v="1"/>
  </r>
  <r>
    <x v="4"/>
    <s v="SALE760"/>
    <x v="87"/>
    <x v="322"/>
    <x v="52"/>
    <x v="87"/>
    <x v="3"/>
    <n v="4"/>
    <n v="731.53"/>
    <n v="0.12"/>
    <n v="2574.9856"/>
    <s v="Credit Card"/>
    <x v="0"/>
    <x v="0"/>
    <x v="2"/>
  </r>
  <r>
    <x v="4"/>
    <s v="SALE240"/>
    <x v="35"/>
    <x v="200"/>
    <x v="238"/>
    <x v="35"/>
    <x v="0"/>
    <n v="3"/>
    <n v="741.33"/>
    <n v="0.03"/>
    <n v="2157.2703000000001"/>
    <s v="Credit Card"/>
    <x v="0"/>
    <x v="0"/>
    <x v="0"/>
  </r>
  <r>
    <x v="4"/>
    <s v="SALE323"/>
    <x v="36"/>
    <x v="225"/>
    <x v="284"/>
    <x v="36"/>
    <x v="1"/>
    <n v="1"/>
    <n v="934.75"/>
    <n v="0.11"/>
    <n v="831.92750000000001"/>
    <s v="PayPal"/>
    <x v="1"/>
    <x v="0"/>
    <x v="1"/>
  </r>
  <r>
    <x v="4"/>
    <s v="SALE931"/>
    <x v="72"/>
    <x v="0"/>
    <x v="172"/>
    <x v="72"/>
    <x v="3"/>
    <n v="1"/>
    <n v="681.3"/>
    <n v="0.05"/>
    <n v="647.2349999999999"/>
    <s v="Credit Card"/>
    <x v="1"/>
    <x v="0"/>
    <x v="1"/>
  </r>
  <r>
    <x v="4"/>
    <s v="SALE1976"/>
    <x v="38"/>
    <x v="286"/>
    <x v="285"/>
    <x v="38"/>
    <x v="1"/>
    <n v="3"/>
    <n v="685.97"/>
    <n v="0.24"/>
    <n v="1564.0116"/>
    <s v="PayPal"/>
    <x v="0"/>
    <x v="0"/>
    <x v="3"/>
  </r>
  <r>
    <x v="4"/>
    <s v="SALE142"/>
    <x v="38"/>
    <x v="323"/>
    <x v="101"/>
    <x v="38"/>
    <x v="1"/>
    <n v="2"/>
    <n v="975.48"/>
    <n v="0.26"/>
    <n v="1443.7103999999999"/>
    <s v="COD"/>
    <x v="0"/>
    <x v="0"/>
    <x v="2"/>
  </r>
  <r>
    <x v="4"/>
    <s v="SALE231"/>
    <x v="40"/>
    <x v="62"/>
    <x v="286"/>
    <x v="40"/>
    <x v="4"/>
    <n v="4"/>
    <n v="383.74"/>
    <n v="0.01"/>
    <n v="1519.6104"/>
    <s v="Credit Card"/>
    <x v="0"/>
    <x v="0"/>
    <x v="3"/>
  </r>
  <r>
    <x v="4"/>
    <s v="SALE679"/>
    <x v="41"/>
    <x v="324"/>
    <x v="237"/>
    <x v="41"/>
    <x v="2"/>
    <n v="3"/>
    <n v="306.70999999999998"/>
    <n v="0.09"/>
    <n v="837.31829999999991"/>
    <s v="PayPal"/>
    <x v="0"/>
    <x v="0"/>
    <x v="2"/>
  </r>
  <r>
    <x v="4"/>
    <s v="SALE403"/>
    <x v="73"/>
    <x v="325"/>
    <x v="166"/>
    <x v="73"/>
    <x v="1"/>
    <n v="4"/>
    <n v="849.17"/>
    <n v="0.12"/>
    <n v="2989.0783999999999"/>
    <s v="COD"/>
    <x v="1"/>
    <x v="0"/>
    <x v="2"/>
  </r>
  <r>
    <x v="4"/>
    <s v="SALE1856"/>
    <x v="44"/>
    <x v="282"/>
    <x v="152"/>
    <x v="44"/>
    <x v="0"/>
    <n v="3"/>
    <n v="306.52"/>
    <n v="0.01"/>
    <n v="910.36439999999993"/>
    <s v="COD"/>
    <x v="1"/>
    <x v="0"/>
    <x v="2"/>
  </r>
  <r>
    <x v="4"/>
    <s v="SALE628"/>
    <x v="44"/>
    <x v="64"/>
    <x v="204"/>
    <x v="44"/>
    <x v="0"/>
    <n v="3"/>
    <n v="322.94"/>
    <n v="0.01"/>
    <n v="959.13179999999988"/>
    <s v="Credit Card"/>
    <x v="1"/>
    <x v="0"/>
    <x v="0"/>
  </r>
  <r>
    <x v="4"/>
    <s v="SALE1905"/>
    <x v="45"/>
    <x v="326"/>
    <x v="71"/>
    <x v="45"/>
    <x v="4"/>
    <n v="1"/>
    <n v="979.49"/>
    <n v="0.19"/>
    <n v="793.38690000000008"/>
    <s v="COD"/>
    <x v="0"/>
    <x v="0"/>
    <x v="0"/>
  </r>
  <r>
    <x v="4"/>
    <s v="SALE717"/>
    <x v="74"/>
    <x v="327"/>
    <x v="287"/>
    <x v="74"/>
    <x v="0"/>
    <n v="4"/>
    <n v="453.12"/>
    <n v="0.23"/>
    <n v="1395.6096"/>
    <s v="COD"/>
    <x v="0"/>
    <x v="0"/>
    <x v="3"/>
  </r>
  <r>
    <x v="4"/>
    <s v="SALE1899"/>
    <x v="75"/>
    <x v="11"/>
    <x v="228"/>
    <x v="75"/>
    <x v="2"/>
    <n v="1"/>
    <n v="984.37"/>
    <n v="0"/>
    <n v="984.37"/>
    <s v="PayPal"/>
    <x v="0"/>
    <x v="0"/>
    <x v="2"/>
  </r>
  <r>
    <x v="4"/>
    <s v="SALE509"/>
    <x v="75"/>
    <x v="328"/>
    <x v="288"/>
    <x v="75"/>
    <x v="2"/>
    <n v="2"/>
    <n v="616.97"/>
    <n v="0.22"/>
    <n v="962.47320000000002"/>
    <s v="Credit Card"/>
    <x v="0"/>
    <x v="0"/>
    <x v="1"/>
  </r>
  <r>
    <x v="4"/>
    <s v="SALE444"/>
    <x v="75"/>
    <x v="223"/>
    <x v="289"/>
    <x v="75"/>
    <x v="2"/>
    <n v="2"/>
    <n v="130.38999999999999"/>
    <n v="0.17"/>
    <n v="216.44739999999999"/>
    <s v="PayPal"/>
    <x v="1"/>
    <x v="0"/>
    <x v="1"/>
  </r>
  <r>
    <x v="4"/>
    <s v="SALE1921"/>
    <x v="76"/>
    <x v="329"/>
    <x v="218"/>
    <x v="76"/>
    <x v="2"/>
    <n v="4"/>
    <n v="619.35"/>
    <n v="0.3"/>
    <n v="1734.18"/>
    <s v="Credit Card"/>
    <x v="0"/>
    <x v="0"/>
    <x v="2"/>
  </r>
  <r>
    <x v="4"/>
    <s v="SALE102"/>
    <x v="91"/>
    <x v="241"/>
    <x v="290"/>
    <x v="91"/>
    <x v="2"/>
    <n v="2"/>
    <n v="471.88"/>
    <n v="0.24"/>
    <n v="717.25760000000002"/>
    <s v="PayPal"/>
    <x v="0"/>
    <x v="0"/>
    <x v="0"/>
  </r>
  <r>
    <x v="4"/>
    <s v="SALE1841"/>
    <x v="46"/>
    <x v="330"/>
    <x v="291"/>
    <x v="46"/>
    <x v="3"/>
    <n v="2"/>
    <n v="966.71"/>
    <n v="0.11"/>
    <n v="1720.7438"/>
    <s v="Credit Card"/>
    <x v="1"/>
    <x v="0"/>
    <x v="3"/>
  </r>
  <r>
    <x v="4"/>
    <s v="SALE578"/>
    <x v="46"/>
    <x v="331"/>
    <x v="292"/>
    <x v="46"/>
    <x v="3"/>
    <n v="1"/>
    <n v="64.94"/>
    <n v="0.21"/>
    <n v="51.302599999999998"/>
    <s v="PayPal"/>
    <x v="0"/>
    <x v="0"/>
    <x v="1"/>
  </r>
  <r>
    <x v="4"/>
    <s v="SALE1082"/>
    <x v="48"/>
    <x v="97"/>
    <x v="256"/>
    <x v="48"/>
    <x v="1"/>
    <n v="3"/>
    <n v="435.61"/>
    <n v="0.03"/>
    <n v="1267.6251"/>
    <s v="PayPal"/>
    <x v="0"/>
    <x v="0"/>
    <x v="3"/>
  </r>
  <r>
    <x v="4"/>
    <s v="SALE834"/>
    <x v="48"/>
    <x v="332"/>
    <x v="187"/>
    <x v="48"/>
    <x v="1"/>
    <n v="4"/>
    <n v="354.65"/>
    <n v="0.19"/>
    <n v="1149.066"/>
    <s v="Credit Card"/>
    <x v="1"/>
    <x v="0"/>
    <x v="1"/>
  </r>
  <r>
    <x v="4"/>
    <s v="SALE1840"/>
    <x v="48"/>
    <x v="333"/>
    <x v="293"/>
    <x v="48"/>
    <x v="1"/>
    <n v="1"/>
    <n v="163.19999999999999"/>
    <n v="0.22"/>
    <n v="127.29600000000001"/>
    <s v="PayPal"/>
    <x v="1"/>
    <x v="0"/>
    <x v="2"/>
  </r>
  <r>
    <x v="4"/>
    <s v="SALE1060"/>
    <x v="51"/>
    <x v="215"/>
    <x v="294"/>
    <x v="51"/>
    <x v="2"/>
    <n v="2"/>
    <n v="816.22"/>
    <n v="0.27"/>
    <n v="1191.6812"/>
    <s v="Credit Card"/>
    <x v="0"/>
    <x v="0"/>
    <x v="3"/>
  </r>
  <r>
    <x v="4"/>
    <s v="SALE270"/>
    <x v="53"/>
    <x v="334"/>
    <x v="265"/>
    <x v="53"/>
    <x v="1"/>
    <n v="4"/>
    <n v="461.83"/>
    <n v="0.28000000000000003"/>
    <n v="1330.0704000000001"/>
    <s v="PayPal"/>
    <x v="0"/>
    <x v="0"/>
    <x v="3"/>
  </r>
  <r>
    <x v="4"/>
    <s v="SALE63"/>
    <x v="53"/>
    <x v="335"/>
    <x v="291"/>
    <x v="53"/>
    <x v="1"/>
    <n v="2"/>
    <n v="121.37"/>
    <n v="0.05"/>
    <n v="230.60300000000001"/>
    <s v="Credit Card"/>
    <x v="1"/>
    <x v="0"/>
    <x v="3"/>
  </r>
  <r>
    <x v="4"/>
    <s v="SALE1723"/>
    <x v="53"/>
    <x v="80"/>
    <x v="218"/>
    <x v="53"/>
    <x v="1"/>
    <n v="4"/>
    <n v="706.67"/>
    <n v="0.01"/>
    <n v="2798.4132"/>
    <s v="Credit Card"/>
    <x v="0"/>
    <x v="0"/>
    <x v="2"/>
  </r>
  <r>
    <x v="4"/>
    <s v="SALE375"/>
    <x v="92"/>
    <x v="50"/>
    <x v="159"/>
    <x v="92"/>
    <x v="3"/>
    <n v="1"/>
    <n v="306.36"/>
    <n v="0.01"/>
    <n v="303.29640000000001"/>
    <s v="PayPal"/>
    <x v="0"/>
    <x v="0"/>
    <x v="2"/>
  </r>
  <r>
    <x v="4"/>
    <s v="SALE1837"/>
    <x v="92"/>
    <x v="336"/>
    <x v="95"/>
    <x v="92"/>
    <x v="3"/>
    <n v="1"/>
    <n v="829.83"/>
    <n v="0.26"/>
    <n v="614.07420000000002"/>
    <s v="COD"/>
    <x v="1"/>
    <x v="0"/>
    <x v="0"/>
  </r>
  <r>
    <x v="4"/>
    <s v="SALE917"/>
    <x v="92"/>
    <x v="180"/>
    <x v="295"/>
    <x v="92"/>
    <x v="3"/>
    <n v="2"/>
    <n v="309.77999999999997"/>
    <n v="0.16"/>
    <n v="520.43039999999996"/>
    <s v="Credit Card"/>
    <x v="0"/>
    <x v="0"/>
    <x v="2"/>
  </r>
  <r>
    <x v="4"/>
    <s v="SALE565"/>
    <x v="54"/>
    <x v="337"/>
    <x v="126"/>
    <x v="54"/>
    <x v="0"/>
    <n v="1"/>
    <n v="780.16"/>
    <n v="0.02"/>
    <n v="764.55679999999995"/>
    <s v="COD"/>
    <x v="0"/>
    <x v="0"/>
    <x v="1"/>
  </r>
  <r>
    <x v="4"/>
    <s v="SALE777"/>
    <x v="55"/>
    <x v="194"/>
    <x v="50"/>
    <x v="55"/>
    <x v="4"/>
    <n v="2"/>
    <n v="229.81"/>
    <n v="0.21"/>
    <n v="363.09980000000002"/>
    <s v="COD"/>
    <x v="0"/>
    <x v="0"/>
    <x v="2"/>
  </r>
  <r>
    <x v="4"/>
    <s v="SALE1197"/>
    <x v="56"/>
    <x v="338"/>
    <x v="296"/>
    <x v="56"/>
    <x v="2"/>
    <n v="4"/>
    <n v="294.38"/>
    <n v="0.2"/>
    <n v="942.01600000000008"/>
    <s v="Credit Card"/>
    <x v="1"/>
    <x v="0"/>
    <x v="2"/>
  </r>
  <r>
    <x v="4"/>
    <s v="SALE517"/>
    <x v="93"/>
    <x v="136"/>
    <x v="297"/>
    <x v="93"/>
    <x v="0"/>
    <n v="4"/>
    <n v="828.35"/>
    <n v="0.17"/>
    <n v="2750.1219999999998"/>
    <s v="Credit Card"/>
    <x v="1"/>
    <x v="0"/>
    <x v="1"/>
  </r>
  <r>
    <x v="4"/>
    <s v="SALE155"/>
    <x v="93"/>
    <x v="35"/>
    <x v="171"/>
    <x v="93"/>
    <x v="0"/>
    <n v="4"/>
    <n v="986.41"/>
    <n v="0.22"/>
    <n v="3077.5992000000001"/>
    <s v="Credit Card"/>
    <x v="1"/>
    <x v="0"/>
    <x v="2"/>
  </r>
  <r>
    <x v="4"/>
    <s v="SALE368"/>
    <x v="93"/>
    <x v="89"/>
    <x v="112"/>
    <x v="93"/>
    <x v="0"/>
    <n v="2"/>
    <n v="121.7"/>
    <n v="0.06"/>
    <n v="228.79599999999999"/>
    <s v="COD"/>
    <x v="0"/>
    <x v="0"/>
    <x v="1"/>
  </r>
  <r>
    <x v="4"/>
    <s v="SALE398"/>
    <x v="57"/>
    <x v="85"/>
    <x v="298"/>
    <x v="57"/>
    <x v="1"/>
    <n v="2"/>
    <n v="308.7"/>
    <n v="0.2"/>
    <n v="493.92"/>
    <s v="PayPal"/>
    <x v="1"/>
    <x v="0"/>
    <x v="0"/>
  </r>
  <r>
    <x v="4"/>
    <s v="SALE247"/>
    <x v="57"/>
    <x v="59"/>
    <x v="299"/>
    <x v="57"/>
    <x v="1"/>
    <n v="1"/>
    <n v="809.45"/>
    <n v="0.09"/>
    <n v="736.59950000000003"/>
    <s v="COD"/>
    <x v="1"/>
    <x v="0"/>
    <x v="0"/>
  </r>
  <r>
    <x v="4"/>
    <s v="SALE898"/>
    <x v="57"/>
    <x v="339"/>
    <x v="3"/>
    <x v="57"/>
    <x v="1"/>
    <n v="2"/>
    <n v="451.33"/>
    <n v="0.23"/>
    <n v="695.04819999999995"/>
    <s v="COD"/>
    <x v="0"/>
    <x v="0"/>
    <x v="0"/>
  </r>
  <r>
    <x v="4"/>
    <s v="SALE1275"/>
    <x v="58"/>
    <x v="340"/>
    <x v="300"/>
    <x v="58"/>
    <x v="3"/>
    <n v="4"/>
    <n v="816.29"/>
    <n v="0.24"/>
    <n v="2481.5216"/>
    <s v="PayPal"/>
    <x v="1"/>
    <x v="0"/>
    <x v="2"/>
  </r>
  <r>
    <x v="4"/>
    <s v="SALE75"/>
    <x v="79"/>
    <x v="341"/>
    <x v="7"/>
    <x v="79"/>
    <x v="3"/>
    <n v="4"/>
    <n v="700.18"/>
    <n v="0.23"/>
    <n v="2156.5544"/>
    <s v="Credit Card"/>
    <x v="0"/>
    <x v="0"/>
    <x v="0"/>
  </r>
  <r>
    <x v="4"/>
    <s v="SALE1267"/>
    <x v="79"/>
    <x v="77"/>
    <x v="301"/>
    <x v="79"/>
    <x v="3"/>
    <n v="4"/>
    <n v="792.1"/>
    <n v="0.19"/>
    <n v="2566.404"/>
    <s v="COD"/>
    <x v="1"/>
    <x v="0"/>
    <x v="1"/>
  </r>
  <r>
    <x v="4"/>
    <s v="SALE1544"/>
    <x v="80"/>
    <x v="257"/>
    <x v="139"/>
    <x v="80"/>
    <x v="2"/>
    <n v="3"/>
    <n v="831.15"/>
    <n v="0.19"/>
    <n v="2019.6945000000001"/>
    <s v="Credit Card"/>
    <x v="0"/>
    <x v="0"/>
    <x v="2"/>
  </r>
  <r>
    <x v="5"/>
    <s v="SALE1349"/>
    <x v="0"/>
    <x v="342"/>
    <x v="95"/>
    <x v="0"/>
    <x v="0"/>
    <n v="4"/>
    <n v="898.58"/>
    <n v="0.16"/>
    <n v="3019.2287999999999"/>
    <s v="PayPal"/>
    <x v="1"/>
    <x v="0"/>
    <x v="0"/>
  </r>
  <r>
    <x v="5"/>
    <s v="SALE282"/>
    <x v="0"/>
    <x v="343"/>
    <x v="178"/>
    <x v="0"/>
    <x v="0"/>
    <n v="3"/>
    <n v="697.13"/>
    <n v="0.25"/>
    <n v="1568.5425"/>
    <s v="COD"/>
    <x v="1"/>
    <x v="0"/>
    <x v="0"/>
  </r>
  <r>
    <x v="5"/>
    <s v="SALE558"/>
    <x v="61"/>
    <x v="344"/>
    <x v="220"/>
    <x v="61"/>
    <x v="0"/>
    <n v="4"/>
    <n v="539.48"/>
    <n v="0.28000000000000003"/>
    <n v="1553.7023999999999"/>
    <s v="COD"/>
    <x v="1"/>
    <x v="0"/>
    <x v="3"/>
  </r>
  <r>
    <x v="5"/>
    <s v="SALE1613"/>
    <x v="3"/>
    <x v="185"/>
    <x v="302"/>
    <x v="3"/>
    <x v="1"/>
    <n v="3"/>
    <n v="63.19"/>
    <n v="0.08"/>
    <n v="174.40440000000001"/>
    <s v="Credit Card"/>
    <x v="0"/>
    <x v="0"/>
    <x v="1"/>
  </r>
  <r>
    <x v="5"/>
    <s v="SALE1145"/>
    <x v="3"/>
    <x v="345"/>
    <x v="303"/>
    <x v="3"/>
    <x v="1"/>
    <n v="4"/>
    <n v="254.71"/>
    <n v="0.2"/>
    <n v="815.07200000000012"/>
    <s v="COD"/>
    <x v="0"/>
    <x v="0"/>
    <x v="2"/>
  </r>
  <r>
    <x v="5"/>
    <s v="SALE1370"/>
    <x v="5"/>
    <x v="253"/>
    <x v="304"/>
    <x v="5"/>
    <x v="4"/>
    <n v="3"/>
    <n v="928.74"/>
    <n v="0.27"/>
    <n v="2033.9405999999999"/>
    <s v="PayPal"/>
    <x v="1"/>
    <x v="0"/>
    <x v="1"/>
  </r>
  <r>
    <x v="5"/>
    <s v="SALE978"/>
    <x v="6"/>
    <x v="346"/>
    <x v="305"/>
    <x v="6"/>
    <x v="3"/>
    <n v="3"/>
    <n v="677.46"/>
    <n v="0.05"/>
    <n v="1930.761"/>
    <s v="Credit Card"/>
    <x v="0"/>
    <x v="0"/>
    <x v="1"/>
  </r>
  <r>
    <x v="5"/>
    <s v="SALE1927"/>
    <x v="6"/>
    <x v="347"/>
    <x v="221"/>
    <x v="6"/>
    <x v="3"/>
    <n v="3"/>
    <n v="941.85"/>
    <n v="0.16"/>
    <n v="2373.462"/>
    <s v="PayPal"/>
    <x v="1"/>
    <x v="0"/>
    <x v="1"/>
  </r>
  <r>
    <x v="5"/>
    <s v="SALE1515"/>
    <x v="7"/>
    <x v="348"/>
    <x v="306"/>
    <x v="7"/>
    <x v="3"/>
    <n v="1"/>
    <n v="136.12"/>
    <n v="7.0000000000000007E-2"/>
    <n v="126.5916"/>
    <s v="Credit Card"/>
    <x v="1"/>
    <x v="0"/>
    <x v="1"/>
  </r>
  <r>
    <x v="5"/>
    <s v="SALE1812"/>
    <x v="8"/>
    <x v="123"/>
    <x v="98"/>
    <x v="8"/>
    <x v="2"/>
    <n v="2"/>
    <n v="960.41"/>
    <n v="0.18"/>
    <n v="1575.0724"/>
    <s v="Credit Card"/>
    <x v="0"/>
    <x v="0"/>
    <x v="1"/>
  </r>
  <r>
    <x v="5"/>
    <s v="SALE397"/>
    <x v="8"/>
    <x v="189"/>
    <x v="114"/>
    <x v="8"/>
    <x v="2"/>
    <n v="3"/>
    <n v="977.47"/>
    <n v="0.05"/>
    <n v="2785.7894999999999"/>
    <s v="Credit Card"/>
    <x v="1"/>
    <x v="0"/>
    <x v="1"/>
  </r>
  <r>
    <x v="5"/>
    <s v="SALE108"/>
    <x v="9"/>
    <x v="349"/>
    <x v="198"/>
    <x v="9"/>
    <x v="3"/>
    <n v="3"/>
    <n v="815.3"/>
    <n v="0.03"/>
    <n v="2372.5230000000001"/>
    <s v="Credit Card"/>
    <x v="0"/>
    <x v="0"/>
    <x v="1"/>
  </r>
  <r>
    <x v="5"/>
    <s v="SALE987"/>
    <x v="10"/>
    <x v="350"/>
    <x v="307"/>
    <x v="10"/>
    <x v="4"/>
    <n v="1"/>
    <n v="531.99"/>
    <n v="0.17"/>
    <n v="441.55169999999998"/>
    <s v="PayPal"/>
    <x v="1"/>
    <x v="0"/>
    <x v="3"/>
  </r>
  <r>
    <x v="5"/>
    <s v="SALE101"/>
    <x v="10"/>
    <x v="351"/>
    <x v="297"/>
    <x v="10"/>
    <x v="4"/>
    <n v="3"/>
    <n v="359.56"/>
    <n v="0.17"/>
    <n v="895.30439999999999"/>
    <s v="PayPal"/>
    <x v="1"/>
    <x v="0"/>
    <x v="1"/>
  </r>
  <r>
    <x v="5"/>
    <s v="SALE1554"/>
    <x v="10"/>
    <x v="0"/>
    <x v="308"/>
    <x v="10"/>
    <x v="4"/>
    <n v="2"/>
    <n v="388.34"/>
    <n v="0.09"/>
    <n v="706.77879999999993"/>
    <s v="PayPal"/>
    <x v="1"/>
    <x v="0"/>
    <x v="1"/>
  </r>
  <r>
    <x v="5"/>
    <s v="SALE1020"/>
    <x v="10"/>
    <x v="181"/>
    <x v="23"/>
    <x v="10"/>
    <x v="4"/>
    <n v="1"/>
    <n v="963.76"/>
    <n v="0.14000000000000001"/>
    <n v="828.83359999999993"/>
    <s v="PayPal"/>
    <x v="1"/>
    <x v="0"/>
    <x v="1"/>
  </r>
  <r>
    <x v="5"/>
    <s v="SALE349"/>
    <x v="12"/>
    <x v="352"/>
    <x v="140"/>
    <x v="12"/>
    <x v="2"/>
    <n v="2"/>
    <n v="563.29999999999995"/>
    <n v="0.26"/>
    <n v="833.68399999999997"/>
    <s v="Credit Card"/>
    <x v="1"/>
    <x v="0"/>
    <x v="0"/>
  </r>
  <r>
    <x v="5"/>
    <s v="SALE593"/>
    <x v="13"/>
    <x v="226"/>
    <x v="241"/>
    <x v="13"/>
    <x v="3"/>
    <n v="4"/>
    <n v="951.09"/>
    <n v="0.14000000000000001"/>
    <n v="3271.7496000000001"/>
    <s v="COD"/>
    <x v="0"/>
    <x v="0"/>
    <x v="1"/>
  </r>
  <r>
    <x v="5"/>
    <s v="SALE1103"/>
    <x v="13"/>
    <x v="287"/>
    <x v="163"/>
    <x v="13"/>
    <x v="3"/>
    <n v="1"/>
    <n v="664.35"/>
    <n v="0"/>
    <n v="664.35"/>
    <s v="Credit Card"/>
    <x v="0"/>
    <x v="0"/>
    <x v="1"/>
  </r>
  <r>
    <x v="5"/>
    <s v="SALE1672"/>
    <x v="14"/>
    <x v="353"/>
    <x v="14"/>
    <x v="14"/>
    <x v="4"/>
    <n v="1"/>
    <n v="830.42"/>
    <n v="0.26"/>
    <n v="614.51080000000002"/>
    <s v="COD"/>
    <x v="1"/>
    <x v="0"/>
    <x v="1"/>
  </r>
  <r>
    <x v="5"/>
    <s v="SALE1571"/>
    <x v="14"/>
    <x v="354"/>
    <x v="78"/>
    <x v="14"/>
    <x v="4"/>
    <n v="4"/>
    <n v="785.41"/>
    <n v="0.13"/>
    <n v="2733.2267999999999"/>
    <s v="COD"/>
    <x v="1"/>
    <x v="0"/>
    <x v="1"/>
  </r>
  <r>
    <x v="5"/>
    <s v="SALE38"/>
    <x v="15"/>
    <x v="355"/>
    <x v="309"/>
    <x v="15"/>
    <x v="2"/>
    <n v="4"/>
    <n v="735.32"/>
    <n v="0.06"/>
    <n v="2764.8031999999998"/>
    <s v="COD"/>
    <x v="0"/>
    <x v="0"/>
    <x v="3"/>
  </r>
  <r>
    <x v="5"/>
    <s v="SALE181"/>
    <x v="15"/>
    <x v="167"/>
    <x v="204"/>
    <x v="15"/>
    <x v="2"/>
    <n v="3"/>
    <n v="53.92"/>
    <n v="0.15"/>
    <n v="137.49600000000001"/>
    <s v="PayPal"/>
    <x v="1"/>
    <x v="0"/>
    <x v="0"/>
  </r>
  <r>
    <x v="5"/>
    <s v="SALE1842"/>
    <x v="17"/>
    <x v="356"/>
    <x v="169"/>
    <x v="17"/>
    <x v="2"/>
    <n v="2"/>
    <n v="873.94"/>
    <n v="0.14000000000000001"/>
    <n v="1503.1768"/>
    <s v="COD"/>
    <x v="0"/>
    <x v="0"/>
    <x v="0"/>
  </r>
  <r>
    <x v="5"/>
    <s v="SALE1734"/>
    <x v="18"/>
    <x v="337"/>
    <x v="310"/>
    <x v="18"/>
    <x v="4"/>
    <n v="2"/>
    <n v="208.09"/>
    <n v="0.27"/>
    <n v="303.81139999999999"/>
    <s v="Credit Card"/>
    <x v="1"/>
    <x v="0"/>
    <x v="1"/>
  </r>
  <r>
    <x v="5"/>
    <s v="SALE641"/>
    <x v="19"/>
    <x v="142"/>
    <x v="92"/>
    <x v="19"/>
    <x v="4"/>
    <n v="3"/>
    <n v="338.79"/>
    <n v="0.01"/>
    <n v="1006.2063000000001"/>
    <s v="Credit Card"/>
    <x v="0"/>
    <x v="0"/>
    <x v="2"/>
  </r>
  <r>
    <x v="5"/>
    <s v="SALE471"/>
    <x v="19"/>
    <x v="242"/>
    <x v="101"/>
    <x v="19"/>
    <x v="4"/>
    <n v="1"/>
    <n v="546.20000000000005"/>
    <n v="0.22"/>
    <n v="426.03600000000012"/>
    <s v="PayPal"/>
    <x v="0"/>
    <x v="0"/>
    <x v="2"/>
  </r>
  <r>
    <x v="5"/>
    <s v="SALE631"/>
    <x v="21"/>
    <x v="46"/>
    <x v="311"/>
    <x v="21"/>
    <x v="0"/>
    <n v="2"/>
    <n v="925.78"/>
    <n v="0.14000000000000001"/>
    <n v="1592.3416"/>
    <s v="COD"/>
    <x v="1"/>
    <x v="0"/>
    <x v="2"/>
  </r>
  <r>
    <x v="5"/>
    <s v="SALE845"/>
    <x v="21"/>
    <x v="357"/>
    <x v="44"/>
    <x v="21"/>
    <x v="0"/>
    <n v="1"/>
    <n v="529.84"/>
    <n v="0.13"/>
    <n v="460.96080000000001"/>
    <s v="PayPal"/>
    <x v="0"/>
    <x v="0"/>
    <x v="1"/>
  </r>
  <r>
    <x v="5"/>
    <s v="SALE1085"/>
    <x v="95"/>
    <x v="46"/>
    <x v="289"/>
    <x v="95"/>
    <x v="4"/>
    <n v="3"/>
    <n v="408.99"/>
    <n v="0.27"/>
    <n v="895.68809999999996"/>
    <s v="PayPal"/>
    <x v="1"/>
    <x v="0"/>
    <x v="1"/>
  </r>
  <r>
    <x v="5"/>
    <s v="SALE723"/>
    <x v="96"/>
    <x v="358"/>
    <x v="233"/>
    <x v="96"/>
    <x v="3"/>
    <n v="2"/>
    <n v="555.54999999999995"/>
    <n v="0.14000000000000001"/>
    <n v="955.54599999999994"/>
    <s v="Credit Card"/>
    <x v="1"/>
    <x v="0"/>
    <x v="2"/>
  </r>
  <r>
    <x v="5"/>
    <s v="SALE876"/>
    <x v="96"/>
    <x v="359"/>
    <x v="312"/>
    <x v="96"/>
    <x v="3"/>
    <n v="1"/>
    <n v="409.03"/>
    <n v="0.25"/>
    <n v="306.77249999999998"/>
    <s v="COD"/>
    <x v="0"/>
    <x v="0"/>
    <x v="3"/>
  </r>
  <r>
    <x v="5"/>
    <s v="SALE1979"/>
    <x v="25"/>
    <x v="360"/>
    <x v="313"/>
    <x v="25"/>
    <x v="4"/>
    <n v="2"/>
    <n v="635.80999999999995"/>
    <n v="0.13"/>
    <n v="1106.3094000000001"/>
    <s v="PayPal"/>
    <x v="1"/>
    <x v="0"/>
    <x v="2"/>
  </r>
  <r>
    <x v="5"/>
    <s v="SALE566"/>
    <x v="25"/>
    <x v="361"/>
    <x v="89"/>
    <x v="25"/>
    <x v="4"/>
    <n v="4"/>
    <n v="354.12"/>
    <n v="0.06"/>
    <n v="1331.4911999999999"/>
    <s v="PayPal"/>
    <x v="1"/>
    <x v="0"/>
    <x v="3"/>
  </r>
  <r>
    <x v="5"/>
    <s v="SALE230"/>
    <x v="83"/>
    <x v="362"/>
    <x v="38"/>
    <x v="83"/>
    <x v="0"/>
    <n v="3"/>
    <n v="449.88"/>
    <n v="0.1"/>
    <n v="1214.6759999999999"/>
    <s v="PayPal"/>
    <x v="1"/>
    <x v="0"/>
    <x v="3"/>
  </r>
  <r>
    <x v="5"/>
    <s v="SALE1243"/>
    <x v="83"/>
    <x v="363"/>
    <x v="242"/>
    <x v="83"/>
    <x v="0"/>
    <n v="1"/>
    <n v="161.80000000000001"/>
    <n v="0.24"/>
    <n v="122.968"/>
    <s v="PayPal"/>
    <x v="1"/>
    <x v="0"/>
    <x v="3"/>
  </r>
  <r>
    <x v="5"/>
    <s v="SALE904"/>
    <x v="83"/>
    <x v="364"/>
    <x v="211"/>
    <x v="83"/>
    <x v="0"/>
    <n v="3"/>
    <n v="566.16"/>
    <n v="0.05"/>
    <n v="1613.556"/>
    <s v="PayPal"/>
    <x v="0"/>
    <x v="0"/>
    <x v="1"/>
  </r>
  <r>
    <x v="5"/>
    <s v="SALE1177"/>
    <x v="27"/>
    <x v="365"/>
    <x v="314"/>
    <x v="27"/>
    <x v="1"/>
    <n v="2"/>
    <n v="620.71"/>
    <n v="0.27"/>
    <n v="906.23660000000007"/>
    <s v="Credit Card"/>
    <x v="0"/>
    <x v="0"/>
    <x v="1"/>
  </r>
  <r>
    <x v="5"/>
    <s v="SALE1937"/>
    <x v="27"/>
    <x v="357"/>
    <x v="315"/>
    <x v="27"/>
    <x v="1"/>
    <n v="4"/>
    <n v="568.80999999999995"/>
    <n v="0.25"/>
    <n v="1706.43"/>
    <s v="Credit Card"/>
    <x v="1"/>
    <x v="0"/>
    <x v="0"/>
  </r>
  <r>
    <x v="5"/>
    <s v="SALE1952"/>
    <x v="85"/>
    <x v="11"/>
    <x v="44"/>
    <x v="85"/>
    <x v="3"/>
    <n v="2"/>
    <n v="945.92"/>
    <n v="0.19"/>
    <n v="1532.3904"/>
    <s v="COD"/>
    <x v="0"/>
    <x v="0"/>
    <x v="1"/>
  </r>
  <r>
    <x v="5"/>
    <s v="SALE1511"/>
    <x v="31"/>
    <x v="108"/>
    <x v="49"/>
    <x v="31"/>
    <x v="2"/>
    <n v="1"/>
    <n v="170.68"/>
    <n v="0.13"/>
    <n v="148.49160000000001"/>
    <s v="PayPal"/>
    <x v="0"/>
    <x v="0"/>
    <x v="1"/>
  </r>
  <r>
    <x v="5"/>
    <s v="SALE1857"/>
    <x v="32"/>
    <x v="366"/>
    <x v="277"/>
    <x v="32"/>
    <x v="2"/>
    <n v="3"/>
    <n v="184.67"/>
    <n v="0.03"/>
    <n v="537.38969999999995"/>
    <s v="COD"/>
    <x v="0"/>
    <x v="0"/>
    <x v="3"/>
  </r>
  <r>
    <x v="5"/>
    <s v="SALE447"/>
    <x v="86"/>
    <x v="367"/>
    <x v="316"/>
    <x v="86"/>
    <x v="3"/>
    <n v="3"/>
    <n v="628.17999999999995"/>
    <n v="0.26"/>
    <n v="1394.5596"/>
    <s v="Credit Card"/>
    <x v="0"/>
    <x v="0"/>
    <x v="2"/>
  </r>
  <r>
    <x v="5"/>
    <s v="SALE1091"/>
    <x v="86"/>
    <x v="368"/>
    <x v="164"/>
    <x v="86"/>
    <x v="3"/>
    <n v="2"/>
    <n v="714.21"/>
    <n v="0.14000000000000001"/>
    <n v="1228.4412"/>
    <s v="Credit Card"/>
    <x v="0"/>
    <x v="0"/>
    <x v="3"/>
  </r>
  <r>
    <x v="5"/>
    <s v="SALE401"/>
    <x v="86"/>
    <x v="179"/>
    <x v="169"/>
    <x v="86"/>
    <x v="3"/>
    <n v="4"/>
    <n v="651.36"/>
    <n v="0.13"/>
    <n v="2266.7328000000002"/>
    <s v="Credit Card"/>
    <x v="0"/>
    <x v="0"/>
    <x v="0"/>
  </r>
  <r>
    <x v="5"/>
    <s v="SALE885"/>
    <x v="97"/>
    <x v="246"/>
    <x v="275"/>
    <x v="97"/>
    <x v="1"/>
    <n v="1"/>
    <n v="992.37"/>
    <n v="0.24"/>
    <n v="754.20119999999997"/>
    <s v="COD"/>
    <x v="1"/>
    <x v="0"/>
    <x v="2"/>
  </r>
  <r>
    <x v="5"/>
    <s v="SALE19"/>
    <x v="71"/>
    <x v="369"/>
    <x v="81"/>
    <x v="71"/>
    <x v="1"/>
    <n v="4"/>
    <n v="445.57279999999997"/>
    <n v="0.04"/>
    <n v="1782.4512"/>
    <s v="COD"/>
    <x v="1"/>
    <x v="0"/>
    <x v="1"/>
  </r>
  <r>
    <x v="5"/>
    <s v="SALE1014"/>
    <x v="71"/>
    <x v="71"/>
    <x v="313"/>
    <x v="71"/>
    <x v="1"/>
    <n v="2"/>
    <n v="92.64"/>
    <n v="0.14000000000000001"/>
    <n v="159.3408"/>
    <s v="COD"/>
    <x v="1"/>
    <x v="0"/>
    <x v="2"/>
  </r>
  <r>
    <x v="5"/>
    <s v="SALE894"/>
    <x v="71"/>
    <x v="370"/>
    <x v="148"/>
    <x v="71"/>
    <x v="1"/>
    <n v="4"/>
    <n v="106.48"/>
    <n v="0.1"/>
    <n v="383.32799999999997"/>
    <s v="COD"/>
    <x v="1"/>
    <x v="0"/>
    <x v="0"/>
  </r>
  <r>
    <x v="5"/>
    <s v="SALE1684"/>
    <x v="35"/>
    <x v="371"/>
    <x v="317"/>
    <x v="35"/>
    <x v="0"/>
    <n v="4"/>
    <n v="676.58"/>
    <n v="0.23"/>
    <n v="2083.8663999999999"/>
    <s v="COD"/>
    <x v="1"/>
    <x v="0"/>
    <x v="1"/>
  </r>
  <r>
    <x v="5"/>
    <s v="SALE1132"/>
    <x v="35"/>
    <x v="372"/>
    <x v="313"/>
    <x v="35"/>
    <x v="0"/>
    <n v="4"/>
    <n v="267.36"/>
    <n v="0.27"/>
    <n v="780.69119999999998"/>
    <s v="PayPal"/>
    <x v="1"/>
    <x v="0"/>
    <x v="2"/>
  </r>
  <r>
    <x v="5"/>
    <s v="SALE678"/>
    <x v="35"/>
    <x v="373"/>
    <x v="318"/>
    <x v="35"/>
    <x v="0"/>
    <n v="1"/>
    <n v="331.73"/>
    <n v="0.04"/>
    <n v="318.46080000000001"/>
    <s v="Credit Card"/>
    <x v="1"/>
    <x v="0"/>
    <x v="2"/>
  </r>
  <r>
    <x v="5"/>
    <s v="SALE936"/>
    <x v="36"/>
    <x v="374"/>
    <x v="183"/>
    <x v="36"/>
    <x v="1"/>
    <n v="3"/>
    <n v="953.74"/>
    <n v="0.04"/>
    <n v="2746.7712000000001"/>
    <s v="Credit Card"/>
    <x v="1"/>
    <x v="0"/>
    <x v="0"/>
  </r>
  <r>
    <x v="5"/>
    <s v="SALE1335"/>
    <x v="36"/>
    <x v="375"/>
    <x v="124"/>
    <x v="36"/>
    <x v="1"/>
    <n v="3"/>
    <n v="217.13"/>
    <n v="0.28000000000000003"/>
    <n v="469.00080000000003"/>
    <s v="Credit Card"/>
    <x v="1"/>
    <x v="0"/>
    <x v="0"/>
  </r>
  <r>
    <x v="5"/>
    <s v="SALE1785"/>
    <x v="39"/>
    <x v="376"/>
    <x v="82"/>
    <x v="39"/>
    <x v="0"/>
    <n v="3"/>
    <n v="115.39"/>
    <n v="0.02"/>
    <n v="339.2466"/>
    <s v="PayPal"/>
    <x v="1"/>
    <x v="0"/>
    <x v="3"/>
  </r>
  <r>
    <x v="5"/>
    <s v="SALE1575"/>
    <x v="39"/>
    <x v="320"/>
    <x v="156"/>
    <x v="39"/>
    <x v="0"/>
    <n v="1"/>
    <n v="470.55"/>
    <n v="0.23"/>
    <n v="362.32350000000002"/>
    <s v="PayPal"/>
    <x v="1"/>
    <x v="0"/>
    <x v="2"/>
  </r>
  <r>
    <x v="5"/>
    <s v="SALE1636"/>
    <x v="88"/>
    <x v="377"/>
    <x v="319"/>
    <x v="88"/>
    <x v="2"/>
    <n v="4"/>
    <n v="463.16"/>
    <n v="0.27"/>
    <n v="1352.4272000000001"/>
    <s v="PayPal"/>
    <x v="0"/>
    <x v="0"/>
    <x v="1"/>
  </r>
  <r>
    <x v="5"/>
    <s v="SALE812"/>
    <x v="88"/>
    <x v="70"/>
    <x v="247"/>
    <x v="88"/>
    <x v="2"/>
    <n v="1"/>
    <n v="289.82"/>
    <n v="0.18"/>
    <n v="237.6524"/>
    <s v="COD"/>
    <x v="0"/>
    <x v="0"/>
    <x v="2"/>
  </r>
  <r>
    <x v="5"/>
    <s v="SALE861"/>
    <x v="88"/>
    <x v="145"/>
    <x v="320"/>
    <x v="88"/>
    <x v="2"/>
    <n v="4"/>
    <n v="408.72"/>
    <n v="0.16"/>
    <n v="1373.2991999999999"/>
    <s v="COD"/>
    <x v="0"/>
    <x v="0"/>
    <x v="3"/>
  </r>
  <r>
    <x v="5"/>
    <s v="SALE576"/>
    <x v="73"/>
    <x v="100"/>
    <x v="46"/>
    <x v="73"/>
    <x v="1"/>
    <n v="2"/>
    <n v="649.54999999999995"/>
    <n v="0.28999999999999998"/>
    <n v="922.36099999999988"/>
    <s v="PayPal"/>
    <x v="1"/>
    <x v="0"/>
    <x v="3"/>
  </r>
  <r>
    <x v="5"/>
    <s v="SALE858"/>
    <x v="42"/>
    <x v="128"/>
    <x v="321"/>
    <x v="42"/>
    <x v="3"/>
    <n v="1"/>
    <n v="735.1"/>
    <n v="0.1"/>
    <n v="661.59"/>
    <s v="PayPal"/>
    <x v="1"/>
    <x v="0"/>
    <x v="3"/>
  </r>
  <r>
    <x v="5"/>
    <s v="SALE947"/>
    <x v="43"/>
    <x v="378"/>
    <x v="100"/>
    <x v="43"/>
    <x v="3"/>
    <n v="3"/>
    <n v="239.57"/>
    <n v="0.16"/>
    <n v="603.71640000000002"/>
    <s v="Credit Card"/>
    <x v="1"/>
    <x v="0"/>
    <x v="0"/>
  </r>
  <r>
    <x v="5"/>
    <s v="SALE785"/>
    <x v="43"/>
    <x v="148"/>
    <x v="38"/>
    <x v="43"/>
    <x v="3"/>
    <n v="4"/>
    <n v="457.33"/>
    <n v="0.1"/>
    <n v="1646.3879999999999"/>
    <s v="Credit Card"/>
    <x v="1"/>
    <x v="0"/>
    <x v="3"/>
  </r>
  <r>
    <x v="5"/>
    <s v="SALE1062"/>
    <x v="43"/>
    <x v="119"/>
    <x v="220"/>
    <x v="43"/>
    <x v="3"/>
    <n v="4"/>
    <n v="528.22"/>
    <n v="0.2"/>
    <n v="1690.3040000000001"/>
    <s v="PayPal"/>
    <x v="1"/>
    <x v="0"/>
    <x v="3"/>
  </r>
  <r>
    <x v="5"/>
    <s v="SALE1839"/>
    <x v="43"/>
    <x v="379"/>
    <x v="143"/>
    <x v="43"/>
    <x v="3"/>
    <n v="3"/>
    <n v="717.32"/>
    <n v="0.23"/>
    <n v="1657.0092"/>
    <s v="COD"/>
    <x v="0"/>
    <x v="0"/>
    <x v="0"/>
  </r>
  <r>
    <x v="5"/>
    <s v="SALE488"/>
    <x v="43"/>
    <x v="380"/>
    <x v="153"/>
    <x v="43"/>
    <x v="3"/>
    <n v="4"/>
    <n v="922.69"/>
    <n v="0.16"/>
    <n v="3100.2384000000002"/>
    <s v="Credit Card"/>
    <x v="1"/>
    <x v="0"/>
    <x v="3"/>
  </r>
  <r>
    <x v="5"/>
    <s v="SALE831"/>
    <x v="90"/>
    <x v="381"/>
    <x v="317"/>
    <x v="90"/>
    <x v="0"/>
    <n v="4"/>
    <n v="528.23"/>
    <n v="0.15"/>
    <n v="1795.982"/>
    <s v="COD"/>
    <x v="1"/>
    <x v="0"/>
    <x v="1"/>
  </r>
  <r>
    <x v="5"/>
    <s v="SALE112"/>
    <x v="90"/>
    <x v="382"/>
    <x v="281"/>
    <x v="90"/>
    <x v="0"/>
    <n v="3"/>
    <n v="948.69"/>
    <n v="0.28999999999999998"/>
    <n v="2020.7097000000001"/>
    <s v="Credit Card"/>
    <x v="1"/>
    <x v="0"/>
    <x v="2"/>
  </r>
  <r>
    <x v="5"/>
    <s v="SALE646"/>
    <x v="74"/>
    <x v="184"/>
    <x v="124"/>
    <x v="74"/>
    <x v="0"/>
    <n v="3"/>
    <n v="865.96"/>
    <n v="0.12"/>
    <n v="2286.1343999999999"/>
    <s v="PayPal"/>
    <x v="1"/>
    <x v="0"/>
    <x v="0"/>
  </r>
  <r>
    <x v="5"/>
    <s v="SALE1059"/>
    <x v="75"/>
    <x v="61"/>
    <x v="322"/>
    <x v="75"/>
    <x v="2"/>
    <n v="2"/>
    <n v="838.22"/>
    <n v="0.3"/>
    <n v="1173.508"/>
    <s v="Credit Card"/>
    <x v="0"/>
    <x v="0"/>
    <x v="1"/>
  </r>
  <r>
    <x v="5"/>
    <s v="SALE424"/>
    <x v="76"/>
    <x v="373"/>
    <x v="236"/>
    <x v="76"/>
    <x v="2"/>
    <n v="1"/>
    <n v="823.61"/>
    <n v="0.28000000000000003"/>
    <n v="592.99919999999997"/>
    <s v="COD"/>
    <x v="1"/>
    <x v="0"/>
    <x v="4"/>
  </r>
  <r>
    <x v="5"/>
    <s v="SALE1788"/>
    <x v="77"/>
    <x v="334"/>
    <x v="116"/>
    <x v="77"/>
    <x v="0"/>
    <n v="2"/>
    <n v="194.09"/>
    <n v="0.18"/>
    <n v="318.30759999999998"/>
    <s v="PayPal"/>
    <x v="0"/>
    <x v="0"/>
    <x v="0"/>
  </r>
  <r>
    <x v="5"/>
    <s v="SALE1302"/>
    <x v="46"/>
    <x v="321"/>
    <x v="323"/>
    <x v="46"/>
    <x v="3"/>
    <n v="1"/>
    <n v="747.9"/>
    <n v="0.21"/>
    <n v="590.84100000000001"/>
    <s v="COD"/>
    <x v="1"/>
    <x v="0"/>
    <x v="0"/>
  </r>
  <r>
    <x v="5"/>
    <s v="SALE1762"/>
    <x v="78"/>
    <x v="150"/>
    <x v="241"/>
    <x v="78"/>
    <x v="2"/>
    <n v="4"/>
    <n v="341.95"/>
    <n v="0.25"/>
    <n v="1025.8499999999999"/>
    <s v="Credit Card"/>
    <x v="0"/>
    <x v="0"/>
    <x v="1"/>
  </r>
  <r>
    <x v="5"/>
    <s v="SALE860"/>
    <x v="78"/>
    <x v="108"/>
    <x v="98"/>
    <x v="78"/>
    <x v="2"/>
    <n v="3"/>
    <n v="904.96"/>
    <n v="7.0000000000000007E-2"/>
    <n v="2524.8384000000001"/>
    <s v="COD"/>
    <x v="0"/>
    <x v="0"/>
    <x v="1"/>
  </r>
  <r>
    <x v="5"/>
    <s v="SALE284"/>
    <x v="78"/>
    <x v="157"/>
    <x v="80"/>
    <x v="78"/>
    <x v="2"/>
    <n v="1"/>
    <n v="520.92999999999995"/>
    <n v="0.15"/>
    <n v="442.79050000000001"/>
    <s v="Credit Card"/>
    <x v="1"/>
    <x v="0"/>
    <x v="1"/>
  </r>
  <r>
    <x v="5"/>
    <s v="SALE1264"/>
    <x v="78"/>
    <x v="383"/>
    <x v="243"/>
    <x v="78"/>
    <x v="2"/>
    <n v="2"/>
    <n v="905.26"/>
    <n v="0.15"/>
    <n v="1538.942"/>
    <s v="COD"/>
    <x v="0"/>
    <x v="0"/>
    <x v="2"/>
  </r>
  <r>
    <x v="5"/>
    <s v="SALE879"/>
    <x v="49"/>
    <x v="6"/>
    <x v="324"/>
    <x v="49"/>
    <x v="4"/>
    <n v="2"/>
    <n v="652.29999999999995"/>
    <n v="0.16"/>
    <n v="1095.864"/>
    <s v="COD"/>
    <x v="1"/>
    <x v="0"/>
    <x v="1"/>
  </r>
  <r>
    <x v="5"/>
    <s v="SALE1643"/>
    <x v="50"/>
    <x v="248"/>
    <x v="325"/>
    <x v="50"/>
    <x v="2"/>
    <n v="4"/>
    <n v="292.31"/>
    <n v="0.27"/>
    <n v="853.54520000000002"/>
    <s v="PayPal"/>
    <x v="1"/>
    <x v="0"/>
    <x v="1"/>
  </r>
  <r>
    <x v="5"/>
    <s v="SALE532"/>
    <x v="50"/>
    <x v="133"/>
    <x v="196"/>
    <x v="50"/>
    <x v="2"/>
    <n v="4"/>
    <n v="817.92"/>
    <n v="0.21"/>
    <n v="2584.6271999999999"/>
    <s v="Credit Card"/>
    <x v="1"/>
    <x v="0"/>
    <x v="1"/>
  </r>
  <r>
    <x v="5"/>
    <s v="SALE607"/>
    <x v="51"/>
    <x v="152"/>
    <x v="326"/>
    <x v="51"/>
    <x v="2"/>
    <n v="3"/>
    <n v="926.85"/>
    <n v="0.18"/>
    <n v="2280.0509999999999"/>
    <s v="COD"/>
    <x v="1"/>
    <x v="0"/>
    <x v="3"/>
  </r>
  <r>
    <x v="5"/>
    <s v="SALE1094"/>
    <x v="51"/>
    <x v="384"/>
    <x v="327"/>
    <x v="51"/>
    <x v="2"/>
    <n v="1"/>
    <n v="575.94000000000005"/>
    <n v="0.17"/>
    <n v="478.03019999999998"/>
    <s v="Credit Card"/>
    <x v="1"/>
    <x v="0"/>
    <x v="3"/>
  </r>
  <r>
    <x v="5"/>
    <s v="SALE685"/>
    <x v="52"/>
    <x v="205"/>
    <x v="328"/>
    <x v="52"/>
    <x v="3"/>
    <n v="4"/>
    <n v="451.41"/>
    <n v="0.06"/>
    <n v="1697.3016"/>
    <s v="PayPal"/>
    <x v="1"/>
    <x v="0"/>
    <x v="3"/>
  </r>
  <r>
    <x v="5"/>
    <s v="SALE1946"/>
    <x v="92"/>
    <x v="273"/>
    <x v="155"/>
    <x v="92"/>
    <x v="3"/>
    <n v="4"/>
    <n v="243.13"/>
    <n v="0.25"/>
    <n v="729.39"/>
    <s v="COD"/>
    <x v="0"/>
    <x v="0"/>
    <x v="2"/>
  </r>
  <r>
    <x v="5"/>
    <s v="SALE1237"/>
    <x v="54"/>
    <x v="377"/>
    <x v="134"/>
    <x v="54"/>
    <x v="0"/>
    <n v="1"/>
    <n v="822.6"/>
    <n v="0.28999999999999998"/>
    <n v="584.04599999999994"/>
    <s v="PayPal"/>
    <x v="0"/>
    <x v="0"/>
    <x v="3"/>
  </r>
  <r>
    <x v="5"/>
    <s v="SALE371"/>
    <x v="54"/>
    <x v="385"/>
    <x v="329"/>
    <x v="54"/>
    <x v="0"/>
    <n v="1"/>
    <n v="752.45"/>
    <n v="0.21"/>
    <n v="594.43550000000005"/>
    <s v="COD"/>
    <x v="1"/>
    <x v="0"/>
    <x v="2"/>
  </r>
  <r>
    <x v="5"/>
    <s v="SALE971"/>
    <x v="55"/>
    <x v="386"/>
    <x v="243"/>
    <x v="55"/>
    <x v="4"/>
    <n v="4"/>
    <n v="853.26"/>
    <n v="0.24"/>
    <n v="2593.9104000000002"/>
    <s v="COD"/>
    <x v="0"/>
    <x v="0"/>
    <x v="2"/>
  </r>
  <r>
    <x v="5"/>
    <s v="SALE391"/>
    <x v="93"/>
    <x v="387"/>
    <x v="330"/>
    <x v="93"/>
    <x v="0"/>
    <n v="2"/>
    <n v="153.84"/>
    <n v="0.27"/>
    <n v="224.60640000000001"/>
    <s v="PayPal"/>
    <x v="0"/>
    <x v="0"/>
    <x v="2"/>
  </r>
  <r>
    <x v="5"/>
    <s v="SALE372"/>
    <x v="57"/>
    <x v="342"/>
    <x v="236"/>
    <x v="57"/>
    <x v="1"/>
    <n v="2"/>
    <n v="209.66"/>
    <n v="0.21"/>
    <n v="331.26280000000003"/>
    <s v="Credit Card"/>
    <x v="1"/>
    <x v="0"/>
    <x v="4"/>
  </r>
  <r>
    <x v="5"/>
    <s v="SALE1429"/>
    <x v="57"/>
    <x v="361"/>
    <x v="78"/>
    <x v="57"/>
    <x v="1"/>
    <n v="2"/>
    <n v="822.59"/>
    <n v="0.22"/>
    <n v="1283.2403999999999"/>
    <s v="PayPal"/>
    <x v="1"/>
    <x v="0"/>
    <x v="1"/>
  </r>
  <r>
    <x v="5"/>
    <s v="SALE1939"/>
    <x v="59"/>
    <x v="338"/>
    <x v="56"/>
    <x v="59"/>
    <x v="4"/>
    <n v="2"/>
    <n v="629.86"/>
    <n v="0.15"/>
    <n v="1070.7619999999999"/>
    <s v="PayPal"/>
    <x v="0"/>
    <x v="0"/>
    <x v="2"/>
  </r>
  <r>
    <x v="5"/>
    <s v="SALE1481"/>
    <x v="79"/>
    <x v="388"/>
    <x v="1"/>
    <x v="79"/>
    <x v="3"/>
    <n v="1"/>
    <n v="439.55"/>
    <n v="0.28999999999999998"/>
    <n v="312.08049999999997"/>
    <s v="COD"/>
    <x v="1"/>
    <x v="0"/>
    <x v="0"/>
  </r>
  <r>
    <x v="5"/>
    <s v="SALE619"/>
    <x v="79"/>
    <x v="79"/>
    <x v="112"/>
    <x v="79"/>
    <x v="3"/>
    <n v="2"/>
    <n v="394.5"/>
    <n v="0.28999999999999998"/>
    <n v="560.18999999999994"/>
    <s v="COD"/>
    <x v="0"/>
    <x v="0"/>
    <x v="1"/>
  </r>
  <r>
    <x v="5"/>
    <s v="SALE1452"/>
    <x v="94"/>
    <x v="389"/>
    <x v="195"/>
    <x v="94"/>
    <x v="0"/>
    <n v="3"/>
    <n v="758.87"/>
    <n v="0.11"/>
    <n v="2026.1829"/>
    <s v="PayPal"/>
    <x v="0"/>
    <x v="0"/>
    <x v="0"/>
  </r>
  <r>
    <x v="5"/>
    <s v="SALE994"/>
    <x v="80"/>
    <x v="390"/>
    <x v="57"/>
    <x v="80"/>
    <x v="2"/>
    <n v="2"/>
    <n v="314.39999999999998"/>
    <n v="7.0000000000000007E-2"/>
    <n v="584.78399999999988"/>
    <s v="PayPal"/>
    <x v="1"/>
    <x v="0"/>
    <x v="2"/>
  </r>
  <r>
    <x v="6"/>
    <s v="SALE1277"/>
    <x v="98"/>
    <x v="250"/>
    <x v="331"/>
    <x v="98"/>
    <x v="0"/>
    <n v="1"/>
    <n v="449.6"/>
    <n v="0.01"/>
    <n v="445.10399999999998"/>
    <s v="PayPal"/>
    <x v="1"/>
    <x v="0"/>
    <x v="2"/>
  </r>
  <r>
    <x v="6"/>
    <s v="SALE1729"/>
    <x v="81"/>
    <x v="391"/>
    <x v="259"/>
    <x v="81"/>
    <x v="4"/>
    <n v="4"/>
    <n v="146.12"/>
    <n v="0.12"/>
    <n v="514.3424"/>
    <s v="COD"/>
    <x v="0"/>
    <x v="0"/>
    <x v="0"/>
  </r>
  <r>
    <x v="6"/>
    <s v="SALE608"/>
    <x v="60"/>
    <x v="317"/>
    <x v="69"/>
    <x v="60"/>
    <x v="2"/>
    <n v="1"/>
    <n v="874.59"/>
    <n v="0.28999999999999998"/>
    <n v="620.95889999999997"/>
    <s v="PayPal"/>
    <x v="1"/>
    <x v="0"/>
    <x v="3"/>
  </r>
  <r>
    <x v="6"/>
    <s v="SALE1170"/>
    <x v="1"/>
    <x v="392"/>
    <x v="192"/>
    <x v="1"/>
    <x v="1"/>
    <n v="1"/>
    <n v="424.83"/>
    <n v="0.05"/>
    <n v="403.58850000000001"/>
    <s v="COD"/>
    <x v="0"/>
    <x v="0"/>
    <x v="2"/>
  </r>
  <r>
    <x v="6"/>
    <s v="SALE1686"/>
    <x v="61"/>
    <x v="356"/>
    <x v="177"/>
    <x v="61"/>
    <x v="0"/>
    <n v="2"/>
    <n v="859.47"/>
    <n v="0.01"/>
    <n v="1701.7506000000001"/>
    <s v="Credit Card"/>
    <x v="0"/>
    <x v="0"/>
    <x v="3"/>
  </r>
  <r>
    <x v="6"/>
    <s v="SALE604"/>
    <x v="2"/>
    <x v="393"/>
    <x v="332"/>
    <x v="2"/>
    <x v="2"/>
    <n v="3"/>
    <n v="970.89"/>
    <n v="0.11"/>
    <n v="2592.2763"/>
    <s v="COD"/>
    <x v="1"/>
    <x v="0"/>
    <x v="2"/>
  </r>
  <r>
    <x v="6"/>
    <s v="SALE722"/>
    <x v="62"/>
    <x v="186"/>
    <x v="122"/>
    <x v="62"/>
    <x v="0"/>
    <n v="1"/>
    <n v="31.36"/>
    <n v="0.21"/>
    <n v="24.7744"/>
    <s v="COD"/>
    <x v="0"/>
    <x v="0"/>
    <x v="1"/>
  </r>
  <r>
    <x v="6"/>
    <s v="SALE1455"/>
    <x v="3"/>
    <x v="293"/>
    <x v="333"/>
    <x v="3"/>
    <x v="1"/>
    <n v="4"/>
    <n v="761.35"/>
    <n v="0.08"/>
    <n v="2801.768"/>
    <s v="Credit Card"/>
    <x v="1"/>
    <x v="0"/>
    <x v="2"/>
  </r>
  <r>
    <x v="6"/>
    <s v="SALE1790"/>
    <x v="4"/>
    <x v="131"/>
    <x v="27"/>
    <x v="4"/>
    <x v="3"/>
    <n v="1"/>
    <n v="878.69"/>
    <n v="0.3"/>
    <n v="615.08299999999997"/>
    <s v="PayPal"/>
    <x v="0"/>
    <x v="0"/>
    <x v="3"/>
  </r>
  <r>
    <x v="6"/>
    <s v="SALE1123"/>
    <x v="4"/>
    <x v="394"/>
    <x v="330"/>
    <x v="4"/>
    <x v="3"/>
    <n v="2"/>
    <n v="456.38"/>
    <n v="0.12"/>
    <n v="803.22879999999998"/>
    <s v="Credit Card"/>
    <x v="0"/>
    <x v="0"/>
    <x v="2"/>
  </r>
  <r>
    <x v="6"/>
    <s v="SALE468"/>
    <x v="4"/>
    <x v="148"/>
    <x v="298"/>
    <x v="4"/>
    <x v="3"/>
    <n v="1"/>
    <n v="880.89"/>
    <n v="0.13"/>
    <n v="766.37429999999995"/>
    <s v="COD"/>
    <x v="1"/>
    <x v="0"/>
    <x v="0"/>
  </r>
  <r>
    <x v="6"/>
    <s v="SALE849"/>
    <x v="4"/>
    <x v="395"/>
    <x v="334"/>
    <x v="4"/>
    <x v="3"/>
    <n v="4"/>
    <n v="329.06"/>
    <n v="0.04"/>
    <n v="1263.5904"/>
    <s v="COD"/>
    <x v="1"/>
    <x v="0"/>
    <x v="3"/>
  </r>
  <r>
    <x v="6"/>
    <s v="SALE1212"/>
    <x v="4"/>
    <x v="305"/>
    <x v="312"/>
    <x v="4"/>
    <x v="3"/>
    <n v="4"/>
    <n v="884.71"/>
    <n v="0.09"/>
    <n v="3220.3444"/>
    <s v="PayPal"/>
    <x v="0"/>
    <x v="0"/>
    <x v="3"/>
  </r>
  <r>
    <x v="6"/>
    <s v="SALE396"/>
    <x v="5"/>
    <x v="396"/>
    <x v="335"/>
    <x v="5"/>
    <x v="4"/>
    <n v="3"/>
    <n v="991.37"/>
    <n v="0.1"/>
    <n v="2676.6990000000001"/>
    <s v="PayPal"/>
    <x v="1"/>
    <x v="0"/>
    <x v="1"/>
  </r>
  <r>
    <x v="6"/>
    <s v="SALE1553"/>
    <x v="5"/>
    <x v="165"/>
    <x v="12"/>
    <x v="5"/>
    <x v="4"/>
    <n v="4"/>
    <n v="317.11"/>
    <n v="0.16"/>
    <n v="1065.4896000000001"/>
    <s v="PayPal"/>
    <x v="1"/>
    <x v="0"/>
    <x v="3"/>
  </r>
  <r>
    <x v="6"/>
    <s v="SALE1035"/>
    <x v="6"/>
    <x v="202"/>
    <x v="336"/>
    <x v="6"/>
    <x v="3"/>
    <n v="2"/>
    <n v="760.14"/>
    <n v="0.02"/>
    <n v="1489.8743999999999"/>
    <s v="COD"/>
    <x v="1"/>
    <x v="0"/>
    <x v="1"/>
  </r>
  <r>
    <x v="6"/>
    <s v="SALE1166"/>
    <x v="6"/>
    <x v="397"/>
    <x v="312"/>
    <x v="6"/>
    <x v="3"/>
    <n v="1"/>
    <n v="90.72"/>
    <n v="0.1"/>
    <n v="81.647999999999996"/>
    <s v="PayPal"/>
    <x v="0"/>
    <x v="0"/>
    <x v="3"/>
  </r>
  <r>
    <x v="6"/>
    <s v="SALE335"/>
    <x v="82"/>
    <x v="292"/>
    <x v="337"/>
    <x v="82"/>
    <x v="4"/>
    <n v="4"/>
    <n v="971.9"/>
    <n v="0.28000000000000003"/>
    <n v="2799.0720000000001"/>
    <s v="PayPal"/>
    <x v="1"/>
    <x v="0"/>
    <x v="0"/>
  </r>
  <r>
    <x v="6"/>
    <s v="SALE1386"/>
    <x v="7"/>
    <x v="398"/>
    <x v="338"/>
    <x v="7"/>
    <x v="3"/>
    <n v="2"/>
    <n v="740.57"/>
    <n v="0.06"/>
    <n v="1392.2716"/>
    <s v="Credit Card"/>
    <x v="1"/>
    <x v="0"/>
    <x v="1"/>
  </r>
  <r>
    <x v="6"/>
    <s v="SALE833"/>
    <x v="8"/>
    <x v="399"/>
    <x v="339"/>
    <x v="8"/>
    <x v="2"/>
    <n v="1"/>
    <n v="977.97"/>
    <n v="0.06"/>
    <n v="919.29179999999997"/>
    <s v="COD"/>
    <x v="0"/>
    <x v="0"/>
    <x v="2"/>
  </r>
  <r>
    <x v="6"/>
    <s v="SALE1913"/>
    <x v="9"/>
    <x v="231"/>
    <x v="222"/>
    <x v="9"/>
    <x v="3"/>
    <n v="1"/>
    <n v="958.44"/>
    <n v="0.21"/>
    <n v="757.16760000000011"/>
    <s v="Credit Card"/>
    <x v="1"/>
    <x v="0"/>
    <x v="3"/>
  </r>
  <r>
    <x v="6"/>
    <s v="SALE1653"/>
    <x v="9"/>
    <x v="246"/>
    <x v="324"/>
    <x v="9"/>
    <x v="3"/>
    <n v="2"/>
    <n v="833.62"/>
    <n v="0.18"/>
    <n v="1367.1368"/>
    <s v="Credit Card"/>
    <x v="1"/>
    <x v="0"/>
    <x v="1"/>
  </r>
  <r>
    <x v="6"/>
    <s v="SALE1486"/>
    <x v="9"/>
    <x v="400"/>
    <x v="204"/>
    <x v="9"/>
    <x v="3"/>
    <n v="1"/>
    <n v="588.29999999999995"/>
    <n v="0.26"/>
    <n v="435.34199999999998"/>
    <s v="COD"/>
    <x v="1"/>
    <x v="0"/>
    <x v="0"/>
  </r>
  <r>
    <x v="6"/>
    <s v="SALE10"/>
    <x v="64"/>
    <x v="290"/>
    <x v="95"/>
    <x v="64"/>
    <x v="3"/>
    <n v="1"/>
    <n v="278.63"/>
    <n v="7.0000000000000007E-2"/>
    <n v="259.1259"/>
    <s v="Credit Card"/>
    <x v="1"/>
    <x v="0"/>
    <x v="0"/>
  </r>
  <r>
    <x v="6"/>
    <s v="SALE959"/>
    <x v="10"/>
    <x v="51"/>
    <x v="340"/>
    <x v="10"/>
    <x v="4"/>
    <n v="2"/>
    <n v="855.4"/>
    <n v="0.08"/>
    <n v="1573.9359999999999"/>
    <s v="COD"/>
    <x v="1"/>
    <x v="0"/>
    <x v="3"/>
  </r>
  <r>
    <x v="6"/>
    <s v="SALE221"/>
    <x v="11"/>
    <x v="59"/>
    <x v="279"/>
    <x v="11"/>
    <x v="0"/>
    <n v="4"/>
    <n v="652.28"/>
    <n v="0.15"/>
    <n v="2217.752"/>
    <s v="Credit Card"/>
    <x v="0"/>
    <x v="0"/>
    <x v="0"/>
  </r>
  <r>
    <x v="6"/>
    <s v="SALE1687"/>
    <x v="12"/>
    <x v="401"/>
    <x v="257"/>
    <x v="12"/>
    <x v="2"/>
    <n v="3"/>
    <n v="672.98"/>
    <n v="0.23"/>
    <n v="1554.5838000000001"/>
    <s v="PayPal"/>
    <x v="1"/>
    <x v="0"/>
    <x v="1"/>
  </r>
  <r>
    <x v="6"/>
    <s v="SALE1699"/>
    <x v="12"/>
    <x v="402"/>
    <x v="341"/>
    <x v="12"/>
    <x v="2"/>
    <n v="4"/>
    <n v="459.83"/>
    <n v="0.12"/>
    <n v="1618.6016"/>
    <s v="COD"/>
    <x v="1"/>
    <x v="0"/>
    <x v="0"/>
  </r>
  <r>
    <x v="6"/>
    <s v="SALE623"/>
    <x v="12"/>
    <x v="145"/>
    <x v="262"/>
    <x v="12"/>
    <x v="2"/>
    <n v="4"/>
    <n v="757.71"/>
    <n v="0.26"/>
    <n v="2242.8216000000002"/>
    <s v="COD"/>
    <x v="1"/>
    <x v="0"/>
    <x v="3"/>
  </r>
  <r>
    <x v="6"/>
    <s v="SALE309"/>
    <x v="99"/>
    <x v="403"/>
    <x v="300"/>
    <x v="99"/>
    <x v="2"/>
    <n v="2"/>
    <n v="722.45"/>
    <n v="0.22"/>
    <n v="1127.0219999999999"/>
    <s v="PayPal"/>
    <x v="1"/>
    <x v="0"/>
    <x v="2"/>
  </r>
  <r>
    <x v="6"/>
    <s v="SALE710"/>
    <x v="66"/>
    <x v="367"/>
    <x v="291"/>
    <x v="66"/>
    <x v="3"/>
    <n v="4"/>
    <n v="471.89"/>
    <n v="0.12"/>
    <n v="1661.0527999999999"/>
    <s v="COD"/>
    <x v="1"/>
    <x v="0"/>
    <x v="3"/>
  </r>
  <r>
    <x v="6"/>
    <s v="SALE1703"/>
    <x v="15"/>
    <x v="404"/>
    <x v="87"/>
    <x v="15"/>
    <x v="2"/>
    <n v="1"/>
    <n v="255.02"/>
    <n v="0.3"/>
    <n v="178.51400000000001"/>
    <s v="Credit Card"/>
    <x v="1"/>
    <x v="0"/>
    <x v="1"/>
  </r>
  <r>
    <x v="6"/>
    <s v="SALE464"/>
    <x v="18"/>
    <x v="405"/>
    <x v="342"/>
    <x v="18"/>
    <x v="4"/>
    <n v="1"/>
    <n v="850.83"/>
    <n v="0.28000000000000003"/>
    <n v="612.59760000000006"/>
    <s v="PayPal"/>
    <x v="0"/>
    <x v="0"/>
    <x v="0"/>
  </r>
  <r>
    <x v="6"/>
    <s v="SALE1714"/>
    <x v="19"/>
    <x v="406"/>
    <x v="207"/>
    <x v="19"/>
    <x v="4"/>
    <n v="4"/>
    <n v="746.36"/>
    <n v="0.02"/>
    <n v="2925.7312000000002"/>
    <s v="Credit Card"/>
    <x v="1"/>
    <x v="0"/>
    <x v="2"/>
  </r>
  <r>
    <x v="6"/>
    <s v="SALE553"/>
    <x v="20"/>
    <x v="407"/>
    <x v="257"/>
    <x v="20"/>
    <x v="3"/>
    <n v="2"/>
    <n v="833.64"/>
    <n v="0.24"/>
    <n v="1267.1328000000001"/>
    <s v="PayPal"/>
    <x v="1"/>
    <x v="0"/>
    <x v="1"/>
  </r>
  <r>
    <x v="6"/>
    <s v="SALE1153"/>
    <x v="20"/>
    <x v="220"/>
    <x v="140"/>
    <x v="20"/>
    <x v="3"/>
    <n v="2"/>
    <n v="574.58000000000004"/>
    <n v="0.06"/>
    <n v="1080.2103999999999"/>
    <s v="Credit Card"/>
    <x v="1"/>
    <x v="0"/>
    <x v="0"/>
  </r>
  <r>
    <x v="6"/>
    <s v="SALE1150"/>
    <x v="20"/>
    <x v="408"/>
    <x v="303"/>
    <x v="20"/>
    <x v="3"/>
    <n v="4"/>
    <n v="867.19"/>
    <n v="7.0000000000000007E-2"/>
    <n v="3225.9468000000002"/>
    <s v="COD"/>
    <x v="0"/>
    <x v="0"/>
    <x v="2"/>
  </r>
  <r>
    <x v="6"/>
    <s v="SALE1572"/>
    <x v="21"/>
    <x v="409"/>
    <x v="238"/>
    <x v="21"/>
    <x v="0"/>
    <n v="1"/>
    <n v="405.8"/>
    <n v="0.11"/>
    <n v="361.16199999999998"/>
    <s v="PayPal"/>
    <x v="0"/>
    <x v="0"/>
    <x v="0"/>
  </r>
  <r>
    <x v="6"/>
    <s v="SALE1664"/>
    <x v="21"/>
    <x v="410"/>
    <x v="301"/>
    <x v="21"/>
    <x v="0"/>
    <n v="3"/>
    <n v="343.97"/>
    <n v="0.04"/>
    <n v="990.6336"/>
    <s v="COD"/>
    <x v="1"/>
    <x v="0"/>
    <x v="1"/>
  </r>
  <r>
    <x v="6"/>
    <s v="SALE1530"/>
    <x v="22"/>
    <x v="411"/>
    <x v="78"/>
    <x v="22"/>
    <x v="0"/>
    <n v="3"/>
    <n v="62.03"/>
    <n v="0.01"/>
    <n v="184.22909999999999"/>
    <s v="COD"/>
    <x v="1"/>
    <x v="0"/>
    <x v="1"/>
  </r>
  <r>
    <x v="6"/>
    <s v="SALE296"/>
    <x v="96"/>
    <x v="249"/>
    <x v="55"/>
    <x v="96"/>
    <x v="3"/>
    <n v="4"/>
    <n v="108.55"/>
    <n v="0.18"/>
    <n v="356.04399999999998"/>
    <s v="PayPal"/>
    <x v="0"/>
    <x v="0"/>
    <x v="2"/>
  </r>
  <r>
    <x v="6"/>
    <s v="SALE754"/>
    <x v="23"/>
    <x v="271"/>
    <x v="343"/>
    <x v="23"/>
    <x v="0"/>
    <n v="2"/>
    <n v="567.95000000000005"/>
    <n v="0.12"/>
    <n v="999.5920000000001"/>
    <s v="PayPal"/>
    <x v="0"/>
    <x v="0"/>
    <x v="1"/>
  </r>
  <r>
    <x v="6"/>
    <s v="SALE1676"/>
    <x v="24"/>
    <x v="316"/>
    <x v="104"/>
    <x v="24"/>
    <x v="3"/>
    <n v="2"/>
    <n v="984.96"/>
    <n v="0.16"/>
    <n v="1654.7328"/>
    <s v="PayPal"/>
    <x v="0"/>
    <x v="0"/>
    <x v="0"/>
  </r>
  <r>
    <x v="6"/>
    <s v="SALE1744"/>
    <x v="25"/>
    <x v="55"/>
    <x v="344"/>
    <x v="25"/>
    <x v="4"/>
    <n v="1"/>
    <n v="588.53"/>
    <n v="0.1"/>
    <n v="529.67700000000002"/>
    <s v="Credit Card"/>
    <x v="0"/>
    <x v="0"/>
    <x v="1"/>
  </r>
  <r>
    <x v="6"/>
    <s v="SALE57"/>
    <x v="26"/>
    <x v="412"/>
    <x v="118"/>
    <x v="26"/>
    <x v="1"/>
    <n v="2"/>
    <n v="680.16"/>
    <n v="0.28000000000000003"/>
    <n v="979.43039999999996"/>
    <s v="Credit Card"/>
    <x v="1"/>
    <x v="0"/>
    <x v="3"/>
  </r>
  <r>
    <x v="6"/>
    <s v="SALE1508"/>
    <x v="83"/>
    <x v="413"/>
    <x v="35"/>
    <x v="83"/>
    <x v="0"/>
    <n v="1"/>
    <n v="994.63"/>
    <n v="0.28000000000000003"/>
    <n v="716.1336"/>
    <s v="Credit Card"/>
    <x v="1"/>
    <x v="0"/>
    <x v="0"/>
  </r>
  <r>
    <x v="6"/>
    <s v="SALE1228"/>
    <x v="28"/>
    <x v="349"/>
    <x v="74"/>
    <x v="28"/>
    <x v="4"/>
    <n v="1"/>
    <n v="38.880000000000003"/>
    <n v="0.16"/>
    <n v="32.659199999999998"/>
    <s v="COD"/>
    <x v="1"/>
    <x v="0"/>
    <x v="2"/>
  </r>
  <r>
    <x v="6"/>
    <s v="SALE430"/>
    <x v="84"/>
    <x v="414"/>
    <x v="59"/>
    <x v="84"/>
    <x v="0"/>
    <n v="3"/>
    <n v="287.70999999999998"/>
    <n v="0.03"/>
    <n v="837.23609999999985"/>
    <s v="COD"/>
    <x v="1"/>
    <x v="0"/>
    <x v="1"/>
  </r>
  <r>
    <x v="6"/>
    <s v="SALE1881"/>
    <x v="84"/>
    <x v="7"/>
    <x v="44"/>
    <x v="84"/>
    <x v="0"/>
    <n v="4"/>
    <n v="860.78"/>
    <n v="0.03"/>
    <n v="3339.8263999999999"/>
    <s v="Credit Card"/>
    <x v="0"/>
    <x v="0"/>
    <x v="1"/>
  </r>
  <r>
    <x v="6"/>
    <s v="SALE275"/>
    <x v="30"/>
    <x v="125"/>
    <x v="194"/>
    <x v="30"/>
    <x v="3"/>
    <n v="1"/>
    <n v="606.01"/>
    <n v="0.04"/>
    <n v="581.76959999999997"/>
    <s v="PayPal"/>
    <x v="0"/>
    <x v="0"/>
    <x v="2"/>
  </r>
  <r>
    <x v="6"/>
    <s v="SALE1411"/>
    <x v="32"/>
    <x v="415"/>
    <x v="345"/>
    <x v="32"/>
    <x v="2"/>
    <n v="3"/>
    <n v="169.43"/>
    <n v="0.19"/>
    <n v="411.71490000000011"/>
    <s v="Credit Card"/>
    <x v="0"/>
    <x v="0"/>
    <x v="0"/>
  </r>
  <r>
    <x v="6"/>
    <s v="SALE677"/>
    <x v="97"/>
    <x v="155"/>
    <x v="343"/>
    <x v="97"/>
    <x v="1"/>
    <n v="2"/>
    <n v="37.21"/>
    <n v="0.19"/>
    <n v="60.280200000000008"/>
    <s v="Credit Card"/>
    <x v="0"/>
    <x v="0"/>
    <x v="1"/>
  </r>
  <r>
    <x v="6"/>
    <s v="SALE1815"/>
    <x v="97"/>
    <x v="416"/>
    <x v="302"/>
    <x v="97"/>
    <x v="1"/>
    <n v="1"/>
    <n v="509.08"/>
    <n v="0.04"/>
    <n v="488.71679999999998"/>
    <s v="PayPal"/>
    <x v="0"/>
    <x v="0"/>
    <x v="1"/>
  </r>
  <r>
    <x v="6"/>
    <s v="SALE1191"/>
    <x v="97"/>
    <x v="66"/>
    <x v="346"/>
    <x v="97"/>
    <x v="1"/>
    <n v="2"/>
    <n v="579.52"/>
    <n v="0.01"/>
    <n v="1147.4495999999999"/>
    <s v="PayPal"/>
    <x v="1"/>
    <x v="0"/>
    <x v="0"/>
  </r>
  <r>
    <x v="6"/>
    <s v="SALE229"/>
    <x v="71"/>
    <x v="417"/>
    <x v="214"/>
    <x v="71"/>
    <x v="1"/>
    <n v="3"/>
    <n v="769.56"/>
    <n v="0.08"/>
    <n v="2123.9856"/>
    <s v="Credit Card"/>
    <x v="0"/>
    <x v="0"/>
    <x v="2"/>
  </r>
  <r>
    <x v="6"/>
    <s v="SALE966"/>
    <x v="35"/>
    <x v="418"/>
    <x v="58"/>
    <x v="35"/>
    <x v="0"/>
    <n v="2"/>
    <n v="233.33"/>
    <n v="0.05"/>
    <n v="443.327"/>
    <s v="Credit Card"/>
    <x v="1"/>
    <x v="0"/>
    <x v="3"/>
  </r>
  <r>
    <x v="6"/>
    <s v="SALE516"/>
    <x v="35"/>
    <x v="419"/>
    <x v="239"/>
    <x v="35"/>
    <x v="0"/>
    <n v="1"/>
    <n v="145.43"/>
    <n v="0.08"/>
    <n v="133.79560000000001"/>
    <s v="Credit Card"/>
    <x v="0"/>
    <x v="0"/>
    <x v="1"/>
  </r>
  <r>
    <x v="6"/>
    <s v="SALE418"/>
    <x v="35"/>
    <x v="420"/>
    <x v="347"/>
    <x v="35"/>
    <x v="0"/>
    <n v="3"/>
    <n v="969.83"/>
    <n v="0.02"/>
    <n v="2851.3002000000001"/>
    <s v="Credit Card"/>
    <x v="0"/>
    <x v="0"/>
    <x v="2"/>
  </r>
  <r>
    <x v="6"/>
    <s v="SALE306"/>
    <x v="35"/>
    <x v="214"/>
    <x v="348"/>
    <x v="35"/>
    <x v="0"/>
    <n v="2"/>
    <n v="837.76"/>
    <n v="0.03"/>
    <n v="1625.2544"/>
    <s v="COD"/>
    <x v="0"/>
    <x v="0"/>
    <x v="3"/>
  </r>
  <r>
    <x v="6"/>
    <s v="SALE1073"/>
    <x v="37"/>
    <x v="421"/>
    <x v="156"/>
    <x v="37"/>
    <x v="1"/>
    <n v="2"/>
    <n v="891.8"/>
    <n v="0.28999999999999998"/>
    <n v="1266.356"/>
    <s v="COD"/>
    <x v="1"/>
    <x v="0"/>
    <x v="2"/>
  </r>
  <r>
    <x v="6"/>
    <s v="SALE1380"/>
    <x v="72"/>
    <x v="422"/>
    <x v="349"/>
    <x v="72"/>
    <x v="3"/>
    <n v="2"/>
    <n v="546.41"/>
    <n v="0.08"/>
    <n v="1005.3944"/>
    <s v="COD"/>
    <x v="1"/>
    <x v="0"/>
    <x v="1"/>
  </r>
  <r>
    <x v="6"/>
    <s v="SALE1830"/>
    <x v="72"/>
    <x v="48"/>
    <x v="342"/>
    <x v="72"/>
    <x v="3"/>
    <n v="4"/>
    <n v="611.91999999999996"/>
    <n v="0.2"/>
    <n v="1958.144"/>
    <s v="PayPal"/>
    <x v="0"/>
    <x v="0"/>
    <x v="0"/>
  </r>
  <r>
    <x v="6"/>
    <s v="SALE1375"/>
    <x v="88"/>
    <x v="120"/>
    <x v="78"/>
    <x v="88"/>
    <x v="2"/>
    <n v="4"/>
    <n v="207.41"/>
    <n v="0.02"/>
    <n v="813.04719999999998"/>
    <s v="Credit Card"/>
    <x v="1"/>
    <x v="0"/>
    <x v="1"/>
  </r>
  <r>
    <x v="6"/>
    <s v="SALE730"/>
    <x v="88"/>
    <x v="423"/>
    <x v="350"/>
    <x v="88"/>
    <x v="2"/>
    <n v="1"/>
    <n v="522.72"/>
    <n v="0.25"/>
    <n v="392.04"/>
    <s v="PayPal"/>
    <x v="0"/>
    <x v="0"/>
    <x v="3"/>
  </r>
  <r>
    <x v="6"/>
    <s v="SALE1001"/>
    <x v="40"/>
    <x v="424"/>
    <x v="224"/>
    <x v="40"/>
    <x v="4"/>
    <n v="4"/>
    <n v="593.84"/>
    <n v="0.24"/>
    <n v="1805.2736"/>
    <s v="PayPal"/>
    <x v="0"/>
    <x v="0"/>
    <x v="2"/>
  </r>
  <r>
    <x v="6"/>
    <s v="SALE438"/>
    <x v="40"/>
    <x v="425"/>
    <x v="16"/>
    <x v="40"/>
    <x v="4"/>
    <n v="2"/>
    <n v="527.05999999999995"/>
    <n v="0.17"/>
    <n v="874.91959999999983"/>
    <s v="PayPal"/>
    <x v="1"/>
    <x v="0"/>
    <x v="3"/>
  </r>
  <r>
    <x v="6"/>
    <s v="SALE1848"/>
    <x v="40"/>
    <x v="312"/>
    <x v="351"/>
    <x v="40"/>
    <x v="4"/>
    <n v="2"/>
    <n v="478.62"/>
    <n v="0.17"/>
    <n v="794.50919999999996"/>
    <s v="COD"/>
    <x v="0"/>
    <x v="0"/>
    <x v="3"/>
  </r>
  <r>
    <x v="6"/>
    <s v="SALE415"/>
    <x v="41"/>
    <x v="426"/>
    <x v="352"/>
    <x v="41"/>
    <x v="2"/>
    <n v="1"/>
    <n v="108.27"/>
    <n v="0.1"/>
    <n v="97.442999999999998"/>
    <s v="COD"/>
    <x v="1"/>
    <x v="0"/>
    <x v="0"/>
  </r>
  <r>
    <x v="6"/>
    <s v="SALE1892"/>
    <x v="41"/>
    <x v="427"/>
    <x v="98"/>
    <x v="41"/>
    <x v="2"/>
    <n v="2"/>
    <n v="47.3"/>
    <n v="0.01"/>
    <n v="93.653999999999996"/>
    <s v="PayPal"/>
    <x v="0"/>
    <x v="0"/>
    <x v="1"/>
  </r>
  <r>
    <x v="6"/>
    <s v="SALE1440"/>
    <x v="41"/>
    <x v="343"/>
    <x v="353"/>
    <x v="41"/>
    <x v="2"/>
    <n v="2"/>
    <n v="424.53"/>
    <n v="0.14000000000000001"/>
    <n v="730.19159999999999"/>
    <s v="COD"/>
    <x v="0"/>
    <x v="0"/>
    <x v="0"/>
  </r>
  <r>
    <x v="6"/>
    <s v="SALE407"/>
    <x v="41"/>
    <x v="160"/>
    <x v="354"/>
    <x v="41"/>
    <x v="2"/>
    <n v="2"/>
    <n v="247.67"/>
    <n v="0.1"/>
    <n v="445.80599999999998"/>
    <s v="PayPal"/>
    <x v="1"/>
    <x v="0"/>
    <x v="2"/>
  </r>
  <r>
    <x v="6"/>
    <s v="SALE139"/>
    <x v="73"/>
    <x v="50"/>
    <x v="156"/>
    <x v="73"/>
    <x v="1"/>
    <n v="4"/>
    <n v="715.85"/>
    <n v="0.25"/>
    <n v="2147.5500000000002"/>
    <s v="PayPal"/>
    <x v="1"/>
    <x v="0"/>
    <x v="2"/>
  </r>
  <r>
    <x v="6"/>
    <s v="SALE1039"/>
    <x v="42"/>
    <x v="385"/>
    <x v="186"/>
    <x v="42"/>
    <x v="3"/>
    <n v="3"/>
    <n v="336.09"/>
    <n v="0.01"/>
    <n v="998.18729999999994"/>
    <s v="PayPal"/>
    <x v="1"/>
    <x v="0"/>
    <x v="3"/>
  </r>
  <r>
    <x v="6"/>
    <s v="SALE1792"/>
    <x v="43"/>
    <x v="428"/>
    <x v="79"/>
    <x v="43"/>
    <x v="3"/>
    <n v="2"/>
    <n v="720.15"/>
    <n v="0.22"/>
    <n v="1123.434"/>
    <s v="COD"/>
    <x v="0"/>
    <x v="0"/>
    <x v="3"/>
  </r>
  <r>
    <x v="6"/>
    <s v="SALE1523"/>
    <x v="44"/>
    <x v="83"/>
    <x v="355"/>
    <x v="44"/>
    <x v="0"/>
    <n v="2"/>
    <n v="611.21"/>
    <n v="0.22"/>
    <n v="953.48760000000004"/>
    <s v="COD"/>
    <x v="1"/>
    <x v="0"/>
    <x v="0"/>
  </r>
  <r>
    <x v="6"/>
    <s v="SALE1124"/>
    <x v="90"/>
    <x v="133"/>
    <x v="356"/>
    <x v="90"/>
    <x v="0"/>
    <n v="3"/>
    <n v="291.05"/>
    <n v="0.3"/>
    <n v="611.20500000000004"/>
    <s v="Credit Card"/>
    <x v="0"/>
    <x v="0"/>
    <x v="1"/>
  </r>
  <r>
    <x v="6"/>
    <s v="SALE1055"/>
    <x v="90"/>
    <x v="429"/>
    <x v="23"/>
    <x v="90"/>
    <x v="0"/>
    <n v="2"/>
    <n v="720.32"/>
    <n v="0.26"/>
    <n v="1066.0735999999999"/>
    <s v="Credit Card"/>
    <x v="1"/>
    <x v="0"/>
    <x v="1"/>
  </r>
  <r>
    <x v="6"/>
    <s v="SALE923"/>
    <x v="74"/>
    <x v="184"/>
    <x v="127"/>
    <x v="74"/>
    <x v="0"/>
    <n v="3"/>
    <n v="212.87"/>
    <n v="0.18"/>
    <n v="523.66020000000003"/>
    <s v="Credit Card"/>
    <x v="0"/>
    <x v="0"/>
    <x v="1"/>
  </r>
  <r>
    <x v="6"/>
    <s v="SALE958"/>
    <x v="75"/>
    <x v="69"/>
    <x v="326"/>
    <x v="75"/>
    <x v="2"/>
    <n v="3"/>
    <n v="240.51"/>
    <n v="7.0000000000000007E-2"/>
    <n v="671.02289999999994"/>
    <s v="Credit Card"/>
    <x v="1"/>
    <x v="0"/>
    <x v="3"/>
  </r>
  <r>
    <x v="6"/>
    <s v="SALE449"/>
    <x v="48"/>
    <x v="168"/>
    <x v="357"/>
    <x v="48"/>
    <x v="1"/>
    <n v="2"/>
    <n v="541.39"/>
    <n v="0.03"/>
    <n v="1050.2965999999999"/>
    <s v="COD"/>
    <x v="1"/>
    <x v="0"/>
    <x v="3"/>
  </r>
  <r>
    <x v="6"/>
    <s v="SALE1551"/>
    <x v="78"/>
    <x v="190"/>
    <x v="125"/>
    <x v="78"/>
    <x v="2"/>
    <n v="1"/>
    <n v="46.66"/>
    <n v="0.2"/>
    <n v="37.328000000000003"/>
    <s v="Credit Card"/>
    <x v="0"/>
    <x v="0"/>
    <x v="1"/>
  </r>
  <r>
    <x v="6"/>
    <s v="SALE1268"/>
    <x v="52"/>
    <x v="430"/>
    <x v="27"/>
    <x v="52"/>
    <x v="3"/>
    <n v="1"/>
    <n v="883.36"/>
    <n v="0.11"/>
    <n v="786.19040000000007"/>
    <s v="PayPal"/>
    <x v="0"/>
    <x v="0"/>
    <x v="3"/>
  </r>
  <r>
    <x v="6"/>
    <s v="SALE1441"/>
    <x v="52"/>
    <x v="375"/>
    <x v="308"/>
    <x v="52"/>
    <x v="3"/>
    <n v="4"/>
    <n v="450.42"/>
    <n v="0.08"/>
    <n v="1657.5455999999999"/>
    <s v="COD"/>
    <x v="1"/>
    <x v="0"/>
    <x v="1"/>
  </r>
  <r>
    <x v="6"/>
    <s v="SALE1391"/>
    <x v="53"/>
    <x v="431"/>
    <x v="358"/>
    <x v="53"/>
    <x v="1"/>
    <n v="1"/>
    <n v="174.27"/>
    <n v="0.27"/>
    <n v="127.2171"/>
    <s v="COD"/>
    <x v="0"/>
    <x v="0"/>
    <x v="1"/>
  </r>
  <r>
    <x v="6"/>
    <s v="SALE780"/>
    <x v="53"/>
    <x v="312"/>
    <x v="218"/>
    <x v="53"/>
    <x v="1"/>
    <n v="4"/>
    <n v="79.75"/>
    <n v="0.18"/>
    <n v="261.58"/>
    <s v="PayPal"/>
    <x v="0"/>
    <x v="0"/>
    <x v="2"/>
  </r>
  <r>
    <x v="6"/>
    <s v="SALE1290"/>
    <x v="55"/>
    <x v="432"/>
    <x v="114"/>
    <x v="55"/>
    <x v="4"/>
    <n v="3"/>
    <n v="690.27"/>
    <n v="7.0000000000000007E-2"/>
    <n v="1925.8533"/>
    <s v="PayPal"/>
    <x v="1"/>
    <x v="0"/>
    <x v="1"/>
  </r>
  <r>
    <x v="6"/>
    <s v="SALE1351"/>
    <x v="56"/>
    <x v="433"/>
    <x v="292"/>
    <x v="56"/>
    <x v="2"/>
    <n v="3"/>
    <n v="972.58"/>
    <n v="0.28000000000000003"/>
    <n v="2100.7728000000002"/>
    <s v="COD"/>
    <x v="0"/>
    <x v="0"/>
    <x v="1"/>
  </r>
  <r>
    <x v="6"/>
    <s v="SALE192"/>
    <x v="56"/>
    <x v="434"/>
    <x v="359"/>
    <x v="56"/>
    <x v="2"/>
    <n v="3"/>
    <n v="361.65"/>
    <n v="0.15"/>
    <n v="922.20749999999987"/>
    <s v="COD"/>
    <x v="0"/>
    <x v="0"/>
    <x v="2"/>
  </r>
  <r>
    <x v="6"/>
    <s v="SALE480"/>
    <x v="93"/>
    <x v="435"/>
    <x v="266"/>
    <x v="93"/>
    <x v="0"/>
    <n v="1"/>
    <n v="744.88"/>
    <n v="0.15"/>
    <n v="633.14800000000002"/>
    <s v="COD"/>
    <x v="1"/>
    <x v="0"/>
    <x v="2"/>
  </r>
  <r>
    <x v="6"/>
    <s v="SALE775"/>
    <x v="57"/>
    <x v="345"/>
    <x v="114"/>
    <x v="57"/>
    <x v="1"/>
    <n v="1"/>
    <n v="269.94"/>
    <n v="7.0000000000000007E-2"/>
    <n v="251.04419999999999"/>
    <s v="COD"/>
    <x v="1"/>
    <x v="0"/>
    <x v="1"/>
  </r>
  <r>
    <x v="6"/>
    <s v="SALE1658"/>
    <x v="58"/>
    <x v="436"/>
    <x v="7"/>
    <x v="58"/>
    <x v="3"/>
    <n v="2"/>
    <n v="100.42"/>
    <n v="0.06"/>
    <n v="188.78960000000001"/>
    <s v="Credit Card"/>
    <x v="0"/>
    <x v="0"/>
    <x v="0"/>
  </r>
  <r>
    <x v="6"/>
    <s v="SALE665"/>
    <x v="58"/>
    <x v="437"/>
    <x v="319"/>
    <x v="58"/>
    <x v="3"/>
    <n v="4"/>
    <n v="20.09"/>
    <n v="0.16"/>
    <n v="67.502399999999994"/>
    <s v="PayPal"/>
    <x v="0"/>
    <x v="0"/>
    <x v="1"/>
  </r>
  <r>
    <x v="6"/>
    <s v="SALE1908"/>
    <x v="58"/>
    <x v="304"/>
    <x v="192"/>
    <x v="58"/>
    <x v="3"/>
    <n v="2"/>
    <n v="452.29"/>
    <n v="0.01"/>
    <n v="895.53420000000006"/>
    <s v="COD"/>
    <x v="0"/>
    <x v="0"/>
    <x v="2"/>
  </r>
  <r>
    <x v="6"/>
    <s v="SALE640"/>
    <x v="59"/>
    <x v="313"/>
    <x v="360"/>
    <x v="59"/>
    <x v="4"/>
    <n v="3"/>
    <n v="950.83"/>
    <n v="0.06"/>
    <n v="2681.3406"/>
    <s v="PayPal"/>
    <x v="1"/>
    <x v="0"/>
    <x v="2"/>
  </r>
  <r>
    <x v="6"/>
    <s v="SALE714"/>
    <x v="94"/>
    <x v="438"/>
    <x v="320"/>
    <x v="94"/>
    <x v="0"/>
    <n v="4"/>
    <n v="912.61"/>
    <n v="0.14000000000000001"/>
    <n v="3139.3784000000001"/>
    <s v="Credit Card"/>
    <x v="0"/>
    <x v="0"/>
    <x v="3"/>
  </r>
  <r>
    <x v="7"/>
    <s v="SALE1698"/>
    <x v="98"/>
    <x v="32"/>
    <x v="185"/>
    <x v="98"/>
    <x v="0"/>
    <n v="3"/>
    <n v="407.39"/>
    <n v="0.08"/>
    <n v="1124.3964000000001"/>
    <s v="PayPal"/>
    <x v="0"/>
    <x v="0"/>
    <x v="1"/>
  </r>
  <r>
    <x v="7"/>
    <s v="SALE1626"/>
    <x v="81"/>
    <x v="338"/>
    <x v="361"/>
    <x v="81"/>
    <x v="4"/>
    <n v="2"/>
    <n v="462.93"/>
    <n v="0.17"/>
    <n v="768.46379999999999"/>
    <s v="PayPal"/>
    <x v="1"/>
    <x v="0"/>
    <x v="0"/>
  </r>
  <r>
    <x v="7"/>
    <s v="SALE1235"/>
    <x v="81"/>
    <x v="330"/>
    <x v="139"/>
    <x v="81"/>
    <x v="4"/>
    <n v="3"/>
    <n v="402.3"/>
    <n v="0.21"/>
    <n v="953.45100000000014"/>
    <s v="PayPal"/>
    <x v="0"/>
    <x v="0"/>
    <x v="2"/>
  </r>
  <r>
    <x v="7"/>
    <s v="SALE338"/>
    <x v="60"/>
    <x v="409"/>
    <x v="53"/>
    <x v="60"/>
    <x v="2"/>
    <n v="2"/>
    <n v="188.25"/>
    <n v="0.08"/>
    <n v="346.38"/>
    <s v="PayPal"/>
    <x v="0"/>
    <x v="0"/>
    <x v="0"/>
  </r>
  <r>
    <x v="7"/>
    <s v="SALE1494"/>
    <x v="60"/>
    <x v="26"/>
    <x v="131"/>
    <x v="60"/>
    <x v="2"/>
    <n v="4"/>
    <n v="316.18"/>
    <n v="0.12"/>
    <n v="1112.9536000000001"/>
    <s v="Credit Card"/>
    <x v="1"/>
    <x v="0"/>
    <x v="2"/>
  </r>
  <r>
    <x v="7"/>
    <s v="SALE341"/>
    <x v="0"/>
    <x v="439"/>
    <x v="362"/>
    <x v="0"/>
    <x v="0"/>
    <n v="3"/>
    <n v="121.64"/>
    <n v="7.0000000000000007E-2"/>
    <n v="339.37560000000002"/>
    <s v="PayPal"/>
    <x v="0"/>
    <x v="0"/>
    <x v="3"/>
  </r>
  <r>
    <x v="7"/>
    <s v="SALE1092"/>
    <x v="0"/>
    <x v="350"/>
    <x v="314"/>
    <x v="0"/>
    <x v="0"/>
    <n v="4"/>
    <n v="632.24"/>
    <n v="0.25"/>
    <n v="1896.72"/>
    <s v="PayPal"/>
    <x v="0"/>
    <x v="0"/>
    <x v="1"/>
  </r>
  <r>
    <x v="7"/>
    <s v="SALE442"/>
    <x v="0"/>
    <x v="189"/>
    <x v="179"/>
    <x v="0"/>
    <x v="0"/>
    <n v="2"/>
    <n v="298.01"/>
    <n v="0.05"/>
    <n v="566.21899999999994"/>
    <s v="Credit Card"/>
    <x v="1"/>
    <x v="0"/>
    <x v="0"/>
  </r>
  <r>
    <x v="7"/>
    <s v="SALE639"/>
    <x v="0"/>
    <x v="342"/>
    <x v="355"/>
    <x v="0"/>
    <x v="0"/>
    <n v="4"/>
    <n v="369.22"/>
    <n v="0.18"/>
    <n v="1211.0416"/>
    <s v="COD"/>
    <x v="1"/>
    <x v="0"/>
    <x v="0"/>
  </r>
  <r>
    <x v="7"/>
    <s v="SALE548"/>
    <x v="1"/>
    <x v="440"/>
    <x v="363"/>
    <x v="1"/>
    <x v="1"/>
    <n v="2"/>
    <n v="562.97"/>
    <n v="0.2"/>
    <n v="900.75200000000007"/>
    <s v="Credit Card"/>
    <x v="0"/>
    <x v="0"/>
    <x v="0"/>
  </r>
  <r>
    <x v="7"/>
    <s v="SALE300"/>
    <x v="1"/>
    <x v="182"/>
    <x v="189"/>
    <x v="1"/>
    <x v="1"/>
    <n v="4"/>
    <n v="889.47"/>
    <n v="0.24"/>
    <n v="2703.9888000000001"/>
    <s v="Credit Card"/>
    <x v="0"/>
    <x v="0"/>
    <x v="2"/>
  </r>
  <r>
    <x v="7"/>
    <s v="SALE935"/>
    <x v="61"/>
    <x v="134"/>
    <x v="75"/>
    <x v="61"/>
    <x v="0"/>
    <n v="2"/>
    <n v="65.44"/>
    <n v="0.05"/>
    <n v="124.336"/>
    <s v="PayPal"/>
    <x v="0"/>
    <x v="0"/>
    <x v="2"/>
  </r>
  <r>
    <x v="7"/>
    <s v="SALE422"/>
    <x v="61"/>
    <x v="333"/>
    <x v="364"/>
    <x v="61"/>
    <x v="0"/>
    <n v="1"/>
    <n v="206.45"/>
    <n v="0.15"/>
    <n v="175.48249999999999"/>
    <s v="PayPal"/>
    <x v="1"/>
    <x v="0"/>
    <x v="0"/>
  </r>
  <r>
    <x v="7"/>
    <s v="SALE945"/>
    <x v="2"/>
    <x v="213"/>
    <x v="199"/>
    <x v="2"/>
    <x v="2"/>
    <n v="4"/>
    <n v="973.9"/>
    <n v="0.02"/>
    <n v="3817.6880000000001"/>
    <s v="COD"/>
    <x v="0"/>
    <x v="0"/>
    <x v="0"/>
  </r>
  <r>
    <x v="7"/>
    <s v="SALE347"/>
    <x v="62"/>
    <x v="441"/>
    <x v="241"/>
    <x v="62"/>
    <x v="0"/>
    <n v="2"/>
    <n v="280.37"/>
    <n v="0.22"/>
    <n v="437.37720000000002"/>
    <s v="COD"/>
    <x v="0"/>
    <x v="0"/>
    <x v="1"/>
  </r>
  <r>
    <x v="7"/>
    <s v="SALE355"/>
    <x v="62"/>
    <x v="104"/>
    <x v="122"/>
    <x v="62"/>
    <x v="0"/>
    <n v="2"/>
    <n v="899.27"/>
    <n v="0.17"/>
    <n v="1492.7882"/>
    <s v="Credit Card"/>
    <x v="0"/>
    <x v="0"/>
    <x v="1"/>
  </r>
  <r>
    <x v="7"/>
    <s v="SALE1098"/>
    <x v="62"/>
    <x v="23"/>
    <x v="348"/>
    <x v="62"/>
    <x v="0"/>
    <n v="3"/>
    <n v="248.43"/>
    <n v="0.24"/>
    <n v="566.42039999999997"/>
    <s v="COD"/>
    <x v="0"/>
    <x v="0"/>
    <x v="3"/>
  </r>
  <r>
    <x v="7"/>
    <s v="SALE1689"/>
    <x v="4"/>
    <x v="442"/>
    <x v="365"/>
    <x v="4"/>
    <x v="3"/>
    <n v="4"/>
    <n v="742.15"/>
    <n v="0.1"/>
    <n v="2671.74"/>
    <s v="COD"/>
    <x v="1"/>
    <x v="0"/>
    <x v="1"/>
  </r>
  <r>
    <x v="7"/>
    <s v="SALE635"/>
    <x v="5"/>
    <x v="166"/>
    <x v="366"/>
    <x v="5"/>
    <x v="4"/>
    <n v="1"/>
    <n v="124.98"/>
    <n v="7.0000000000000007E-2"/>
    <n v="116.23139999999999"/>
    <s v="COD"/>
    <x v="0"/>
    <x v="0"/>
    <x v="0"/>
  </r>
  <r>
    <x v="7"/>
    <s v="SALE554"/>
    <x v="6"/>
    <x v="438"/>
    <x v="367"/>
    <x v="6"/>
    <x v="3"/>
    <n v="3"/>
    <n v="543.22"/>
    <n v="0.05"/>
    <n v="1548.1769999999999"/>
    <s v="COD"/>
    <x v="1"/>
    <x v="0"/>
    <x v="3"/>
  </r>
  <r>
    <x v="7"/>
    <s v="SALE792"/>
    <x v="6"/>
    <x v="443"/>
    <x v="139"/>
    <x v="6"/>
    <x v="3"/>
    <n v="1"/>
    <n v="512.16"/>
    <n v="0.02"/>
    <n v="501.91680000000002"/>
    <s v="COD"/>
    <x v="0"/>
    <x v="0"/>
    <x v="2"/>
  </r>
  <r>
    <x v="7"/>
    <s v="SALE1446"/>
    <x v="82"/>
    <x v="236"/>
    <x v="2"/>
    <x v="82"/>
    <x v="4"/>
    <n v="4"/>
    <n v="601.5"/>
    <n v="0.18"/>
    <n v="1972.92"/>
    <s v="Credit Card"/>
    <x v="1"/>
    <x v="0"/>
    <x v="1"/>
  </r>
  <r>
    <x v="7"/>
    <s v="SALE547"/>
    <x v="63"/>
    <x v="6"/>
    <x v="368"/>
    <x v="63"/>
    <x v="4"/>
    <n v="1"/>
    <n v="352.43"/>
    <n v="0.14000000000000001"/>
    <n v="303.08980000000003"/>
    <s v="PayPal"/>
    <x v="1"/>
    <x v="0"/>
    <x v="1"/>
  </r>
  <r>
    <x v="7"/>
    <s v="SALE637"/>
    <x v="63"/>
    <x v="118"/>
    <x v="369"/>
    <x v="63"/>
    <x v="4"/>
    <n v="1"/>
    <n v="563.32000000000005"/>
    <n v="0.01"/>
    <n v="557.68680000000006"/>
    <s v="PayPal"/>
    <x v="0"/>
    <x v="0"/>
    <x v="3"/>
  </r>
  <r>
    <x v="7"/>
    <s v="SALE14"/>
    <x v="64"/>
    <x v="343"/>
    <x v="169"/>
    <x v="64"/>
    <x v="3"/>
    <n v="4"/>
    <n v="403.47"/>
    <n v="0.28999999999999998"/>
    <n v="1145.8548000000001"/>
    <s v="PayPal"/>
    <x v="0"/>
    <x v="0"/>
    <x v="0"/>
  </r>
  <r>
    <x v="7"/>
    <s v="SALE822"/>
    <x v="10"/>
    <x v="385"/>
    <x v="335"/>
    <x v="10"/>
    <x v="4"/>
    <n v="4"/>
    <n v="94.13"/>
    <n v="0.15"/>
    <n v="320.04199999999997"/>
    <s v="Credit Card"/>
    <x v="1"/>
    <x v="0"/>
    <x v="1"/>
  </r>
  <r>
    <x v="7"/>
    <s v="SALE1409"/>
    <x v="10"/>
    <x v="391"/>
    <x v="199"/>
    <x v="10"/>
    <x v="4"/>
    <n v="2"/>
    <n v="795.37"/>
    <n v="0.2"/>
    <n v="1272.5920000000001"/>
    <s v="COD"/>
    <x v="0"/>
    <x v="0"/>
    <x v="0"/>
  </r>
  <r>
    <x v="7"/>
    <s v="SALE176"/>
    <x v="10"/>
    <x v="137"/>
    <x v="53"/>
    <x v="10"/>
    <x v="4"/>
    <n v="1"/>
    <n v="857.35"/>
    <n v="0.28000000000000003"/>
    <n v="617.29200000000003"/>
    <s v="PayPal"/>
    <x v="0"/>
    <x v="0"/>
    <x v="0"/>
  </r>
  <r>
    <x v="7"/>
    <s v="SALE932"/>
    <x v="10"/>
    <x v="429"/>
    <x v="33"/>
    <x v="10"/>
    <x v="4"/>
    <n v="3"/>
    <n v="504.97"/>
    <n v="0.3"/>
    <n v="1060.4369999999999"/>
    <s v="Credit Card"/>
    <x v="0"/>
    <x v="0"/>
    <x v="1"/>
  </r>
  <r>
    <x v="7"/>
    <s v="SALE1164"/>
    <x v="14"/>
    <x v="444"/>
    <x v="112"/>
    <x v="14"/>
    <x v="4"/>
    <n v="1"/>
    <n v="74.290000000000006"/>
    <n v="0.3"/>
    <n v="52.003"/>
    <s v="COD"/>
    <x v="0"/>
    <x v="0"/>
    <x v="1"/>
  </r>
  <r>
    <x v="7"/>
    <s v="SALE841"/>
    <x v="66"/>
    <x v="179"/>
    <x v="133"/>
    <x v="66"/>
    <x v="3"/>
    <n v="3"/>
    <n v="108.14"/>
    <n v="0.19"/>
    <n v="262.78019999999998"/>
    <s v="COD"/>
    <x v="1"/>
    <x v="0"/>
    <x v="3"/>
  </r>
  <r>
    <x v="7"/>
    <s v="SALE1748"/>
    <x v="66"/>
    <x v="218"/>
    <x v="332"/>
    <x v="66"/>
    <x v="3"/>
    <n v="2"/>
    <n v="31.28"/>
    <n v="0.2"/>
    <n v="50.048000000000002"/>
    <s v="COD"/>
    <x v="1"/>
    <x v="0"/>
    <x v="2"/>
  </r>
  <r>
    <x v="7"/>
    <s v="SALE1262"/>
    <x v="67"/>
    <x v="445"/>
    <x v="370"/>
    <x v="67"/>
    <x v="1"/>
    <n v="1"/>
    <n v="223.25"/>
    <n v="0.28999999999999998"/>
    <n v="158.50749999999999"/>
    <s v="Credit Card"/>
    <x v="1"/>
    <x v="0"/>
    <x v="1"/>
  </r>
  <r>
    <x v="7"/>
    <s v="SALE867"/>
    <x v="15"/>
    <x v="446"/>
    <x v="244"/>
    <x v="15"/>
    <x v="2"/>
    <n v="2"/>
    <n v="667.17"/>
    <n v="0.1"/>
    <n v="1200.9059999999999"/>
    <s v="PayPal"/>
    <x v="0"/>
    <x v="0"/>
    <x v="1"/>
  </r>
  <r>
    <x v="7"/>
    <s v="SALE1791"/>
    <x v="15"/>
    <x v="34"/>
    <x v="136"/>
    <x v="15"/>
    <x v="2"/>
    <n v="1"/>
    <n v="161.16999999999999"/>
    <n v="0.05"/>
    <n v="153.11150000000001"/>
    <s v="Credit Card"/>
    <x v="0"/>
    <x v="0"/>
    <x v="0"/>
  </r>
  <r>
    <x v="7"/>
    <s v="SALE1140"/>
    <x v="16"/>
    <x v="447"/>
    <x v="269"/>
    <x v="16"/>
    <x v="0"/>
    <n v="2"/>
    <n v="696.61"/>
    <n v="0.17"/>
    <n v="1156.3725999999999"/>
    <s v="PayPal"/>
    <x v="1"/>
    <x v="0"/>
    <x v="0"/>
  </r>
  <r>
    <x v="7"/>
    <s v="SALE1623"/>
    <x v="16"/>
    <x v="448"/>
    <x v="371"/>
    <x v="16"/>
    <x v="0"/>
    <n v="2"/>
    <n v="223.73"/>
    <n v="0.11"/>
    <n v="398.23939999999999"/>
    <s v="PayPal"/>
    <x v="1"/>
    <x v="0"/>
    <x v="2"/>
  </r>
  <r>
    <x v="7"/>
    <s v="SALE1219"/>
    <x v="17"/>
    <x v="413"/>
    <x v="32"/>
    <x v="17"/>
    <x v="2"/>
    <n v="4"/>
    <n v="642.04999999999995"/>
    <n v="0.25"/>
    <n v="1926.15"/>
    <s v="Credit Card"/>
    <x v="1"/>
    <x v="0"/>
    <x v="2"/>
  </r>
  <r>
    <x v="7"/>
    <s v="SALE1681"/>
    <x v="19"/>
    <x v="182"/>
    <x v="372"/>
    <x v="19"/>
    <x v="4"/>
    <n v="3"/>
    <n v="281.95999999999998"/>
    <n v="0.01"/>
    <n v="837.42119999999989"/>
    <s v="COD"/>
    <x v="0"/>
    <x v="0"/>
    <x v="0"/>
  </r>
  <r>
    <x v="7"/>
    <s v="SALE825"/>
    <x v="19"/>
    <x v="449"/>
    <x v="293"/>
    <x v="19"/>
    <x v="4"/>
    <n v="4"/>
    <n v="184.57"/>
    <n v="0.28000000000000003"/>
    <n v="531.5616"/>
    <s v="Credit Card"/>
    <x v="1"/>
    <x v="0"/>
    <x v="2"/>
  </r>
  <r>
    <x v="7"/>
    <s v="SALE1306"/>
    <x v="20"/>
    <x v="177"/>
    <x v="373"/>
    <x v="20"/>
    <x v="3"/>
    <n v="2"/>
    <n v="235.39"/>
    <n v="0.27"/>
    <n v="343.6694"/>
    <s v="COD"/>
    <x v="0"/>
    <x v="0"/>
    <x v="2"/>
  </r>
  <r>
    <x v="7"/>
    <s v="SALE1053"/>
    <x v="20"/>
    <x v="450"/>
    <x v="320"/>
    <x v="20"/>
    <x v="3"/>
    <n v="4"/>
    <n v="132.88999999999999"/>
    <n v="0.12"/>
    <n v="467.77280000000002"/>
    <s v="Credit Card"/>
    <x v="0"/>
    <x v="0"/>
    <x v="3"/>
  </r>
  <r>
    <x v="7"/>
    <s v="SALE1524"/>
    <x v="21"/>
    <x v="451"/>
    <x v="310"/>
    <x v="21"/>
    <x v="0"/>
    <n v="2"/>
    <n v="768.08"/>
    <n v="0.26"/>
    <n v="1136.7583999999999"/>
    <s v="PayPal"/>
    <x v="1"/>
    <x v="0"/>
    <x v="1"/>
  </r>
  <r>
    <x v="7"/>
    <s v="SALE1427"/>
    <x v="21"/>
    <x v="55"/>
    <x v="127"/>
    <x v="21"/>
    <x v="0"/>
    <n v="3"/>
    <n v="836.27"/>
    <n v="0.16"/>
    <n v="2107.4004"/>
    <s v="Credit Card"/>
    <x v="0"/>
    <x v="0"/>
    <x v="1"/>
  </r>
  <r>
    <x v="7"/>
    <s v="SALE871"/>
    <x v="22"/>
    <x v="452"/>
    <x v="200"/>
    <x v="22"/>
    <x v="0"/>
    <n v="1"/>
    <n v="517.82000000000005"/>
    <n v="0.28999999999999998"/>
    <n v="367.65219999999999"/>
    <s v="Credit Card"/>
    <x v="1"/>
    <x v="0"/>
    <x v="0"/>
  </r>
  <r>
    <x v="7"/>
    <s v="SALE844"/>
    <x v="68"/>
    <x v="453"/>
    <x v="33"/>
    <x v="68"/>
    <x v="0"/>
    <n v="3"/>
    <n v="791.75"/>
    <n v="0.28999999999999998"/>
    <n v="1686.4275"/>
    <s v="Credit Card"/>
    <x v="0"/>
    <x v="0"/>
    <x v="1"/>
  </r>
  <r>
    <x v="7"/>
    <s v="SALE855"/>
    <x v="24"/>
    <x v="134"/>
    <x v="374"/>
    <x v="24"/>
    <x v="3"/>
    <n v="3"/>
    <n v="674.66"/>
    <n v="0.23"/>
    <n v="1558.4646"/>
    <s v="Credit Card"/>
    <x v="0"/>
    <x v="0"/>
    <x v="3"/>
  </r>
  <r>
    <x v="7"/>
    <s v="SALE374"/>
    <x v="24"/>
    <x v="454"/>
    <x v="375"/>
    <x v="24"/>
    <x v="3"/>
    <n v="1"/>
    <n v="496.19"/>
    <n v="0.08"/>
    <n v="456.4948"/>
    <s v="COD"/>
    <x v="0"/>
    <x v="0"/>
    <x v="3"/>
  </r>
  <r>
    <x v="7"/>
    <s v="SALE964"/>
    <x v="25"/>
    <x v="455"/>
    <x v="195"/>
    <x v="25"/>
    <x v="4"/>
    <n v="4"/>
    <n v="614.99"/>
    <n v="0.16"/>
    <n v="2066.3663999999999"/>
    <s v="PayPal"/>
    <x v="0"/>
    <x v="0"/>
    <x v="0"/>
  </r>
  <r>
    <x v="7"/>
    <s v="SALE1560"/>
    <x v="83"/>
    <x v="309"/>
    <x v="376"/>
    <x v="83"/>
    <x v="0"/>
    <n v="1"/>
    <n v="135.13"/>
    <n v="0.04"/>
    <n v="129.72479999999999"/>
    <s v="Credit Card"/>
    <x v="1"/>
    <x v="0"/>
    <x v="1"/>
  </r>
  <r>
    <x v="7"/>
    <s v="SALE1281"/>
    <x v="27"/>
    <x v="456"/>
    <x v="37"/>
    <x v="27"/>
    <x v="1"/>
    <n v="3"/>
    <n v="225.14"/>
    <n v="0.15"/>
    <n v="574.10699999999997"/>
    <s v="COD"/>
    <x v="1"/>
    <x v="0"/>
    <x v="1"/>
  </r>
  <r>
    <x v="7"/>
    <s v="SALE1362"/>
    <x v="30"/>
    <x v="457"/>
    <x v="15"/>
    <x v="30"/>
    <x v="3"/>
    <n v="3"/>
    <n v="789.05"/>
    <n v="0"/>
    <n v="2367.15"/>
    <s v="PayPal"/>
    <x v="0"/>
    <x v="0"/>
    <x v="2"/>
  </r>
  <r>
    <x v="7"/>
    <s v="SALE145"/>
    <x v="30"/>
    <x v="458"/>
    <x v="377"/>
    <x v="30"/>
    <x v="3"/>
    <n v="2"/>
    <n v="536.84"/>
    <n v="0.09"/>
    <n v="977.04880000000014"/>
    <s v="COD"/>
    <x v="1"/>
    <x v="0"/>
    <x v="3"/>
  </r>
  <r>
    <x v="7"/>
    <s v="SALE1207"/>
    <x v="97"/>
    <x v="166"/>
    <x v="378"/>
    <x v="97"/>
    <x v="1"/>
    <n v="3"/>
    <n v="597.46"/>
    <n v="0.02"/>
    <n v="1756.5324000000001"/>
    <s v="PayPal"/>
    <x v="1"/>
    <x v="0"/>
    <x v="0"/>
  </r>
  <r>
    <x v="7"/>
    <s v="SALE1505"/>
    <x v="97"/>
    <x v="134"/>
    <x v="379"/>
    <x v="97"/>
    <x v="1"/>
    <n v="1"/>
    <n v="935.66"/>
    <n v="0.26"/>
    <n v="692.38839999999993"/>
    <s v="PayPal"/>
    <x v="0"/>
    <x v="0"/>
    <x v="0"/>
  </r>
  <r>
    <x v="7"/>
    <s v="SALE1745"/>
    <x v="71"/>
    <x v="62"/>
    <x v="380"/>
    <x v="71"/>
    <x v="1"/>
    <n v="1"/>
    <n v="145.96"/>
    <n v="0.3"/>
    <n v="102.172"/>
    <s v="Credit Card"/>
    <x v="0"/>
    <x v="0"/>
    <x v="3"/>
  </r>
  <r>
    <x v="7"/>
    <s v="SALE1873"/>
    <x v="87"/>
    <x v="459"/>
    <x v="111"/>
    <x v="87"/>
    <x v="3"/>
    <n v="3"/>
    <n v="259.98"/>
    <n v="7.0000000000000007E-2"/>
    <n v="725.3442"/>
    <s v="COD"/>
    <x v="1"/>
    <x v="0"/>
    <x v="3"/>
  </r>
  <r>
    <x v="7"/>
    <s v="SALE223"/>
    <x v="87"/>
    <x v="257"/>
    <x v="275"/>
    <x v="87"/>
    <x v="3"/>
    <n v="4"/>
    <n v="385.5"/>
    <n v="0.03"/>
    <n v="1495.74"/>
    <s v="PayPal"/>
    <x v="1"/>
    <x v="0"/>
    <x v="2"/>
  </r>
  <r>
    <x v="7"/>
    <s v="SALE1760"/>
    <x v="35"/>
    <x v="84"/>
    <x v="56"/>
    <x v="35"/>
    <x v="0"/>
    <n v="3"/>
    <n v="252.63"/>
    <n v="0.28000000000000003"/>
    <n v="545.68079999999998"/>
    <s v="Credit Card"/>
    <x v="0"/>
    <x v="0"/>
    <x v="2"/>
  </r>
  <r>
    <x v="7"/>
    <s v="SALE938"/>
    <x v="35"/>
    <x v="460"/>
    <x v="37"/>
    <x v="35"/>
    <x v="0"/>
    <n v="3"/>
    <n v="920.82"/>
    <n v="0.1"/>
    <n v="2486.2139999999999"/>
    <s v="PayPal"/>
    <x v="1"/>
    <x v="0"/>
    <x v="1"/>
  </r>
  <r>
    <x v="7"/>
    <s v="SALE1750"/>
    <x v="37"/>
    <x v="318"/>
    <x v="335"/>
    <x v="37"/>
    <x v="1"/>
    <n v="3"/>
    <n v="543.44000000000005"/>
    <n v="0.13"/>
    <n v="1418.3784000000001"/>
    <s v="PayPal"/>
    <x v="1"/>
    <x v="0"/>
    <x v="1"/>
  </r>
  <r>
    <x v="7"/>
    <s v="SALE1886"/>
    <x v="37"/>
    <x v="434"/>
    <x v="136"/>
    <x v="37"/>
    <x v="1"/>
    <n v="2"/>
    <n v="558.9"/>
    <n v="0.05"/>
    <n v="1061.9100000000001"/>
    <s v="COD"/>
    <x v="0"/>
    <x v="0"/>
    <x v="0"/>
  </r>
  <r>
    <x v="7"/>
    <s v="SALE1501"/>
    <x v="72"/>
    <x v="461"/>
    <x v="381"/>
    <x v="72"/>
    <x v="3"/>
    <n v="1"/>
    <n v="524"/>
    <n v="0.28000000000000003"/>
    <n v="377.28"/>
    <s v="Credit Card"/>
    <x v="1"/>
    <x v="0"/>
    <x v="1"/>
  </r>
  <r>
    <x v="7"/>
    <s v="SALE77"/>
    <x v="39"/>
    <x v="462"/>
    <x v="74"/>
    <x v="39"/>
    <x v="0"/>
    <n v="1"/>
    <n v="687.82"/>
    <n v="0.27"/>
    <n v="502.10860000000002"/>
    <s v="COD"/>
    <x v="1"/>
    <x v="0"/>
    <x v="2"/>
  </r>
  <r>
    <x v="7"/>
    <s v="SALE1233"/>
    <x v="89"/>
    <x v="23"/>
    <x v="382"/>
    <x v="89"/>
    <x v="2"/>
    <n v="3"/>
    <n v="754.02"/>
    <n v="0.1"/>
    <n v="2035.854"/>
    <s v="COD"/>
    <x v="1"/>
    <x v="0"/>
    <x v="1"/>
  </r>
  <r>
    <x v="7"/>
    <s v="SALE1787"/>
    <x v="89"/>
    <x v="463"/>
    <x v="197"/>
    <x v="89"/>
    <x v="2"/>
    <n v="1"/>
    <n v="384.57"/>
    <n v="0.06"/>
    <n v="361.49579999999997"/>
    <s v="PayPal"/>
    <x v="0"/>
    <x v="0"/>
    <x v="2"/>
  </r>
  <r>
    <x v="7"/>
    <s v="SALE853"/>
    <x v="41"/>
    <x v="151"/>
    <x v="383"/>
    <x v="41"/>
    <x v="2"/>
    <n v="3"/>
    <n v="360.18"/>
    <n v="0.03"/>
    <n v="1048.1238000000001"/>
    <s v="Credit Card"/>
    <x v="0"/>
    <x v="0"/>
    <x v="3"/>
  </r>
  <r>
    <x v="7"/>
    <s v="SALE1315"/>
    <x v="73"/>
    <x v="464"/>
    <x v="62"/>
    <x v="73"/>
    <x v="1"/>
    <n v="2"/>
    <n v="985"/>
    <n v="0.25"/>
    <n v="1477.5"/>
    <s v="Credit Card"/>
    <x v="0"/>
    <x v="0"/>
    <x v="3"/>
  </r>
  <r>
    <x v="7"/>
    <s v="SALE1831"/>
    <x v="44"/>
    <x v="465"/>
    <x v="331"/>
    <x v="44"/>
    <x v="0"/>
    <n v="2"/>
    <n v="25.3"/>
    <n v="0.21"/>
    <n v="39.973999999999997"/>
    <s v="Credit Card"/>
    <x v="1"/>
    <x v="0"/>
    <x v="2"/>
  </r>
  <r>
    <x v="7"/>
    <s v="SALE1898"/>
    <x v="44"/>
    <x v="300"/>
    <x v="124"/>
    <x v="44"/>
    <x v="0"/>
    <n v="4"/>
    <n v="592.14"/>
    <n v="0.12"/>
    <n v="2084.3328000000001"/>
    <s v="COD"/>
    <x v="1"/>
    <x v="0"/>
    <x v="0"/>
  </r>
  <r>
    <x v="7"/>
    <s v="SALE778"/>
    <x v="75"/>
    <x v="466"/>
    <x v="236"/>
    <x v="75"/>
    <x v="2"/>
    <n v="3"/>
    <n v="442.36"/>
    <n v="0.06"/>
    <n v="1247.4552000000001"/>
    <s v="PayPal"/>
    <x v="1"/>
    <x v="0"/>
    <x v="4"/>
  </r>
  <r>
    <x v="7"/>
    <s v="SALE1822"/>
    <x v="77"/>
    <x v="332"/>
    <x v="384"/>
    <x v="77"/>
    <x v="0"/>
    <n v="1"/>
    <n v="43.58"/>
    <n v="0.01"/>
    <n v="43.144199999999998"/>
    <s v="COD"/>
    <x v="1"/>
    <x v="0"/>
    <x v="1"/>
  </r>
  <r>
    <x v="7"/>
    <s v="SALE1230"/>
    <x v="91"/>
    <x v="118"/>
    <x v="385"/>
    <x v="91"/>
    <x v="2"/>
    <n v="2"/>
    <n v="949.3"/>
    <n v="0.08"/>
    <n v="1746.712"/>
    <s v="COD"/>
    <x v="0"/>
    <x v="0"/>
    <x v="4"/>
  </r>
  <r>
    <x v="7"/>
    <s v="SALE1400"/>
    <x v="91"/>
    <x v="331"/>
    <x v="204"/>
    <x v="91"/>
    <x v="2"/>
    <n v="4"/>
    <n v="643.96"/>
    <n v="0.16"/>
    <n v="2163.7055999999998"/>
    <s v="PayPal"/>
    <x v="1"/>
    <x v="0"/>
    <x v="0"/>
  </r>
  <r>
    <x v="7"/>
    <s v="SALE1507"/>
    <x v="46"/>
    <x v="71"/>
    <x v="187"/>
    <x v="46"/>
    <x v="3"/>
    <n v="2"/>
    <n v="457.83"/>
    <n v="0.01"/>
    <n v="906.50339999999994"/>
    <s v="COD"/>
    <x v="1"/>
    <x v="0"/>
    <x v="1"/>
  </r>
  <r>
    <x v="7"/>
    <s v="SALE721"/>
    <x v="48"/>
    <x v="467"/>
    <x v="343"/>
    <x v="48"/>
    <x v="1"/>
    <n v="3"/>
    <n v="71.23"/>
    <n v="0.03"/>
    <n v="207.27930000000001"/>
    <s v="Credit Card"/>
    <x v="0"/>
    <x v="0"/>
    <x v="1"/>
  </r>
  <r>
    <x v="7"/>
    <s v="SALE1585"/>
    <x v="48"/>
    <x v="231"/>
    <x v="51"/>
    <x v="48"/>
    <x v="1"/>
    <n v="1"/>
    <n v="140.72"/>
    <n v="0"/>
    <n v="140.72"/>
    <s v="COD"/>
    <x v="0"/>
    <x v="0"/>
    <x v="2"/>
  </r>
  <r>
    <x v="7"/>
    <s v="SALE1242"/>
    <x v="48"/>
    <x v="468"/>
    <x v="190"/>
    <x v="48"/>
    <x v="1"/>
    <n v="1"/>
    <n v="860.84"/>
    <n v="7.0000000000000007E-2"/>
    <n v="800.58119999999997"/>
    <s v="PayPal"/>
    <x v="1"/>
    <x v="0"/>
    <x v="1"/>
  </r>
  <r>
    <x v="7"/>
    <s v="SALE1095"/>
    <x v="78"/>
    <x v="43"/>
    <x v="104"/>
    <x v="78"/>
    <x v="2"/>
    <n v="1"/>
    <n v="907.97"/>
    <n v="0.26"/>
    <n v="671.89779999999996"/>
    <s v="COD"/>
    <x v="0"/>
    <x v="0"/>
    <x v="0"/>
  </r>
  <r>
    <x v="7"/>
    <s v="SALE1327"/>
    <x v="50"/>
    <x v="469"/>
    <x v="211"/>
    <x v="50"/>
    <x v="2"/>
    <n v="2"/>
    <n v="384.92"/>
    <n v="0.09"/>
    <n v="700.5544000000001"/>
    <s v="Credit Card"/>
    <x v="0"/>
    <x v="0"/>
    <x v="1"/>
  </r>
  <r>
    <x v="7"/>
    <s v="SALE134"/>
    <x v="51"/>
    <x v="470"/>
    <x v="166"/>
    <x v="51"/>
    <x v="2"/>
    <n v="4"/>
    <n v="72.63"/>
    <n v="0.06"/>
    <n v="273.08879999999999"/>
    <s v="PayPal"/>
    <x v="1"/>
    <x v="0"/>
    <x v="2"/>
  </r>
  <r>
    <x v="7"/>
    <s v="SALE807"/>
    <x v="52"/>
    <x v="471"/>
    <x v="196"/>
    <x v="52"/>
    <x v="3"/>
    <n v="2"/>
    <n v="315.27"/>
    <n v="0.23"/>
    <n v="485.51580000000001"/>
    <s v="Credit Card"/>
    <x v="1"/>
    <x v="0"/>
    <x v="1"/>
  </r>
  <r>
    <x v="7"/>
    <s v="SALE612"/>
    <x v="52"/>
    <x v="472"/>
    <x v="348"/>
    <x v="52"/>
    <x v="3"/>
    <n v="3"/>
    <n v="920.61"/>
    <n v="0.04"/>
    <n v="2651.3568"/>
    <s v="Credit Card"/>
    <x v="0"/>
    <x v="0"/>
    <x v="3"/>
  </r>
  <r>
    <x v="7"/>
    <s v="SALE1992"/>
    <x v="53"/>
    <x v="210"/>
    <x v="341"/>
    <x v="53"/>
    <x v="1"/>
    <n v="4"/>
    <n v="569.98"/>
    <n v="0.23"/>
    <n v="1755.5383999999999"/>
    <s v="Credit Card"/>
    <x v="1"/>
    <x v="0"/>
    <x v="0"/>
  </r>
  <r>
    <x v="7"/>
    <s v="SALE1355"/>
    <x v="53"/>
    <x v="394"/>
    <x v="311"/>
    <x v="53"/>
    <x v="1"/>
    <n v="3"/>
    <n v="882.05"/>
    <n v="0.06"/>
    <n v="2487.3809999999989"/>
    <s v="PayPal"/>
    <x v="1"/>
    <x v="0"/>
    <x v="2"/>
  </r>
  <r>
    <x v="7"/>
    <s v="SALE1477"/>
    <x v="53"/>
    <x v="473"/>
    <x v="334"/>
    <x v="53"/>
    <x v="1"/>
    <n v="4"/>
    <n v="904.82"/>
    <n v="0.09"/>
    <n v="3293.5448000000001"/>
    <s v="PayPal"/>
    <x v="1"/>
    <x v="0"/>
    <x v="3"/>
  </r>
  <r>
    <x v="7"/>
    <s v="SALE384"/>
    <x v="92"/>
    <x v="452"/>
    <x v="165"/>
    <x v="92"/>
    <x v="3"/>
    <n v="4"/>
    <n v="355.14"/>
    <n v="0.16"/>
    <n v="1193.2704000000001"/>
    <s v="COD"/>
    <x v="0"/>
    <x v="0"/>
    <x v="3"/>
  </r>
  <r>
    <x v="7"/>
    <s v="SALE219"/>
    <x v="54"/>
    <x v="82"/>
    <x v="276"/>
    <x v="54"/>
    <x v="0"/>
    <n v="4"/>
    <n v="75.37"/>
    <n v="0.02"/>
    <n v="295.4504"/>
    <s v="COD"/>
    <x v="0"/>
    <x v="0"/>
    <x v="1"/>
  </r>
  <r>
    <x v="7"/>
    <s v="SALE1652"/>
    <x v="93"/>
    <x v="474"/>
    <x v="188"/>
    <x v="93"/>
    <x v="0"/>
    <n v="3"/>
    <n v="199.13"/>
    <n v="0.24"/>
    <n v="454.01639999999998"/>
    <s v="Credit Card"/>
    <x v="0"/>
    <x v="0"/>
    <x v="1"/>
  </r>
  <r>
    <x v="7"/>
    <s v="SALE716"/>
    <x v="57"/>
    <x v="76"/>
    <x v="382"/>
    <x v="57"/>
    <x v="1"/>
    <n v="4"/>
    <n v="603.52"/>
    <n v="0.25"/>
    <n v="1810.56"/>
    <s v="Credit Card"/>
    <x v="1"/>
    <x v="0"/>
    <x v="1"/>
  </r>
  <r>
    <x v="7"/>
    <s v="SALE1353"/>
    <x v="57"/>
    <x v="475"/>
    <x v="386"/>
    <x v="57"/>
    <x v="1"/>
    <n v="1"/>
    <n v="509.63"/>
    <n v="0.27"/>
    <n v="372.0299"/>
    <s v="COD"/>
    <x v="1"/>
    <x v="0"/>
    <x v="1"/>
  </r>
  <r>
    <x v="7"/>
    <s v="SALE1125"/>
    <x v="58"/>
    <x v="476"/>
    <x v="77"/>
    <x v="58"/>
    <x v="3"/>
    <n v="2"/>
    <n v="463.52"/>
    <n v="0.27"/>
    <n v="676.73919999999998"/>
    <s v="PayPal"/>
    <x v="0"/>
    <x v="0"/>
    <x v="0"/>
  </r>
  <r>
    <x v="7"/>
    <s v="SALE1566"/>
    <x v="58"/>
    <x v="477"/>
    <x v="355"/>
    <x v="58"/>
    <x v="3"/>
    <n v="4"/>
    <n v="284.24"/>
    <n v="0.1"/>
    <n v="1023.264"/>
    <s v="Credit Card"/>
    <x v="1"/>
    <x v="0"/>
    <x v="0"/>
  </r>
  <r>
    <x v="7"/>
    <s v="SALE1484"/>
    <x v="58"/>
    <x v="208"/>
    <x v="207"/>
    <x v="58"/>
    <x v="3"/>
    <n v="4"/>
    <n v="918.1"/>
    <n v="0.19"/>
    <n v="2974.6439999999998"/>
    <s v="COD"/>
    <x v="1"/>
    <x v="0"/>
    <x v="2"/>
  </r>
  <r>
    <x v="7"/>
    <s v="SALE290"/>
    <x v="79"/>
    <x v="478"/>
    <x v="318"/>
    <x v="79"/>
    <x v="3"/>
    <n v="4"/>
    <n v="493.8"/>
    <n v="0.24"/>
    <n v="1501.152"/>
    <s v="COD"/>
    <x v="1"/>
    <x v="0"/>
    <x v="2"/>
  </r>
  <r>
    <x v="8"/>
    <s v="SALE1627"/>
    <x v="98"/>
    <x v="479"/>
    <x v="117"/>
    <x v="98"/>
    <x v="0"/>
    <n v="3"/>
    <n v="60.26"/>
    <n v="0.04"/>
    <n v="173.5488"/>
    <s v="Credit Card"/>
    <x v="1"/>
    <x v="0"/>
    <x v="1"/>
  </r>
  <r>
    <x v="8"/>
    <s v="SALE426"/>
    <x v="98"/>
    <x v="412"/>
    <x v="239"/>
    <x v="98"/>
    <x v="0"/>
    <n v="4"/>
    <n v="897.93"/>
    <n v="0.05"/>
    <n v="3412.134"/>
    <s v="COD"/>
    <x v="0"/>
    <x v="0"/>
    <x v="1"/>
  </r>
  <r>
    <x v="8"/>
    <s v="SALE1286"/>
    <x v="98"/>
    <x v="235"/>
    <x v="223"/>
    <x v="98"/>
    <x v="0"/>
    <n v="3"/>
    <n v="279.45"/>
    <n v="0.15"/>
    <n v="712.59749999999985"/>
    <s v="COD"/>
    <x v="1"/>
    <x v="0"/>
    <x v="1"/>
  </r>
  <r>
    <x v="8"/>
    <s v="SALE1712"/>
    <x v="81"/>
    <x v="480"/>
    <x v="27"/>
    <x v="81"/>
    <x v="4"/>
    <n v="2"/>
    <n v="508.52"/>
    <n v="0.11"/>
    <n v="905.16559999999993"/>
    <s v="COD"/>
    <x v="0"/>
    <x v="0"/>
    <x v="3"/>
  </r>
  <r>
    <x v="8"/>
    <s v="SALE129"/>
    <x v="81"/>
    <x v="162"/>
    <x v="387"/>
    <x v="81"/>
    <x v="4"/>
    <n v="1"/>
    <n v="783.25"/>
    <n v="0.3"/>
    <n v="548.27499999999998"/>
    <s v="Credit Card"/>
    <x v="0"/>
    <x v="0"/>
    <x v="0"/>
  </r>
  <r>
    <x v="8"/>
    <s v="SALE1660"/>
    <x v="60"/>
    <x v="332"/>
    <x v="152"/>
    <x v="60"/>
    <x v="2"/>
    <n v="2"/>
    <n v="848.87"/>
    <n v="0.09"/>
    <n v="1544.9434000000001"/>
    <s v="COD"/>
    <x v="1"/>
    <x v="0"/>
    <x v="2"/>
  </r>
  <r>
    <x v="8"/>
    <s v="SALE1382"/>
    <x v="60"/>
    <x v="477"/>
    <x v="306"/>
    <x v="60"/>
    <x v="2"/>
    <n v="2"/>
    <n v="700.27"/>
    <n v="0.16"/>
    <n v="1176.4536000000001"/>
    <s v="Credit Card"/>
    <x v="1"/>
    <x v="0"/>
    <x v="1"/>
  </r>
  <r>
    <x v="8"/>
    <s v="SALE1535"/>
    <x v="0"/>
    <x v="437"/>
    <x v="388"/>
    <x v="0"/>
    <x v="0"/>
    <n v="3"/>
    <n v="866.78"/>
    <n v="0.27"/>
    <n v="1898.2482"/>
    <s v="PayPal"/>
    <x v="1"/>
    <x v="0"/>
    <x v="3"/>
  </r>
  <r>
    <x v="8"/>
    <s v="SALE1767"/>
    <x v="61"/>
    <x v="469"/>
    <x v="234"/>
    <x v="61"/>
    <x v="0"/>
    <n v="2"/>
    <n v="330.59"/>
    <n v="0.14000000000000001"/>
    <n v="568.61479999999995"/>
    <s v="Credit Card"/>
    <x v="0"/>
    <x v="0"/>
    <x v="0"/>
  </r>
  <r>
    <x v="8"/>
    <s v="SALE69"/>
    <x v="61"/>
    <x v="320"/>
    <x v="389"/>
    <x v="61"/>
    <x v="0"/>
    <n v="4"/>
    <n v="561.24"/>
    <n v="0.24"/>
    <n v="1706.1695999999999"/>
    <s v="Credit Card"/>
    <x v="0"/>
    <x v="0"/>
    <x v="0"/>
  </r>
  <r>
    <x v="8"/>
    <s v="SALE703"/>
    <x v="62"/>
    <x v="265"/>
    <x v="390"/>
    <x v="62"/>
    <x v="0"/>
    <n v="3"/>
    <n v="262.69"/>
    <n v="0.04"/>
    <n v="756.54719999999986"/>
    <s v="PayPal"/>
    <x v="1"/>
    <x v="0"/>
    <x v="1"/>
  </r>
  <r>
    <x v="8"/>
    <s v="SALE409"/>
    <x v="62"/>
    <x v="481"/>
    <x v="152"/>
    <x v="62"/>
    <x v="0"/>
    <n v="4"/>
    <n v="370.63"/>
    <n v="0.08"/>
    <n v="1363.9184"/>
    <s v="Credit Card"/>
    <x v="1"/>
    <x v="0"/>
    <x v="2"/>
  </r>
  <r>
    <x v="8"/>
    <s v="SALE1241"/>
    <x v="3"/>
    <x v="482"/>
    <x v="391"/>
    <x v="3"/>
    <x v="1"/>
    <n v="2"/>
    <n v="126.02"/>
    <n v="0.09"/>
    <n v="229.35640000000001"/>
    <s v="COD"/>
    <x v="1"/>
    <x v="0"/>
    <x v="3"/>
  </r>
  <r>
    <x v="8"/>
    <s v="SALE1084"/>
    <x v="3"/>
    <x v="283"/>
    <x v="392"/>
    <x v="3"/>
    <x v="1"/>
    <n v="2"/>
    <n v="753.92"/>
    <n v="0.17"/>
    <n v="1251.5072"/>
    <s v="PayPal"/>
    <x v="1"/>
    <x v="0"/>
    <x v="3"/>
  </r>
  <r>
    <x v="8"/>
    <s v="SALE903"/>
    <x v="4"/>
    <x v="483"/>
    <x v="162"/>
    <x v="4"/>
    <x v="3"/>
    <n v="1"/>
    <n v="519.91"/>
    <n v="0.05"/>
    <n v="493.91449999999992"/>
    <s v="COD"/>
    <x v="0"/>
    <x v="0"/>
    <x v="3"/>
  </r>
  <r>
    <x v="8"/>
    <s v="SALE1801"/>
    <x v="4"/>
    <x v="484"/>
    <x v="318"/>
    <x v="4"/>
    <x v="3"/>
    <n v="3"/>
    <n v="123.74"/>
    <n v="0.23"/>
    <n v="285.83940000000001"/>
    <s v="PayPal"/>
    <x v="1"/>
    <x v="0"/>
    <x v="2"/>
  </r>
  <r>
    <x v="8"/>
    <s v="SALE400"/>
    <x v="6"/>
    <x v="259"/>
    <x v="142"/>
    <x v="6"/>
    <x v="3"/>
    <n v="2"/>
    <n v="22.47"/>
    <n v="0.22"/>
    <n v="35.053199999999997"/>
    <s v="PayPal"/>
    <x v="1"/>
    <x v="0"/>
    <x v="1"/>
  </r>
  <r>
    <x v="8"/>
    <s v="SALE1513"/>
    <x v="82"/>
    <x v="485"/>
    <x v="283"/>
    <x v="82"/>
    <x v="4"/>
    <n v="1"/>
    <n v="372.75"/>
    <n v="0.12"/>
    <n v="328.02"/>
    <s v="Credit Card"/>
    <x v="0"/>
    <x v="0"/>
    <x v="3"/>
  </r>
  <r>
    <x v="8"/>
    <s v="SALE550"/>
    <x v="8"/>
    <x v="109"/>
    <x v="226"/>
    <x v="8"/>
    <x v="2"/>
    <n v="4"/>
    <n v="714.89"/>
    <n v="0.15"/>
    <n v="2430.6260000000002"/>
    <s v="Credit Card"/>
    <x v="0"/>
    <x v="0"/>
    <x v="2"/>
  </r>
  <r>
    <x v="8"/>
    <s v="SALE49"/>
    <x v="8"/>
    <x v="273"/>
    <x v="25"/>
    <x v="8"/>
    <x v="2"/>
    <n v="2"/>
    <n v="384.66"/>
    <n v="0.08"/>
    <n v="707.77440000000013"/>
    <s v="COD"/>
    <x v="0"/>
    <x v="0"/>
    <x v="2"/>
  </r>
  <r>
    <x v="8"/>
    <s v="SALE1763"/>
    <x v="9"/>
    <x v="204"/>
    <x v="323"/>
    <x v="9"/>
    <x v="3"/>
    <n v="4"/>
    <n v="300.12"/>
    <n v="0.05"/>
    <n v="1140.4559999999999"/>
    <s v="PayPal"/>
    <x v="1"/>
    <x v="0"/>
    <x v="0"/>
  </r>
  <r>
    <x v="8"/>
    <s v="SALE452"/>
    <x v="63"/>
    <x v="223"/>
    <x v="393"/>
    <x v="63"/>
    <x v="4"/>
    <n v="2"/>
    <n v="425.06"/>
    <n v="0.09"/>
    <n v="773.60919999999999"/>
    <s v="PayPal"/>
    <x v="1"/>
    <x v="0"/>
    <x v="0"/>
  </r>
  <r>
    <x v="8"/>
    <s v="SALE524"/>
    <x v="64"/>
    <x v="177"/>
    <x v="83"/>
    <x v="64"/>
    <x v="3"/>
    <n v="2"/>
    <n v="409.52"/>
    <n v="0.06"/>
    <n v="769.8975999999999"/>
    <s v="COD"/>
    <x v="1"/>
    <x v="0"/>
    <x v="1"/>
  </r>
  <r>
    <x v="8"/>
    <s v="SALE1413"/>
    <x v="10"/>
    <x v="444"/>
    <x v="394"/>
    <x v="10"/>
    <x v="4"/>
    <n v="4"/>
    <n v="627.73"/>
    <n v="0.11"/>
    <n v="2234.7188000000001"/>
    <s v="COD"/>
    <x v="1"/>
    <x v="0"/>
    <x v="0"/>
  </r>
  <r>
    <x v="8"/>
    <s v="SALE1366"/>
    <x v="12"/>
    <x v="239"/>
    <x v="252"/>
    <x v="12"/>
    <x v="2"/>
    <n v="2"/>
    <n v="270.66000000000003"/>
    <n v="0.1"/>
    <n v="487.18799999999999"/>
    <s v="COD"/>
    <x v="1"/>
    <x v="0"/>
    <x v="0"/>
  </r>
  <r>
    <x v="8"/>
    <s v="SALE1364"/>
    <x v="12"/>
    <x v="181"/>
    <x v="269"/>
    <x v="12"/>
    <x v="2"/>
    <n v="4"/>
    <n v="310.79000000000002"/>
    <n v="0.22"/>
    <n v="969.66480000000013"/>
    <s v="COD"/>
    <x v="1"/>
    <x v="0"/>
    <x v="0"/>
  </r>
  <r>
    <x v="8"/>
    <s v="SALE838"/>
    <x v="13"/>
    <x v="486"/>
    <x v="208"/>
    <x v="13"/>
    <x v="3"/>
    <n v="2"/>
    <n v="619.12"/>
    <n v="0.28000000000000003"/>
    <n v="891.53279999999995"/>
    <s v="COD"/>
    <x v="1"/>
    <x v="0"/>
    <x v="3"/>
  </r>
  <r>
    <x v="8"/>
    <s v="SALE1083"/>
    <x v="99"/>
    <x v="487"/>
    <x v="350"/>
    <x v="99"/>
    <x v="2"/>
    <n v="1"/>
    <n v="850.06"/>
    <n v="0.28999999999999998"/>
    <n v="603.54259999999988"/>
    <s v="PayPal"/>
    <x v="0"/>
    <x v="0"/>
    <x v="3"/>
  </r>
  <r>
    <x v="8"/>
    <s v="SALE972"/>
    <x v="14"/>
    <x v="280"/>
    <x v="90"/>
    <x v="14"/>
    <x v="4"/>
    <n v="1"/>
    <n v="402.47"/>
    <n v="0.19"/>
    <n v="326.00070000000011"/>
    <s v="PayPal"/>
    <x v="1"/>
    <x v="0"/>
    <x v="3"/>
  </r>
  <r>
    <x v="8"/>
    <s v="SALE618"/>
    <x v="65"/>
    <x v="488"/>
    <x v="208"/>
    <x v="65"/>
    <x v="2"/>
    <n v="1"/>
    <n v="703.16"/>
    <n v="0.28999999999999998"/>
    <n v="499.24360000000001"/>
    <s v="Credit Card"/>
    <x v="1"/>
    <x v="0"/>
    <x v="3"/>
  </r>
  <r>
    <x v="8"/>
    <s v="SALE1593"/>
    <x v="65"/>
    <x v="489"/>
    <x v="92"/>
    <x v="65"/>
    <x v="2"/>
    <n v="1"/>
    <n v="101.84"/>
    <n v="0.17"/>
    <n v="84.527199999999993"/>
    <s v="Credit Card"/>
    <x v="0"/>
    <x v="0"/>
    <x v="2"/>
  </r>
  <r>
    <x v="8"/>
    <s v="SALE940"/>
    <x v="66"/>
    <x v="307"/>
    <x v="395"/>
    <x v="66"/>
    <x v="3"/>
    <n v="3"/>
    <n v="938.68"/>
    <n v="0.14000000000000001"/>
    <n v="2421.7944000000002"/>
    <s v="Credit Card"/>
    <x v="1"/>
    <x v="0"/>
    <x v="1"/>
  </r>
  <r>
    <x v="8"/>
    <s v="SALE206"/>
    <x v="16"/>
    <x v="414"/>
    <x v="26"/>
    <x v="16"/>
    <x v="0"/>
    <n v="4"/>
    <n v="362.81"/>
    <n v="0.21"/>
    <n v="1146.4795999999999"/>
    <s v="COD"/>
    <x v="1"/>
    <x v="0"/>
    <x v="3"/>
  </r>
  <r>
    <x v="8"/>
    <s v="SALE1838"/>
    <x v="16"/>
    <x v="461"/>
    <x v="396"/>
    <x v="16"/>
    <x v="0"/>
    <n v="2"/>
    <n v="858.15"/>
    <n v="0.03"/>
    <n v="1664.8109999999999"/>
    <s v="Credit Card"/>
    <x v="0"/>
    <x v="0"/>
    <x v="0"/>
  </r>
  <r>
    <x v="8"/>
    <s v="SALE143"/>
    <x v="16"/>
    <x v="306"/>
    <x v="381"/>
    <x v="16"/>
    <x v="0"/>
    <n v="4"/>
    <n v="450.12"/>
    <n v="0.28999999999999998"/>
    <n v="1278.3407999999999"/>
    <s v="COD"/>
    <x v="1"/>
    <x v="0"/>
    <x v="1"/>
  </r>
  <r>
    <x v="8"/>
    <s v="SALE1017"/>
    <x v="16"/>
    <x v="481"/>
    <x v="397"/>
    <x v="16"/>
    <x v="0"/>
    <n v="4"/>
    <n v="115.42"/>
    <n v="0.03"/>
    <n v="447.82960000000003"/>
    <s v="COD"/>
    <x v="1"/>
    <x v="0"/>
    <x v="2"/>
  </r>
  <r>
    <x v="8"/>
    <s v="SALE13"/>
    <x v="16"/>
    <x v="217"/>
    <x v="20"/>
    <x v="16"/>
    <x v="0"/>
    <n v="2"/>
    <n v="316.89999999999998"/>
    <n v="0.3"/>
    <n v="443.66"/>
    <s v="PayPal"/>
    <x v="0"/>
    <x v="0"/>
    <x v="0"/>
  </r>
  <r>
    <x v="8"/>
    <s v="SALE1120"/>
    <x v="19"/>
    <x v="34"/>
    <x v="398"/>
    <x v="19"/>
    <x v="4"/>
    <n v="4"/>
    <n v="21.12"/>
    <n v="0.18"/>
    <n v="69.273600000000002"/>
    <s v="COD"/>
    <x v="0"/>
    <x v="0"/>
    <x v="0"/>
  </r>
  <r>
    <x v="8"/>
    <s v="SALE673"/>
    <x v="19"/>
    <x v="315"/>
    <x v="334"/>
    <x v="19"/>
    <x v="4"/>
    <n v="2"/>
    <n v="472.08"/>
    <n v="7.0000000000000007E-2"/>
    <n v="878.0687999999999"/>
    <s v="Credit Card"/>
    <x v="1"/>
    <x v="0"/>
    <x v="3"/>
  </r>
  <r>
    <x v="8"/>
    <s v="SALE366"/>
    <x v="19"/>
    <x v="490"/>
    <x v="396"/>
    <x v="19"/>
    <x v="4"/>
    <n v="1"/>
    <n v="628.98"/>
    <n v="0.03"/>
    <n v="610.11059999999998"/>
    <s v="COD"/>
    <x v="0"/>
    <x v="0"/>
    <x v="0"/>
  </r>
  <r>
    <x v="8"/>
    <s v="SALE1389"/>
    <x v="23"/>
    <x v="252"/>
    <x v="254"/>
    <x v="23"/>
    <x v="0"/>
    <n v="1"/>
    <n v="653.91"/>
    <n v="0.3"/>
    <n v="457.73700000000002"/>
    <s v="PayPal"/>
    <x v="0"/>
    <x v="0"/>
    <x v="0"/>
  </r>
  <r>
    <x v="8"/>
    <s v="SALE542"/>
    <x v="69"/>
    <x v="491"/>
    <x v="302"/>
    <x v="69"/>
    <x v="3"/>
    <n v="1"/>
    <n v="442.36"/>
    <n v="0.14000000000000001"/>
    <n v="380.42959999999999"/>
    <s v="Credit Card"/>
    <x v="0"/>
    <x v="0"/>
    <x v="1"/>
  </r>
  <r>
    <x v="8"/>
    <s v="SALE513"/>
    <x v="24"/>
    <x v="334"/>
    <x v="223"/>
    <x v="24"/>
    <x v="3"/>
    <n v="1"/>
    <n v="853.12"/>
    <n v="0.19"/>
    <n v="691.02719999999999"/>
    <s v="COD"/>
    <x v="1"/>
    <x v="0"/>
    <x v="1"/>
  </r>
  <r>
    <x v="8"/>
    <s v="SALE832"/>
    <x v="25"/>
    <x v="480"/>
    <x v="37"/>
    <x v="25"/>
    <x v="4"/>
    <n v="2"/>
    <n v="780.9"/>
    <n v="0.24"/>
    <n v="1186.9680000000001"/>
    <s v="PayPal"/>
    <x v="1"/>
    <x v="0"/>
    <x v="1"/>
  </r>
  <r>
    <x v="8"/>
    <s v="SALE281"/>
    <x v="26"/>
    <x v="7"/>
    <x v="125"/>
    <x v="26"/>
    <x v="1"/>
    <n v="3"/>
    <n v="64.2"/>
    <n v="0.08"/>
    <n v="177.19200000000001"/>
    <s v="COD"/>
    <x v="0"/>
    <x v="0"/>
    <x v="1"/>
  </r>
  <r>
    <x v="8"/>
    <s v="SALE214"/>
    <x v="83"/>
    <x v="164"/>
    <x v="295"/>
    <x v="83"/>
    <x v="0"/>
    <n v="1"/>
    <n v="775.84"/>
    <n v="0.26"/>
    <n v="574.12160000000006"/>
    <s v="Credit Card"/>
    <x v="0"/>
    <x v="0"/>
    <x v="2"/>
  </r>
  <r>
    <x v="8"/>
    <s v="SALE1285"/>
    <x v="28"/>
    <x v="492"/>
    <x v="399"/>
    <x v="28"/>
    <x v="4"/>
    <n v="2"/>
    <n v="530.54"/>
    <n v="0.28000000000000003"/>
    <n v="763.97759999999994"/>
    <s v="COD"/>
    <x v="0"/>
    <x v="0"/>
    <x v="2"/>
  </r>
  <r>
    <x v="8"/>
    <s v="SALE796"/>
    <x v="84"/>
    <x v="99"/>
    <x v="224"/>
    <x v="84"/>
    <x v="0"/>
    <n v="1"/>
    <n v="408.66"/>
    <n v="0.13"/>
    <n v="355.5342"/>
    <s v="COD"/>
    <x v="0"/>
    <x v="0"/>
    <x v="2"/>
  </r>
  <r>
    <x v="8"/>
    <s v="SALE327"/>
    <x v="84"/>
    <x v="138"/>
    <x v="179"/>
    <x v="84"/>
    <x v="0"/>
    <n v="1"/>
    <n v="272.2"/>
    <n v="0.3"/>
    <n v="190.54"/>
    <s v="Credit Card"/>
    <x v="1"/>
    <x v="0"/>
    <x v="0"/>
  </r>
  <r>
    <x v="8"/>
    <s v="SALE1348"/>
    <x v="30"/>
    <x v="335"/>
    <x v="35"/>
    <x v="30"/>
    <x v="3"/>
    <n v="3"/>
    <n v="183.44"/>
    <n v="0.28000000000000003"/>
    <n v="396.23039999999992"/>
    <s v="COD"/>
    <x v="1"/>
    <x v="0"/>
    <x v="0"/>
  </r>
  <r>
    <x v="8"/>
    <s v="SALE1783"/>
    <x v="31"/>
    <x v="40"/>
    <x v="146"/>
    <x v="31"/>
    <x v="2"/>
    <n v="4"/>
    <n v="613.16999999999996"/>
    <n v="0.26"/>
    <n v="1814.9831999999999"/>
    <s v="Credit Card"/>
    <x v="0"/>
    <x v="0"/>
    <x v="2"/>
  </r>
  <r>
    <x v="8"/>
    <s v="SALE1196"/>
    <x v="31"/>
    <x v="67"/>
    <x v="76"/>
    <x v="31"/>
    <x v="2"/>
    <n v="4"/>
    <n v="750.26"/>
    <n v="0.01"/>
    <n v="2971.0295999999998"/>
    <s v="PayPal"/>
    <x v="0"/>
    <x v="0"/>
    <x v="1"/>
  </r>
  <r>
    <x v="8"/>
    <s v="SALE1622"/>
    <x v="31"/>
    <x v="487"/>
    <x v="139"/>
    <x v="31"/>
    <x v="2"/>
    <n v="4"/>
    <n v="570.38"/>
    <n v="0.26"/>
    <n v="1688.3248000000001"/>
    <s v="PayPal"/>
    <x v="0"/>
    <x v="0"/>
    <x v="2"/>
  </r>
  <r>
    <x v="8"/>
    <s v="SALE1826"/>
    <x v="32"/>
    <x v="493"/>
    <x v="400"/>
    <x v="32"/>
    <x v="2"/>
    <n v="3"/>
    <n v="753.47"/>
    <n v="0.25"/>
    <n v="1695.3074999999999"/>
    <s v="PayPal"/>
    <x v="0"/>
    <x v="0"/>
    <x v="1"/>
  </r>
  <r>
    <x v="8"/>
    <s v="SALE1173"/>
    <x v="32"/>
    <x v="289"/>
    <x v="323"/>
    <x v="32"/>
    <x v="2"/>
    <n v="2"/>
    <n v="805.08"/>
    <n v="0.27"/>
    <n v="1175.4168"/>
    <s v="PayPal"/>
    <x v="1"/>
    <x v="0"/>
    <x v="0"/>
  </r>
  <r>
    <x v="8"/>
    <s v="SALE196"/>
    <x v="86"/>
    <x v="494"/>
    <x v="23"/>
    <x v="86"/>
    <x v="3"/>
    <n v="4"/>
    <n v="689.67"/>
    <n v="0.05"/>
    <n v="2620.7460000000001"/>
    <s v="COD"/>
    <x v="1"/>
    <x v="0"/>
    <x v="1"/>
  </r>
  <r>
    <x v="8"/>
    <s v="SALE474"/>
    <x v="33"/>
    <x v="217"/>
    <x v="4"/>
    <x v="33"/>
    <x v="4"/>
    <n v="3"/>
    <n v="666.39"/>
    <n v="0.21"/>
    <n v="1579.3443"/>
    <s v="COD"/>
    <x v="0"/>
    <x v="0"/>
    <x v="1"/>
  </r>
  <r>
    <x v="8"/>
    <s v="SALE399"/>
    <x v="34"/>
    <x v="54"/>
    <x v="236"/>
    <x v="34"/>
    <x v="1"/>
    <n v="2"/>
    <n v="733.87"/>
    <n v="0.1"/>
    <n v="1320.9659999999999"/>
    <s v="PayPal"/>
    <x v="1"/>
    <x v="0"/>
    <x v="4"/>
  </r>
  <r>
    <x v="8"/>
    <s v="SALE954"/>
    <x v="34"/>
    <x v="495"/>
    <x v="327"/>
    <x v="34"/>
    <x v="1"/>
    <n v="2"/>
    <n v="824.34"/>
    <n v="0.1"/>
    <n v="1483.8119999999999"/>
    <s v="COD"/>
    <x v="1"/>
    <x v="0"/>
    <x v="3"/>
  </r>
  <r>
    <x v="8"/>
    <s v="SALE358"/>
    <x v="71"/>
    <x v="175"/>
    <x v="116"/>
    <x v="71"/>
    <x v="1"/>
    <n v="4"/>
    <n v="537.15"/>
    <n v="0.06"/>
    <n v="2019.684"/>
    <s v="COD"/>
    <x v="0"/>
    <x v="0"/>
    <x v="0"/>
  </r>
  <r>
    <x v="8"/>
    <s v="SALE314"/>
    <x v="87"/>
    <x v="496"/>
    <x v="400"/>
    <x v="87"/>
    <x v="3"/>
    <n v="1"/>
    <n v="299.13"/>
    <n v="0.1"/>
    <n v="269.21699999999998"/>
    <s v="COD"/>
    <x v="0"/>
    <x v="0"/>
    <x v="1"/>
  </r>
  <r>
    <x v="8"/>
    <s v="SALE1607"/>
    <x v="87"/>
    <x v="244"/>
    <x v="375"/>
    <x v="87"/>
    <x v="3"/>
    <n v="2"/>
    <n v="780.57"/>
    <n v="0.26"/>
    <n v="1155.2436"/>
    <s v="Credit Card"/>
    <x v="0"/>
    <x v="0"/>
    <x v="3"/>
  </r>
  <r>
    <x v="8"/>
    <s v="SALE1183"/>
    <x v="35"/>
    <x v="497"/>
    <x v="377"/>
    <x v="35"/>
    <x v="0"/>
    <n v="3"/>
    <n v="198.76"/>
    <n v="0.28000000000000003"/>
    <n v="429.32159999999999"/>
    <s v="COD"/>
    <x v="1"/>
    <x v="0"/>
    <x v="3"/>
  </r>
  <r>
    <x v="8"/>
    <s v="SALE388"/>
    <x v="36"/>
    <x v="4"/>
    <x v="401"/>
    <x v="36"/>
    <x v="1"/>
    <n v="1"/>
    <n v="664.71"/>
    <n v="0.1"/>
    <n v="598.23900000000003"/>
    <s v="PayPal"/>
    <x v="0"/>
    <x v="0"/>
    <x v="4"/>
  </r>
  <r>
    <x v="8"/>
    <s v="SALE1345"/>
    <x v="36"/>
    <x v="469"/>
    <x v="198"/>
    <x v="36"/>
    <x v="1"/>
    <n v="3"/>
    <n v="841.37"/>
    <n v="0.28999999999999998"/>
    <n v="1792.1180999999999"/>
    <s v="PayPal"/>
    <x v="0"/>
    <x v="0"/>
    <x v="1"/>
  </r>
  <r>
    <x v="8"/>
    <s v="SALE1137"/>
    <x v="37"/>
    <x v="429"/>
    <x v="402"/>
    <x v="37"/>
    <x v="1"/>
    <n v="1"/>
    <n v="453.41"/>
    <n v="0.04"/>
    <n v="435.27359999999999"/>
    <s v="COD"/>
    <x v="1"/>
    <x v="0"/>
    <x v="0"/>
  </r>
  <r>
    <x v="8"/>
    <s v="SALE1520"/>
    <x v="72"/>
    <x v="66"/>
    <x v="403"/>
    <x v="72"/>
    <x v="3"/>
    <n v="3"/>
    <n v="578.47"/>
    <n v="0.06"/>
    <n v="1631.2854"/>
    <s v="COD"/>
    <x v="1"/>
    <x v="0"/>
    <x v="2"/>
  </r>
  <r>
    <x v="8"/>
    <s v="SALE724"/>
    <x v="38"/>
    <x v="326"/>
    <x v="104"/>
    <x v="38"/>
    <x v="1"/>
    <n v="4"/>
    <n v="805.99"/>
    <n v="0.06"/>
    <n v="3030.5223999999998"/>
    <s v="Credit Card"/>
    <x v="0"/>
    <x v="0"/>
    <x v="0"/>
  </r>
  <r>
    <x v="8"/>
    <s v="SALE497"/>
    <x v="88"/>
    <x v="498"/>
    <x v="93"/>
    <x v="88"/>
    <x v="2"/>
    <n v="1"/>
    <n v="414.97"/>
    <n v="0.22"/>
    <n v="323.67660000000001"/>
    <s v="PayPal"/>
    <x v="1"/>
    <x v="0"/>
    <x v="2"/>
  </r>
  <r>
    <x v="8"/>
    <s v="SALE1633"/>
    <x v="40"/>
    <x v="127"/>
    <x v="304"/>
    <x v="40"/>
    <x v="4"/>
    <n v="1"/>
    <n v="696.13"/>
    <n v="0.06"/>
    <n v="654.36219999999992"/>
    <s v="COD"/>
    <x v="1"/>
    <x v="0"/>
    <x v="1"/>
  </r>
  <r>
    <x v="8"/>
    <s v="SALE386"/>
    <x v="40"/>
    <x v="64"/>
    <x v="25"/>
    <x v="40"/>
    <x v="4"/>
    <n v="3"/>
    <n v="847.21"/>
    <n v="0.06"/>
    <n v="2389.1322"/>
    <s v="PayPal"/>
    <x v="0"/>
    <x v="0"/>
    <x v="2"/>
  </r>
  <r>
    <x v="8"/>
    <s v="SALE1407"/>
    <x v="89"/>
    <x v="499"/>
    <x v="300"/>
    <x v="89"/>
    <x v="2"/>
    <n v="2"/>
    <n v="362.7"/>
    <n v="0.09"/>
    <n v="660.11400000000003"/>
    <s v="Credit Card"/>
    <x v="1"/>
    <x v="0"/>
    <x v="2"/>
  </r>
  <r>
    <x v="8"/>
    <s v="SALE1851"/>
    <x v="41"/>
    <x v="241"/>
    <x v="173"/>
    <x v="41"/>
    <x v="2"/>
    <n v="4"/>
    <n v="579.24"/>
    <n v="0.04"/>
    <n v="2224.2815999999998"/>
    <s v="COD"/>
    <x v="1"/>
    <x v="0"/>
    <x v="1"/>
  </r>
  <r>
    <x v="8"/>
    <s v="SALE1629"/>
    <x v="41"/>
    <x v="131"/>
    <x v="340"/>
    <x v="41"/>
    <x v="2"/>
    <n v="1"/>
    <n v="505.83"/>
    <n v="0.14000000000000001"/>
    <n v="435.0138"/>
    <s v="COD"/>
    <x v="1"/>
    <x v="0"/>
    <x v="3"/>
  </r>
  <r>
    <x v="8"/>
    <s v="SALE1077"/>
    <x v="73"/>
    <x v="500"/>
    <x v="404"/>
    <x v="73"/>
    <x v="1"/>
    <n v="3"/>
    <n v="575.24"/>
    <n v="0.12"/>
    <n v="1518.6335999999999"/>
    <s v="COD"/>
    <x v="0"/>
    <x v="0"/>
    <x v="3"/>
  </r>
  <r>
    <x v="8"/>
    <s v="SALE405"/>
    <x v="45"/>
    <x v="501"/>
    <x v="191"/>
    <x v="45"/>
    <x v="4"/>
    <n v="1"/>
    <n v="745.15"/>
    <n v="0.25"/>
    <n v="558.86249999999995"/>
    <s v="COD"/>
    <x v="1"/>
    <x v="0"/>
    <x v="3"/>
  </r>
  <r>
    <x v="8"/>
    <s v="SALE1563"/>
    <x v="90"/>
    <x v="419"/>
    <x v="352"/>
    <x v="90"/>
    <x v="0"/>
    <n v="2"/>
    <n v="675.61"/>
    <n v="0.08"/>
    <n v="1243.1224"/>
    <s v="COD"/>
    <x v="1"/>
    <x v="0"/>
    <x v="0"/>
  </r>
  <r>
    <x v="8"/>
    <s v="SALE450"/>
    <x v="90"/>
    <x v="425"/>
    <x v="221"/>
    <x v="90"/>
    <x v="0"/>
    <n v="3"/>
    <n v="761.8"/>
    <n v="0.06"/>
    <n v="2148.2759999999989"/>
    <s v="COD"/>
    <x v="1"/>
    <x v="0"/>
    <x v="1"/>
  </r>
  <r>
    <x v="8"/>
    <s v="SALE1540"/>
    <x v="90"/>
    <x v="115"/>
    <x v="207"/>
    <x v="90"/>
    <x v="0"/>
    <n v="1"/>
    <n v="539.9"/>
    <n v="7.0000000000000007E-2"/>
    <n v="502.10700000000003"/>
    <s v="Credit Card"/>
    <x v="1"/>
    <x v="0"/>
    <x v="2"/>
  </r>
  <r>
    <x v="8"/>
    <s v="SALE46"/>
    <x v="75"/>
    <x v="502"/>
    <x v="391"/>
    <x v="75"/>
    <x v="2"/>
    <n v="1"/>
    <n v="418.69"/>
    <n v="0.06"/>
    <n v="393.5686"/>
    <s v="PayPal"/>
    <x v="1"/>
    <x v="0"/>
    <x v="3"/>
  </r>
  <r>
    <x v="8"/>
    <s v="SALE1536"/>
    <x v="75"/>
    <x v="355"/>
    <x v="358"/>
    <x v="75"/>
    <x v="2"/>
    <n v="3"/>
    <n v="392.84"/>
    <n v="0.27"/>
    <n v="860.31959999999992"/>
    <s v="PayPal"/>
    <x v="0"/>
    <x v="0"/>
    <x v="1"/>
  </r>
  <r>
    <x v="8"/>
    <s v="SALE1972"/>
    <x v="76"/>
    <x v="246"/>
    <x v="371"/>
    <x v="76"/>
    <x v="2"/>
    <n v="1"/>
    <n v="650.47"/>
    <n v="0.13"/>
    <n v="565.90890000000002"/>
    <s v="PayPal"/>
    <x v="1"/>
    <x v="0"/>
    <x v="2"/>
  </r>
  <r>
    <x v="8"/>
    <s v="SALE1208"/>
    <x v="77"/>
    <x v="34"/>
    <x v="69"/>
    <x v="77"/>
    <x v="0"/>
    <n v="3"/>
    <n v="581.09"/>
    <n v="0.1"/>
    <n v="1568.943"/>
    <s v="COD"/>
    <x v="1"/>
    <x v="0"/>
    <x v="3"/>
  </r>
  <r>
    <x v="8"/>
    <s v="SALE242"/>
    <x v="77"/>
    <x v="94"/>
    <x v="399"/>
    <x v="77"/>
    <x v="0"/>
    <n v="1"/>
    <n v="394.35"/>
    <n v="0.09"/>
    <n v="358.85849999999999"/>
    <s v="PayPal"/>
    <x v="0"/>
    <x v="0"/>
    <x v="2"/>
  </r>
  <r>
    <x v="8"/>
    <s v="SALE1444"/>
    <x v="91"/>
    <x v="503"/>
    <x v="405"/>
    <x v="91"/>
    <x v="2"/>
    <n v="3"/>
    <n v="483.63"/>
    <n v="0"/>
    <n v="1450.89"/>
    <s v="Credit Card"/>
    <x v="1"/>
    <x v="0"/>
    <x v="2"/>
  </r>
  <r>
    <x v="8"/>
    <s v="SALE1022"/>
    <x v="47"/>
    <x v="22"/>
    <x v="33"/>
    <x v="47"/>
    <x v="3"/>
    <n v="1"/>
    <n v="756.63"/>
    <n v="0.04"/>
    <n v="726.36479999999995"/>
    <s v="PayPal"/>
    <x v="0"/>
    <x v="0"/>
    <x v="1"/>
  </r>
  <r>
    <x v="8"/>
    <s v="SALE557"/>
    <x v="78"/>
    <x v="504"/>
    <x v="228"/>
    <x v="78"/>
    <x v="2"/>
    <n v="3"/>
    <n v="366.08"/>
    <n v="0.05"/>
    <n v="1043.328"/>
    <s v="Credit Card"/>
    <x v="0"/>
    <x v="0"/>
    <x v="2"/>
  </r>
  <r>
    <x v="8"/>
    <s v="SALE1532"/>
    <x v="49"/>
    <x v="505"/>
    <x v="186"/>
    <x v="49"/>
    <x v="4"/>
    <n v="3"/>
    <n v="615.30999999999995"/>
    <n v="0.14000000000000001"/>
    <n v="1587.4998000000001"/>
    <s v="PayPal"/>
    <x v="1"/>
    <x v="0"/>
    <x v="3"/>
  </r>
  <r>
    <x v="8"/>
    <s v="SALE1245"/>
    <x v="49"/>
    <x v="99"/>
    <x v="338"/>
    <x v="49"/>
    <x v="4"/>
    <n v="3"/>
    <n v="416.44"/>
    <n v="0.27"/>
    <n v="912.00359999999989"/>
    <s v="Credit Card"/>
    <x v="1"/>
    <x v="0"/>
    <x v="1"/>
  </r>
  <r>
    <x v="8"/>
    <s v="SALE891"/>
    <x v="50"/>
    <x v="125"/>
    <x v="210"/>
    <x v="50"/>
    <x v="2"/>
    <n v="2"/>
    <n v="215.59"/>
    <n v="0.18"/>
    <n v="353.56760000000003"/>
    <s v="Credit Card"/>
    <x v="1"/>
    <x v="0"/>
    <x v="0"/>
  </r>
  <r>
    <x v="8"/>
    <s v="SALE1775"/>
    <x v="50"/>
    <x v="506"/>
    <x v="45"/>
    <x v="50"/>
    <x v="2"/>
    <n v="3"/>
    <n v="738.47"/>
    <n v="0.28000000000000003"/>
    <n v="1595.0952"/>
    <s v="Credit Card"/>
    <x v="0"/>
    <x v="0"/>
    <x v="1"/>
  </r>
  <r>
    <x v="8"/>
    <s v="SALE1624"/>
    <x v="50"/>
    <x v="252"/>
    <x v="5"/>
    <x v="50"/>
    <x v="2"/>
    <n v="4"/>
    <n v="164.93"/>
    <n v="0.11"/>
    <n v="587.1508"/>
    <s v="Credit Card"/>
    <x v="1"/>
    <x v="0"/>
    <x v="2"/>
  </r>
  <r>
    <x v="8"/>
    <s v="SALE466"/>
    <x v="52"/>
    <x v="507"/>
    <x v="406"/>
    <x v="52"/>
    <x v="3"/>
    <n v="3"/>
    <n v="649.95000000000005"/>
    <n v="0.28000000000000003"/>
    <n v="1403.8920000000001"/>
    <s v="COD"/>
    <x v="1"/>
    <x v="0"/>
    <x v="1"/>
  </r>
  <r>
    <x v="8"/>
    <s v="SALE159"/>
    <x v="53"/>
    <x v="457"/>
    <x v="371"/>
    <x v="53"/>
    <x v="1"/>
    <n v="2"/>
    <n v="122.23"/>
    <n v="0.21"/>
    <n v="193.1234"/>
    <s v="COD"/>
    <x v="1"/>
    <x v="0"/>
    <x v="2"/>
  </r>
  <r>
    <x v="8"/>
    <s v="SALE1199"/>
    <x v="53"/>
    <x v="351"/>
    <x v="89"/>
    <x v="53"/>
    <x v="1"/>
    <n v="2"/>
    <n v="635.22"/>
    <n v="0.3"/>
    <n v="889.30799999999999"/>
    <s v="COD"/>
    <x v="1"/>
    <x v="0"/>
    <x v="3"/>
  </r>
  <r>
    <x v="8"/>
    <s v="SALE1915"/>
    <x v="92"/>
    <x v="508"/>
    <x v="172"/>
    <x v="92"/>
    <x v="3"/>
    <n v="2"/>
    <n v="409.14"/>
    <n v="0.01"/>
    <n v="810.09719999999993"/>
    <s v="PayPal"/>
    <x v="1"/>
    <x v="0"/>
    <x v="1"/>
  </r>
  <r>
    <x v="8"/>
    <s v="SALE948"/>
    <x v="92"/>
    <x v="288"/>
    <x v="152"/>
    <x v="92"/>
    <x v="3"/>
    <n v="4"/>
    <n v="583.21"/>
    <n v="0.2"/>
    <n v="1866.2719999999999"/>
    <s v="Credit Card"/>
    <x v="1"/>
    <x v="0"/>
    <x v="2"/>
  </r>
  <r>
    <x v="8"/>
    <s v="SALE1159"/>
    <x v="54"/>
    <x v="509"/>
    <x v="40"/>
    <x v="54"/>
    <x v="0"/>
    <n v="1"/>
    <n v="269.25"/>
    <n v="0.14000000000000001"/>
    <n v="231.55500000000001"/>
    <s v="PayPal"/>
    <x v="1"/>
    <x v="0"/>
    <x v="1"/>
  </r>
  <r>
    <x v="8"/>
    <s v="SALE627"/>
    <x v="55"/>
    <x v="248"/>
    <x v="71"/>
    <x v="55"/>
    <x v="4"/>
    <n v="4"/>
    <n v="969.55"/>
    <n v="0.09"/>
    <n v="3529.1619999999998"/>
    <s v="COD"/>
    <x v="0"/>
    <x v="0"/>
    <x v="0"/>
  </r>
  <r>
    <x v="8"/>
    <s v="SALE559"/>
    <x v="55"/>
    <x v="295"/>
    <x v="9"/>
    <x v="55"/>
    <x v="4"/>
    <n v="1"/>
    <n v="499.59"/>
    <n v="0.03"/>
    <n v="484.60230000000001"/>
    <s v="COD"/>
    <x v="0"/>
    <x v="0"/>
    <x v="1"/>
  </r>
  <r>
    <x v="8"/>
    <s v="SALE878"/>
    <x v="56"/>
    <x v="319"/>
    <x v="6"/>
    <x v="56"/>
    <x v="2"/>
    <n v="1"/>
    <n v="553.38"/>
    <n v="0.21"/>
    <n v="437.17020000000002"/>
    <s v="PayPal"/>
    <x v="1"/>
    <x v="0"/>
    <x v="3"/>
  </r>
  <r>
    <x v="8"/>
    <s v="SALE62"/>
    <x v="93"/>
    <x v="510"/>
    <x v="23"/>
    <x v="93"/>
    <x v="0"/>
    <n v="1"/>
    <n v="468.94"/>
    <n v="0.12"/>
    <n v="412.66719999999998"/>
    <s v="Credit Card"/>
    <x v="1"/>
    <x v="0"/>
    <x v="1"/>
  </r>
  <r>
    <x v="8"/>
    <s v="SALE1249"/>
    <x v="57"/>
    <x v="511"/>
    <x v="134"/>
    <x v="57"/>
    <x v="1"/>
    <n v="3"/>
    <n v="517.98"/>
    <n v="0.01"/>
    <n v="1538.4005999999999"/>
    <s v="PayPal"/>
    <x v="0"/>
    <x v="0"/>
    <x v="3"/>
  </r>
  <r>
    <x v="8"/>
    <s v="SALE1300"/>
    <x v="59"/>
    <x v="387"/>
    <x v="117"/>
    <x v="59"/>
    <x v="4"/>
    <n v="1"/>
    <n v="893.14"/>
    <n v="0.09"/>
    <n v="812.75739999999996"/>
    <s v="Credit Card"/>
    <x v="1"/>
    <x v="0"/>
    <x v="1"/>
  </r>
  <r>
    <x v="8"/>
    <s v="SALE896"/>
    <x v="59"/>
    <x v="512"/>
    <x v="407"/>
    <x v="59"/>
    <x v="4"/>
    <n v="1"/>
    <n v="835.17"/>
    <n v="0.02"/>
    <n v="818.46659999999997"/>
    <s v="COD"/>
    <x v="0"/>
    <x v="0"/>
    <x v="1"/>
  </r>
  <r>
    <x v="8"/>
    <s v="SALE1797"/>
    <x v="80"/>
    <x v="217"/>
    <x v="297"/>
    <x v="80"/>
    <x v="2"/>
    <n v="4"/>
    <n v="820.78"/>
    <n v="0.25"/>
    <n v="2462.34"/>
    <s v="Credit Card"/>
    <x v="1"/>
    <x v="0"/>
    <x v="1"/>
  </r>
  <r>
    <x v="9"/>
    <s v="SALE1870"/>
    <x v="98"/>
    <x v="513"/>
    <x v="137"/>
    <x v="98"/>
    <x v="0"/>
    <n v="2"/>
    <n v="310.33"/>
    <n v="0.26"/>
    <n v="459.28840000000002"/>
    <s v="Credit Card"/>
    <x v="1"/>
    <x v="0"/>
    <x v="1"/>
  </r>
  <r>
    <x v="9"/>
    <s v="SALE1004"/>
    <x v="98"/>
    <x v="514"/>
    <x v="342"/>
    <x v="98"/>
    <x v="0"/>
    <n v="1"/>
    <n v="522.69000000000005"/>
    <n v="0.06"/>
    <n v="491.32860000000011"/>
    <s v="COD"/>
    <x v="0"/>
    <x v="0"/>
    <x v="0"/>
  </r>
  <r>
    <x v="9"/>
    <s v="SALE1126"/>
    <x v="98"/>
    <x v="483"/>
    <x v="12"/>
    <x v="98"/>
    <x v="0"/>
    <n v="3"/>
    <n v="241.64"/>
    <n v="0.28999999999999998"/>
    <n v="514.69319999999993"/>
    <s v="PayPal"/>
    <x v="1"/>
    <x v="0"/>
    <x v="3"/>
  </r>
  <r>
    <x v="9"/>
    <s v="SALE165"/>
    <x v="60"/>
    <x v="515"/>
    <x v="408"/>
    <x v="60"/>
    <x v="2"/>
    <n v="3"/>
    <n v="707.95"/>
    <n v="0.18"/>
    <n v="1741.557"/>
    <s v="PayPal"/>
    <x v="1"/>
    <x v="0"/>
    <x v="0"/>
  </r>
  <r>
    <x v="9"/>
    <s v="SALE37"/>
    <x v="60"/>
    <x v="294"/>
    <x v="37"/>
    <x v="60"/>
    <x v="2"/>
    <n v="3"/>
    <n v="121.76"/>
    <n v="0.27"/>
    <n v="266.65440000000001"/>
    <s v="PayPal"/>
    <x v="1"/>
    <x v="0"/>
    <x v="1"/>
  </r>
  <r>
    <x v="9"/>
    <s v="SALE1868"/>
    <x v="0"/>
    <x v="397"/>
    <x v="235"/>
    <x v="0"/>
    <x v="0"/>
    <n v="4"/>
    <n v="838.7"/>
    <n v="0.21"/>
    <n v="2650.2919999999999"/>
    <s v="COD"/>
    <x v="1"/>
    <x v="0"/>
    <x v="1"/>
  </r>
  <r>
    <x v="9"/>
    <s v="SALE561"/>
    <x v="0"/>
    <x v="516"/>
    <x v="361"/>
    <x v="0"/>
    <x v="0"/>
    <n v="2"/>
    <n v="813.01"/>
    <n v="0.06"/>
    <n v="1528.4588000000001"/>
    <s v="PayPal"/>
    <x v="1"/>
    <x v="0"/>
    <x v="0"/>
  </r>
  <r>
    <x v="9"/>
    <s v="SALE1759"/>
    <x v="2"/>
    <x v="197"/>
    <x v="100"/>
    <x v="2"/>
    <x v="2"/>
    <n v="4"/>
    <n v="839.74"/>
    <n v="0.13"/>
    <n v="2922.2952"/>
    <s v="PayPal"/>
    <x v="1"/>
    <x v="0"/>
    <x v="0"/>
  </r>
  <r>
    <x v="9"/>
    <s v="SALE1229"/>
    <x v="3"/>
    <x v="89"/>
    <x v="374"/>
    <x v="3"/>
    <x v="1"/>
    <n v="3"/>
    <n v="484.39"/>
    <n v="0.28999999999999998"/>
    <n v="1031.7507000000001"/>
    <s v="COD"/>
    <x v="0"/>
    <x v="0"/>
    <x v="3"/>
  </r>
  <r>
    <x v="9"/>
    <s v="SALE1169"/>
    <x v="4"/>
    <x v="422"/>
    <x v="273"/>
    <x v="4"/>
    <x v="3"/>
    <n v="1"/>
    <n v="391.77"/>
    <n v="0.1"/>
    <n v="352.59300000000002"/>
    <s v="PayPal"/>
    <x v="1"/>
    <x v="0"/>
    <x v="0"/>
  </r>
  <r>
    <x v="9"/>
    <s v="SALE1080"/>
    <x v="82"/>
    <x v="257"/>
    <x v="13"/>
    <x v="82"/>
    <x v="4"/>
    <n v="4"/>
    <n v="127.58"/>
    <n v="0.15"/>
    <n v="433.77199999999999"/>
    <s v="Credit Card"/>
    <x v="1"/>
    <x v="0"/>
    <x v="3"/>
  </r>
  <r>
    <x v="9"/>
    <s v="SALE1006"/>
    <x v="63"/>
    <x v="517"/>
    <x v="281"/>
    <x v="63"/>
    <x v="4"/>
    <n v="3"/>
    <n v="644.73"/>
    <n v="0.01"/>
    <n v="1914.8480999999999"/>
    <s v="COD"/>
    <x v="1"/>
    <x v="0"/>
    <x v="2"/>
  </r>
  <r>
    <x v="9"/>
    <s v="SALE1367"/>
    <x v="63"/>
    <x v="188"/>
    <x v="137"/>
    <x v="63"/>
    <x v="4"/>
    <n v="3"/>
    <n v="373.35"/>
    <n v="0.2"/>
    <n v="896.04000000000019"/>
    <s v="COD"/>
    <x v="1"/>
    <x v="0"/>
    <x v="1"/>
  </r>
  <r>
    <x v="9"/>
    <s v="SALE770"/>
    <x v="10"/>
    <x v="328"/>
    <x v="409"/>
    <x v="10"/>
    <x v="4"/>
    <n v="3"/>
    <n v="852.72"/>
    <n v="0.16"/>
    <n v="2148.8544000000002"/>
    <s v="Credit Card"/>
    <x v="1"/>
    <x v="0"/>
    <x v="1"/>
  </r>
  <r>
    <x v="9"/>
    <s v="SALE1736"/>
    <x v="10"/>
    <x v="57"/>
    <x v="410"/>
    <x v="10"/>
    <x v="4"/>
    <n v="3"/>
    <n v="849.77"/>
    <n v="0.12"/>
    <n v="2243.3928000000001"/>
    <s v="PayPal"/>
    <x v="1"/>
    <x v="0"/>
    <x v="1"/>
  </r>
  <r>
    <x v="9"/>
    <s v="SALE1639"/>
    <x v="11"/>
    <x v="387"/>
    <x v="10"/>
    <x v="11"/>
    <x v="0"/>
    <n v="3"/>
    <n v="543.92999999999995"/>
    <n v="0.3"/>
    <n v="1142.2529999999999"/>
    <s v="COD"/>
    <x v="1"/>
    <x v="0"/>
    <x v="1"/>
  </r>
  <r>
    <x v="9"/>
    <s v="SALE1194"/>
    <x v="11"/>
    <x v="243"/>
    <x v="251"/>
    <x v="11"/>
    <x v="0"/>
    <n v="2"/>
    <n v="519.29999999999995"/>
    <n v="0.09"/>
    <n v="945.12599999999998"/>
    <s v="PayPal"/>
    <x v="0"/>
    <x v="0"/>
    <x v="2"/>
  </r>
  <r>
    <x v="9"/>
    <s v="SALE1291"/>
    <x v="13"/>
    <x v="49"/>
    <x v="120"/>
    <x v="13"/>
    <x v="3"/>
    <n v="4"/>
    <n v="377.18"/>
    <n v="0.24"/>
    <n v="1146.6271999999999"/>
    <s v="PayPal"/>
    <x v="0"/>
    <x v="0"/>
    <x v="2"/>
  </r>
  <r>
    <x v="9"/>
    <s v="SALE1764"/>
    <x v="13"/>
    <x v="382"/>
    <x v="2"/>
    <x v="13"/>
    <x v="3"/>
    <n v="2"/>
    <n v="289.14"/>
    <n v="0.12"/>
    <n v="508.88639999999998"/>
    <s v="COD"/>
    <x v="1"/>
    <x v="0"/>
    <x v="1"/>
  </r>
  <r>
    <x v="9"/>
    <s v="SALE237"/>
    <x v="13"/>
    <x v="518"/>
    <x v="312"/>
    <x v="13"/>
    <x v="3"/>
    <n v="4"/>
    <n v="320.64"/>
    <n v="0.2"/>
    <n v="1026.048"/>
    <s v="COD"/>
    <x v="0"/>
    <x v="0"/>
    <x v="3"/>
  </r>
  <r>
    <x v="9"/>
    <s v="SALE1325"/>
    <x v="65"/>
    <x v="237"/>
    <x v="226"/>
    <x v="65"/>
    <x v="2"/>
    <n v="1"/>
    <n v="350.67"/>
    <n v="0.22"/>
    <n v="273.52260000000001"/>
    <s v="PayPal"/>
    <x v="0"/>
    <x v="0"/>
    <x v="2"/>
  </r>
  <r>
    <x v="9"/>
    <s v="SALE499"/>
    <x v="66"/>
    <x v="519"/>
    <x v="411"/>
    <x v="66"/>
    <x v="3"/>
    <n v="1"/>
    <n v="659.27"/>
    <n v="0.15"/>
    <n v="560.37950000000001"/>
    <s v="PayPal"/>
    <x v="1"/>
    <x v="0"/>
    <x v="3"/>
  </r>
  <r>
    <x v="9"/>
    <s v="SALE120"/>
    <x v="66"/>
    <x v="301"/>
    <x v="329"/>
    <x v="66"/>
    <x v="3"/>
    <n v="2"/>
    <n v="872.93"/>
    <n v="0.28999999999999998"/>
    <n v="1239.5606"/>
    <s v="COD"/>
    <x v="1"/>
    <x v="0"/>
    <x v="2"/>
  </r>
  <r>
    <x v="9"/>
    <s v="SALE610"/>
    <x v="67"/>
    <x v="520"/>
    <x v="14"/>
    <x v="67"/>
    <x v="1"/>
    <n v="3"/>
    <n v="182.91"/>
    <n v="0.28999999999999998"/>
    <n v="389.59829999999999"/>
    <s v="Credit Card"/>
    <x v="1"/>
    <x v="0"/>
    <x v="1"/>
  </r>
  <r>
    <x v="9"/>
    <s v="SALE1076"/>
    <x v="15"/>
    <x v="521"/>
    <x v="17"/>
    <x v="15"/>
    <x v="2"/>
    <n v="3"/>
    <n v="623.82000000000005"/>
    <n v="0.13"/>
    <n v="1628.1702"/>
    <s v="COD"/>
    <x v="0"/>
    <x v="0"/>
    <x v="3"/>
  </r>
  <r>
    <x v="9"/>
    <s v="SALE43"/>
    <x v="15"/>
    <x v="363"/>
    <x v="297"/>
    <x v="15"/>
    <x v="2"/>
    <n v="2.1607009492020444"/>
    <n v="863.11"/>
    <n v="0.28000000000000003"/>
    <n v="1864.3176000000001"/>
    <s v="PayPal"/>
    <x v="1"/>
    <x v="0"/>
    <x v="1"/>
  </r>
  <r>
    <x v="9"/>
    <s v="SALE1854"/>
    <x v="15"/>
    <x v="135"/>
    <x v="21"/>
    <x v="15"/>
    <x v="2"/>
    <n v="3"/>
    <n v="858.81"/>
    <n v="7.0000000000000007E-2"/>
    <n v="2396.0799000000002"/>
    <s v="Credit Card"/>
    <x v="0"/>
    <x v="0"/>
    <x v="0"/>
  </r>
  <r>
    <x v="9"/>
    <s v="SALE208"/>
    <x v="16"/>
    <x v="522"/>
    <x v="412"/>
    <x v="16"/>
    <x v="0"/>
    <n v="4"/>
    <n v="931.26"/>
    <n v="0.04"/>
    <n v="3576.0383999999999"/>
    <s v="Credit Card"/>
    <x v="1"/>
    <x v="0"/>
    <x v="0"/>
  </r>
  <r>
    <x v="9"/>
    <s v="SALE998"/>
    <x v="16"/>
    <x v="458"/>
    <x v="383"/>
    <x v="16"/>
    <x v="0"/>
    <n v="3"/>
    <n v="336.17"/>
    <n v="0.04"/>
    <n v="968.16959999999995"/>
    <s v="COD"/>
    <x v="0"/>
    <x v="0"/>
    <x v="3"/>
  </r>
  <r>
    <x v="9"/>
    <s v="SALE258"/>
    <x v="17"/>
    <x v="523"/>
    <x v="372"/>
    <x v="17"/>
    <x v="2"/>
    <n v="1"/>
    <n v="222.94"/>
    <n v="0.19"/>
    <n v="180.5814"/>
    <s v="Credit Card"/>
    <x v="0"/>
    <x v="0"/>
    <x v="0"/>
  </r>
  <r>
    <x v="9"/>
    <s v="SALE656"/>
    <x v="18"/>
    <x v="239"/>
    <x v="30"/>
    <x v="18"/>
    <x v="4"/>
    <n v="2"/>
    <n v="637.55999999999995"/>
    <n v="0.05"/>
    <n v="1211.364"/>
    <s v="COD"/>
    <x v="1"/>
    <x v="0"/>
    <x v="3"/>
  </r>
  <r>
    <x v="9"/>
    <s v="SALE1598"/>
    <x v="20"/>
    <x v="86"/>
    <x v="369"/>
    <x v="20"/>
    <x v="3"/>
    <n v="3"/>
    <n v="453.19"/>
    <n v="0.08"/>
    <n v="1250.8044"/>
    <s v="COD"/>
    <x v="0"/>
    <x v="0"/>
    <x v="3"/>
  </r>
  <r>
    <x v="9"/>
    <s v="SALE416"/>
    <x v="20"/>
    <x v="136"/>
    <x v="392"/>
    <x v="20"/>
    <x v="3"/>
    <n v="2"/>
    <n v="839.24"/>
    <n v="0.21"/>
    <n v="1325.9992"/>
    <s v="PayPal"/>
    <x v="1"/>
    <x v="0"/>
    <x v="3"/>
  </r>
  <r>
    <x v="9"/>
    <s v="SALE1244"/>
    <x v="20"/>
    <x v="41"/>
    <x v="350"/>
    <x v="20"/>
    <x v="3"/>
    <n v="4"/>
    <n v="347.82"/>
    <n v="0.02"/>
    <n v="1363.4544000000001"/>
    <s v="COD"/>
    <x v="0"/>
    <x v="0"/>
    <x v="3"/>
  </r>
  <r>
    <x v="9"/>
    <s v="SALE753"/>
    <x v="21"/>
    <x v="29"/>
    <x v="390"/>
    <x v="21"/>
    <x v="0"/>
    <n v="1"/>
    <n v="623.88"/>
    <n v="0.25"/>
    <n v="467.91"/>
    <s v="Credit Card"/>
    <x v="1"/>
    <x v="0"/>
    <x v="1"/>
  </r>
  <r>
    <x v="9"/>
    <s v="SALE1337"/>
    <x v="95"/>
    <x v="81"/>
    <x v="102"/>
    <x v="95"/>
    <x v="4"/>
    <n v="2"/>
    <n v="892.88"/>
    <n v="0.17"/>
    <n v="1482.1808000000001"/>
    <s v="PayPal"/>
    <x v="0"/>
    <x v="0"/>
    <x v="2"/>
  </r>
  <r>
    <x v="9"/>
    <s v="SALE1079"/>
    <x v="95"/>
    <x v="524"/>
    <x v="57"/>
    <x v="95"/>
    <x v="4"/>
    <n v="1"/>
    <n v="227.28"/>
    <n v="0.13"/>
    <n v="197.7336"/>
    <s v="COD"/>
    <x v="1"/>
    <x v="0"/>
    <x v="2"/>
  </r>
  <r>
    <x v="9"/>
    <s v="SALE437"/>
    <x v="22"/>
    <x v="426"/>
    <x v="316"/>
    <x v="22"/>
    <x v="0"/>
    <n v="3"/>
    <n v="551.22"/>
    <n v="0.12"/>
    <n v="1455.2208000000001"/>
    <s v="PayPal"/>
    <x v="0"/>
    <x v="0"/>
    <x v="2"/>
  </r>
  <r>
    <x v="9"/>
    <s v="SALE672"/>
    <x v="22"/>
    <x v="473"/>
    <x v="105"/>
    <x v="22"/>
    <x v="0"/>
    <n v="4"/>
    <n v="502.95"/>
    <n v="0.14000000000000001"/>
    <n v="1730.1479999999999"/>
    <s v="COD"/>
    <x v="1"/>
    <x v="0"/>
    <x v="2"/>
  </r>
  <r>
    <x v="9"/>
    <s v="SALE291"/>
    <x v="96"/>
    <x v="525"/>
    <x v="325"/>
    <x v="96"/>
    <x v="3"/>
    <n v="1"/>
    <n v="640.54999999999995"/>
    <n v="0.25"/>
    <n v="480.41250000000002"/>
    <s v="Credit Card"/>
    <x v="1"/>
    <x v="0"/>
    <x v="1"/>
  </r>
  <r>
    <x v="9"/>
    <s v="SALE251"/>
    <x v="96"/>
    <x v="526"/>
    <x v="207"/>
    <x v="96"/>
    <x v="3"/>
    <n v="4"/>
    <n v="982.45"/>
    <n v="0.2"/>
    <n v="3143.84"/>
    <s v="PayPal"/>
    <x v="1"/>
    <x v="0"/>
    <x v="2"/>
  </r>
  <r>
    <x v="9"/>
    <s v="SALE1431"/>
    <x v="23"/>
    <x v="209"/>
    <x v="413"/>
    <x v="23"/>
    <x v="0"/>
    <n v="1"/>
    <n v="361.09"/>
    <n v="0.06"/>
    <n v="339.42459999999988"/>
    <s v="PayPal"/>
    <x v="0"/>
    <x v="0"/>
    <x v="3"/>
  </r>
  <r>
    <x v="9"/>
    <s v="SALE48"/>
    <x v="69"/>
    <x v="527"/>
    <x v="276"/>
    <x v="69"/>
    <x v="3"/>
    <n v="1"/>
    <n v="517.13"/>
    <n v="0.28000000000000003"/>
    <n v="372.33359999999999"/>
    <s v="Credit Card"/>
    <x v="0"/>
    <x v="0"/>
    <x v="1"/>
  </r>
  <r>
    <x v="9"/>
    <s v="SALE866"/>
    <x v="24"/>
    <x v="503"/>
    <x v="375"/>
    <x v="24"/>
    <x v="3"/>
    <n v="3"/>
    <n v="144.66999999999999"/>
    <n v="0.28999999999999998"/>
    <n v="308.14710000000002"/>
    <s v="COD"/>
    <x v="0"/>
    <x v="0"/>
    <x v="3"/>
  </r>
  <r>
    <x v="9"/>
    <s v="SALE1922"/>
    <x v="25"/>
    <x v="454"/>
    <x v="414"/>
    <x v="25"/>
    <x v="4"/>
    <n v="4"/>
    <n v="569.36"/>
    <n v="0.27"/>
    <n v="1662.5311999999999"/>
    <s v="PayPal"/>
    <x v="0"/>
    <x v="0"/>
    <x v="1"/>
  </r>
  <r>
    <x v="9"/>
    <s v="SALE84"/>
    <x v="25"/>
    <x v="182"/>
    <x v="389"/>
    <x v="25"/>
    <x v="4"/>
    <n v="1"/>
    <n v="773.57"/>
    <n v="0.05"/>
    <n v="773.5200000000001"/>
    <s v="COD"/>
    <x v="0"/>
    <x v="0"/>
    <x v="0"/>
  </r>
  <r>
    <x v="9"/>
    <s v="SALE477"/>
    <x v="25"/>
    <x v="446"/>
    <x v="375"/>
    <x v="25"/>
    <x v="4"/>
    <n v="1"/>
    <n v="708.88"/>
    <n v="0.09"/>
    <n v="645.08080000000007"/>
    <s v="Credit Card"/>
    <x v="0"/>
    <x v="0"/>
    <x v="3"/>
  </r>
  <r>
    <x v="9"/>
    <s v="SALE988"/>
    <x v="26"/>
    <x v="70"/>
    <x v="402"/>
    <x v="26"/>
    <x v="1"/>
    <n v="2"/>
    <n v="274.08999999999997"/>
    <n v="0.13"/>
    <n v="476.91660000000002"/>
    <s v="PayPal"/>
    <x v="1"/>
    <x v="0"/>
    <x v="0"/>
  </r>
  <r>
    <x v="9"/>
    <s v="SALE1379"/>
    <x v="83"/>
    <x v="23"/>
    <x v="184"/>
    <x v="83"/>
    <x v="0"/>
    <n v="2"/>
    <n v="204.89"/>
    <n v="0.24"/>
    <n v="311.43279999999999"/>
    <s v="Credit Card"/>
    <x v="1"/>
    <x v="0"/>
    <x v="2"/>
  </r>
  <r>
    <x v="9"/>
    <s v="SALE1662"/>
    <x v="27"/>
    <x v="322"/>
    <x v="196"/>
    <x v="27"/>
    <x v="1"/>
    <n v="2"/>
    <n v="869.43"/>
    <n v="0.24"/>
    <n v="1321.5336"/>
    <s v="COD"/>
    <x v="1"/>
    <x v="0"/>
    <x v="1"/>
  </r>
  <r>
    <x v="9"/>
    <s v="SALE529"/>
    <x v="27"/>
    <x v="0"/>
    <x v="132"/>
    <x v="27"/>
    <x v="1"/>
    <n v="1"/>
    <n v="540.1"/>
    <n v="0.22"/>
    <n v="421.27800000000002"/>
    <s v="Credit Card"/>
    <x v="0"/>
    <x v="0"/>
    <x v="3"/>
  </r>
  <r>
    <x v="9"/>
    <s v="SALE732"/>
    <x v="29"/>
    <x v="272"/>
    <x v="415"/>
    <x v="29"/>
    <x v="3"/>
    <n v="1"/>
    <n v="498.61"/>
    <n v="0.04"/>
    <n v="478.66559999999998"/>
    <s v="PayPal"/>
    <x v="0"/>
    <x v="0"/>
    <x v="0"/>
  </r>
  <r>
    <x v="9"/>
    <s v="SALE1538"/>
    <x v="30"/>
    <x v="335"/>
    <x v="74"/>
    <x v="30"/>
    <x v="3"/>
    <n v="2"/>
    <n v="700.91"/>
    <n v="0.1"/>
    <n v="1261.6379999999999"/>
    <s v="PayPal"/>
    <x v="1"/>
    <x v="0"/>
    <x v="2"/>
  </r>
  <r>
    <x v="9"/>
    <s v="SALE1860"/>
    <x v="30"/>
    <x v="422"/>
    <x v="193"/>
    <x v="30"/>
    <x v="3"/>
    <n v="3"/>
    <n v="683.74"/>
    <n v="0.24"/>
    <n v="1558.9272000000001"/>
    <s v="Credit Card"/>
    <x v="0"/>
    <x v="0"/>
    <x v="0"/>
  </r>
  <r>
    <x v="9"/>
    <s v="SALE1953"/>
    <x v="32"/>
    <x v="4"/>
    <x v="39"/>
    <x v="32"/>
    <x v="2"/>
    <n v="2"/>
    <n v="981.35"/>
    <n v="0.16"/>
    <n v="1648.6679999999999"/>
    <s v="PayPal"/>
    <x v="1"/>
    <x v="0"/>
    <x v="1"/>
  </r>
  <r>
    <x v="9"/>
    <s v="SALE674"/>
    <x v="86"/>
    <x v="161"/>
    <x v="416"/>
    <x v="86"/>
    <x v="3"/>
    <n v="2"/>
    <n v="218.11"/>
    <n v="0.02"/>
    <n v="427.49560000000002"/>
    <s v="COD"/>
    <x v="0"/>
    <x v="0"/>
    <x v="2"/>
  </r>
  <r>
    <x v="9"/>
    <s v="SALE1043"/>
    <x v="33"/>
    <x v="26"/>
    <x v="173"/>
    <x v="33"/>
    <x v="4"/>
    <n v="4"/>
    <n v="377.26"/>
    <n v="0.22"/>
    <n v="1177.0512000000001"/>
    <s v="COD"/>
    <x v="1"/>
    <x v="0"/>
    <x v="1"/>
  </r>
  <r>
    <x v="9"/>
    <s v="SALE1510"/>
    <x v="33"/>
    <x v="345"/>
    <x v="324"/>
    <x v="33"/>
    <x v="4"/>
    <n v="3"/>
    <n v="622.98"/>
    <n v="0.28000000000000003"/>
    <n v="1345.6368"/>
    <s v="PayPal"/>
    <x v="1"/>
    <x v="0"/>
    <x v="1"/>
  </r>
  <r>
    <x v="9"/>
    <s v="SALE1872"/>
    <x v="33"/>
    <x v="508"/>
    <x v="234"/>
    <x v="33"/>
    <x v="4"/>
    <n v="1"/>
    <n v="803.37"/>
    <n v="0.3"/>
    <n v="562.35899999999992"/>
    <s v="PayPal"/>
    <x v="0"/>
    <x v="0"/>
    <x v="0"/>
  </r>
  <r>
    <x v="9"/>
    <s v="SALE1534"/>
    <x v="97"/>
    <x v="254"/>
    <x v="346"/>
    <x v="97"/>
    <x v="1"/>
    <n v="2"/>
    <n v="102.85"/>
    <n v="0.08"/>
    <n v="189.244"/>
    <s v="PayPal"/>
    <x v="1"/>
    <x v="0"/>
    <x v="0"/>
  </r>
  <r>
    <x v="9"/>
    <s v="SALE1691"/>
    <x v="34"/>
    <x v="230"/>
    <x v="278"/>
    <x v="34"/>
    <x v="1"/>
    <n v="1"/>
    <n v="631"/>
    <n v="0.04"/>
    <n v="605.76"/>
    <s v="Credit Card"/>
    <x v="1"/>
    <x v="0"/>
    <x v="2"/>
  </r>
  <r>
    <x v="9"/>
    <s v="SALE195"/>
    <x v="71"/>
    <x v="528"/>
    <x v="417"/>
    <x v="71"/>
    <x v="1"/>
    <n v="1"/>
    <n v="889.19"/>
    <n v="0.03"/>
    <n v="862.51430000000005"/>
    <s v="Credit Card"/>
    <x v="1"/>
    <x v="0"/>
    <x v="3"/>
  </r>
  <r>
    <x v="9"/>
    <s v="SALE1938"/>
    <x v="87"/>
    <x v="273"/>
    <x v="163"/>
    <x v="87"/>
    <x v="3"/>
    <n v="2"/>
    <n v="352.63"/>
    <n v="0.15"/>
    <n v="599.471"/>
    <s v="PayPal"/>
    <x v="0"/>
    <x v="0"/>
    <x v="1"/>
  </r>
  <r>
    <x v="9"/>
    <s v="SALE1416"/>
    <x v="36"/>
    <x v="529"/>
    <x v="19"/>
    <x v="36"/>
    <x v="1"/>
    <n v="4"/>
    <n v="194.67"/>
    <n v="0.23"/>
    <n v="599.58359999999993"/>
    <s v="PayPal"/>
    <x v="1"/>
    <x v="0"/>
    <x v="1"/>
  </r>
  <r>
    <x v="9"/>
    <s v="SALE720"/>
    <x v="72"/>
    <x v="374"/>
    <x v="396"/>
    <x v="72"/>
    <x v="3"/>
    <n v="3"/>
    <n v="681.58"/>
    <n v="0.23"/>
    <n v="1574.4498000000001"/>
    <s v="Credit Card"/>
    <x v="0"/>
    <x v="0"/>
    <x v="0"/>
  </r>
  <r>
    <x v="9"/>
    <s v="SALE484"/>
    <x v="38"/>
    <x v="69"/>
    <x v="130"/>
    <x v="38"/>
    <x v="1"/>
    <n v="1"/>
    <n v="440.19"/>
    <n v="0.03"/>
    <n v="426.98430000000002"/>
    <s v="PayPal"/>
    <x v="0"/>
    <x v="0"/>
    <x v="2"/>
  </r>
  <r>
    <x v="9"/>
    <s v="SALE1673"/>
    <x v="39"/>
    <x v="143"/>
    <x v="418"/>
    <x v="39"/>
    <x v="0"/>
    <n v="1"/>
    <n v="762.55"/>
    <n v="0.19"/>
    <n v="617.66549999999995"/>
    <s v="Credit Card"/>
    <x v="1"/>
    <x v="0"/>
    <x v="1"/>
  </r>
  <r>
    <x v="9"/>
    <s v="SALE1365"/>
    <x v="88"/>
    <x v="227"/>
    <x v="257"/>
    <x v="88"/>
    <x v="2"/>
    <n v="4"/>
    <n v="255.67"/>
    <n v="0.17"/>
    <n v="848.82439999999997"/>
    <s v="Credit Card"/>
    <x v="1"/>
    <x v="0"/>
    <x v="1"/>
  </r>
  <r>
    <x v="9"/>
    <s v="SALE1192"/>
    <x v="40"/>
    <x v="492"/>
    <x v="307"/>
    <x v="40"/>
    <x v="4"/>
    <n v="4"/>
    <n v="477.52"/>
    <n v="7.0000000000000007E-2"/>
    <n v="1776.3743999999999"/>
    <s v="PayPal"/>
    <x v="1"/>
    <x v="0"/>
    <x v="3"/>
  </r>
  <r>
    <x v="9"/>
    <s v="SALE1013"/>
    <x v="89"/>
    <x v="516"/>
    <x v="419"/>
    <x v="89"/>
    <x v="2"/>
    <n v="4"/>
    <n v="929.26"/>
    <n v="0.23"/>
    <n v="2862.1208000000001"/>
    <s v="PayPal"/>
    <x v="1"/>
    <x v="0"/>
    <x v="1"/>
  </r>
  <r>
    <x v="9"/>
    <s v="SALE1949"/>
    <x v="89"/>
    <x v="296"/>
    <x v="351"/>
    <x v="89"/>
    <x v="2"/>
    <n v="4"/>
    <n v="716.39"/>
    <n v="0.03"/>
    <n v="2779.5931999999998"/>
    <s v="PayPal"/>
    <x v="0"/>
    <x v="0"/>
    <x v="3"/>
  </r>
  <r>
    <x v="9"/>
    <s v="SALE1232"/>
    <x v="41"/>
    <x v="280"/>
    <x v="420"/>
    <x v="41"/>
    <x v="2"/>
    <n v="3"/>
    <n v="190.04"/>
    <n v="7.0000000000000007E-2"/>
    <n v="530.21159999999998"/>
    <s v="PayPal"/>
    <x v="1"/>
    <x v="0"/>
    <x v="3"/>
  </r>
  <r>
    <x v="9"/>
    <s v="SALE711"/>
    <x v="73"/>
    <x v="518"/>
    <x v="421"/>
    <x v="73"/>
    <x v="1"/>
    <n v="1"/>
    <n v="613.17999999999995"/>
    <n v="0.14000000000000001"/>
    <n v="527.33479999999997"/>
    <s v="COD"/>
    <x v="1"/>
    <x v="0"/>
    <x v="1"/>
  </r>
  <r>
    <x v="9"/>
    <s v="SALE20"/>
    <x v="42"/>
    <x v="337"/>
    <x v="209"/>
    <x v="42"/>
    <x v="3"/>
    <n v="3"/>
    <n v="986.04"/>
    <n v="0.27"/>
    <n v="2159.4276"/>
    <s v="COD"/>
    <x v="1"/>
    <x v="0"/>
    <x v="2"/>
  </r>
  <r>
    <x v="9"/>
    <s v="SALE1893"/>
    <x v="42"/>
    <x v="210"/>
    <x v="196"/>
    <x v="42"/>
    <x v="3"/>
    <n v="1"/>
    <n v="389.12"/>
    <n v="0.18"/>
    <n v="319.07839999999999"/>
    <s v="PayPal"/>
    <x v="1"/>
    <x v="0"/>
    <x v="1"/>
  </r>
  <r>
    <x v="9"/>
    <s v="SALE459"/>
    <x v="42"/>
    <x v="530"/>
    <x v="118"/>
    <x v="42"/>
    <x v="3"/>
    <n v="2"/>
    <n v="736.75"/>
    <n v="0.18"/>
    <n v="1208.27"/>
    <s v="Credit Card"/>
    <x v="1"/>
    <x v="0"/>
    <x v="3"/>
  </r>
  <r>
    <x v="9"/>
    <s v="SALE1324"/>
    <x v="44"/>
    <x v="211"/>
    <x v="284"/>
    <x v="44"/>
    <x v="0"/>
    <n v="4"/>
    <n v="529.04"/>
    <n v="0.1"/>
    <n v="1904.5440000000001"/>
    <s v="PayPal"/>
    <x v="1"/>
    <x v="0"/>
    <x v="1"/>
  </r>
  <r>
    <x v="9"/>
    <s v="SALE1"/>
    <x v="44"/>
    <x v="33"/>
    <x v="118"/>
    <x v="44"/>
    <x v="0"/>
    <n v="3"/>
    <n v="104.47"/>
    <n v="0.27"/>
    <n v="228.7893"/>
    <s v="PayPal"/>
    <x v="1"/>
    <x v="0"/>
    <x v="3"/>
  </r>
  <r>
    <x v="9"/>
    <s v="SALE1040"/>
    <x v="45"/>
    <x v="447"/>
    <x v="422"/>
    <x v="45"/>
    <x v="4"/>
    <n v="3"/>
    <n v="202.07"/>
    <n v="0.23"/>
    <n v="466.78170000000011"/>
    <s v="PayPal"/>
    <x v="1"/>
    <x v="0"/>
    <x v="1"/>
  </r>
  <r>
    <x v="9"/>
    <s v="SALE1329"/>
    <x v="90"/>
    <x v="374"/>
    <x v="423"/>
    <x v="90"/>
    <x v="0"/>
    <n v="4"/>
    <n v="661.39"/>
    <n v="7.0000000000000007E-2"/>
    <n v="2460.3708000000001"/>
    <s v="Credit Card"/>
    <x v="0"/>
    <x v="0"/>
    <x v="1"/>
  </r>
  <r>
    <x v="9"/>
    <s v="SALE222"/>
    <x v="90"/>
    <x v="263"/>
    <x v="346"/>
    <x v="90"/>
    <x v="0"/>
    <n v="3"/>
    <n v="207.8"/>
    <n v="0.15"/>
    <n v="529.8900000000001"/>
    <s v="Credit Card"/>
    <x v="1"/>
    <x v="0"/>
    <x v="0"/>
  </r>
  <r>
    <x v="9"/>
    <s v="SALE1583"/>
    <x v="90"/>
    <x v="531"/>
    <x v="424"/>
    <x v="90"/>
    <x v="0"/>
    <n v="2"/>
    <n v="877.21"/>
    <n v="0.1"/>
    <n v="1578.9780000000001"/>
    <s v="Credit Card"/>
    <x v="0"/>
    <x v="0"/>
    <x v="0"/>
  </r>
  <r>
    <x v="9"/>
    <s v="SALE1605"/>
    <x v="90"/>
    <x v="305"/>
    <x v="68"/>
    <x v="90"/>
    <x v="0"/>
    <n v="3"/>
    <n v="915.81"/>
    <n v="0.17"/>
    <n v="2280.3669"/>
    <s v="COD"/>
    <x v="0"/>
    <x v="0"/>
    <x v="2"/>
  </r>
  <r>
    <x v="9"/>
    <s v="SALE1279"/>
    <x v="74"/>
    <x v="224"/>
    <x v="23"/>
    <x v="74"/>
    <x v="0"/>
    <n v="1"/>
    <n v="748.75"/>
    <n v="0.1"/>
    <n v="673.875"/>
    <s v="COD"/>
    <x v="1"/>
    <x v="0"/>
    <x v="1"/>
  </r>
  <r>
    <x v="9"/>
    <s v="SALE105"/>
    <x v="76"/>
    <x v="1"/>
    <x v="422"/>
    <x v="76"/>
    <x v="2"/>
    <n v="2"/>
    <n v="418.23"/>
    <n v="0.28000000000000003"/>
    <n v="602.25120000000004"/>
    <s v="Credit Card"/>
    <x v="1"/>
    <x v="0"/>
    <x v="1"/>
  </r>
  <r>
    <x v="9"/>
    <s v="SALE797"/>
    <x v="77"/>
    <x v="133"/>
    <x v="133"/>
    <x v="77"/>
    <x v="0"/>
    <n v="3"/>
    <n v="170.48"/>
    <n v="0.06"/>
    <n v="480.75359999999989"/>
    <s v="COD"/>
    <x v="1"/>
    <x v="0"/>
    <x v="3"/>
  </r>
  <r>
    <x v="9"/>
    <s v="SALE706"/>
    <x v="91"/>
    <x v="411"/>
    <x v="325"/>
    <x v="91"/>
    <x v="2"/>
    <n v="1"/>
    <n v="846.04"/>
    <n v="0.08"/>
    <n v="778.35680000000002"/>
    <s v="PayPal"/>
    <x v="1"/>
    <x v="0"/>
    <x v="1"/>
  </r>
  <r>
    <x v="9"/>
    <s v="SALE312"/>
    <x v="91"/>
    <x v="532"/>
    <x v="1"/>
    <x v="91"/>
    <x v="2"/>
    <n v="2"/>
    <n v="588.9"/>
    <n v="0.19"/>
    <n v="954.01800000000003"/>
    <s v="PayPal"/>
    <x v="1"/>
    <x v="0"/>
    <x v="0"/>
  </r>
  <r>
    <x v="9"/>
    <s v="SALE1288"/>
    <x v="91"/>
    <x v="533"/>
    <x v="391"/>
    <x v="91"/>
    <x v="2"/>
    <n v="4"/>
    <n v="408.76"/>
    <n v="0.12"/>
    <n v="1438.8352"/>
    <s v="COD"/>
    <x v="1"/>
    <x v="0"/>
    <x v="3"/>
  </r>
  <r>
    <x v="9"/>
    <s v="SALE1470"/>
    <x v="47"/>
    <x v="526"/>
    <x v="30"/>
    <x v="47"/>
    <x v="3"/>
    <n v="4"/>
    <n v="461.52"/>
    <n v="0"/>
    <n v="1846.08"/>
    <s v="COD"/>
    <x v="1"/>
    <x v="0"/>
    <x v="3"/>
  </r>
  <r>
    <x v="9"/>
    <s v="SALE1383"/>
    <x v="47"/>
    <x v="436"/>
    <x v="425"/>
    <x v="47"/>
    <x v="3"/>
    <n v="2"/>
    <n v="160.21"/>
    <n v="0.09"/>
    <n v="291.5822"/>
    <s v="Credit Card"/>
    <x v="0"/>
    <x v="0"/>
    <x v="2"/>
  </r>
  <r>
    <x v="9"/>
    <s v="SALE1151"/>
    <x v="48"/>
    <x v="457"/>
    <x v="406"/>
    <x v="48"/>
    <x v="1"/>
    <n v="3"/>
    <n v="816.87"/>
    <n v="0.14000000000000001"/>
    <n v="2107.5246000000002"/>
    <s v="PayPal"/>
    <x v="1"/>
    <x v="0"/>
    <x v="1"/>
  </r>
  <r>
    <x v="9"/>
    <s v="SALE1931"/>
    <x v="48"/>
    <x v="534"/>
    <x v="359"/>
    <x v="48"/>
    <x v="1"/>
    <n v="3"/>
    <n v="63.36"/>
    <n v="0.28999999999999998"/>
    <n v="134.95679999999999"/>
    <s v="COD"/>
    <x v="0"/>
    <x v="0"/>
    <x v="2"/>
  </r>
  <r>
    <x v="9"/>
    <s v="SALE1075"/>
    <x v="78"/>
    <x v="319"/>
    <x v="256"/>
    <x v="78"/>
    <x v="2"/>
    <n v="4"/>
    <n v="604.87"/>
    <n v="0.28000000000000003"/>
    <n v="1742.0255999999999"/>
    <s v="PayPal"/>
    <x v="0"/>
    <x v="0"/>
    <x v="3"/>
  </r>
  <r>
    <x v="9"/>
    <s v="SALE1176"/>
    <x v="78"/>
    <x v="412"/>
    <x v="152"/>
    <x v="78"/>
    <x v="2"/>
    <n v="1"/>
    <n v="235.44"/>
    <n v="0.19"/>
    <n v="190.7064"/>
    <s v="COD"/>
    <x v="1"/>
    <x v="0"/>
    <x v="2"/>
  </r>
  <r>
    <x v="9"/>
    <s v="SALE774"/>
    <x v="78"/>
    <x v="361"/>
    <x v="168"/>
    <x v="78"/>
    <x v="2"/>
    <n v="3"/>
    <n v="846.31"/>
    <n v="0.18"/>
    <n v="2081.9225999999999"/>
    <s v="COD"/>
    <x v="0"/>
    <x v="0"/>
    <x v="3"/>
  </r>
  <r>
    <x v="9"/>
    <s v="SALE295"/>
    <x v="49"/>
    <x v="144"/>
    <x v="273"/>
    <x v="49"/>
    <x v="4"/>
    <n v="4"/>
    <n v="626.35"/>
    <n v="0.25"/>
    <n v="1879.05"/>
    <s v="COD"/>
    <x v="1"/>
    <x v="0"/>
    <x v="0"/>
  </r>
  <r>
    <x v="9"/>
    <s v="SALE556"/>
    <x v="50"/>
    <x v="445"/>
    <x v="281"/>
    <x v="50"/>
    <x v="2"/>
    <n v="4"/>
    <n v="338.73"/>
    <n v="0.18"/>
    <n v="1111.0344"/>
    <s v="Credit Card"/>
    <x v="1"/>
    <x v="0"/>
    <x v="2"/>
  </r>
  <r>
    <x v="9"/>
    <s v="SALE1756"/>
    <x v="53"/>
    <x v="535"/>
    <x v="169"/>
    <x v="53"/>
    <x v="1"/>
    <n v="2"/>
    <n v="433.07"/>
    <n v="0.25"/>
    <n v="649.60500000000002"/>
    <s v="COD"/>
    <x v="0"/>
    <x v="0"/>
    <x v="0"/>
  </r>
  <r>
    <x v="9"/>
    <s v="SALE735"/>
    <x v="55"/>
    <x v="351"/>
    <x v="177"/>
    <x v="55"/>
    <x v="4"/>
    <n v="1"/>
    <n v="230.32"/>
    <n v="0.05"/>
    <n v="218.804"/>
    <s v="COD"/>
    <x v="0"/>
    <x v="0"/>
    <x v="3"/>
  </r>
  <r>
    <x v="9"/>
    <s v="SALE82"/>
    <x v="55"/>
    <x v="157"/>
    <x v="184"/>
    <x v="55"/>
    <x v="4"/>
    <n v="2"/>
    <n v="601.33000000000004"/>
    <n v="0.16"/>
    <n v="1010.2344000000001"/>
    <s v="PayPal"/>
    <x v="1"/>
    <x v="0"/>
    <x v="2"/>
  </r>
  <r>
    <x v="9"/>
    <s v="SALE592"/>
    <x v="56"/>
    <x v="164"/>
    <x v="127"/>
    <x v="56"/>
    <x v="2"/>
    <n v="3"/>
    <n v="259.74"/>
    <n v="0.24"/>
    <n v="592.20720000000006"/>
    <s v="Credit Card"/>
    <x v="0"/>
    <x v="0"/>
    <x v="1"/>
  </r>
  <r>
    <x v="9"/>
    <s v="SALE1735"/>
    <x v="93"/>
    <x v="275"/>
    <x v="241"/>
    <x v="93"/>
    <x v="0"/>
    <n v="4"/>
    <n v="825.78"/>
    <n v="0.02"/>
    <n v="3237.0576000000001"/>
    <s v="Credit Card"/>
    <x v="0"/>
    <x v="0"/>
    <x v="1"/>
  </r>
  <r>
    <x v="9"/>
    <s v="SALE816"/>
    <x v="57"/>
    <x v="535"/>
    <x v="133"/>
    <x v="57"/>
    <x v="1"/>
    <n v="4"/>
    <n v="212.96"/>
    <n v="0.17"/>
    <n v="707.02719999999999"/>
    <s v="Credit Card"/>
    <x v="1"/>
    <x v="0"/>
    <x v="3"/>
  </r>
  <r>
    <x v="9"/>
    <s v="SALE1945"/>
    <x v="57"/>
    <x v="215"/>
    <x v="180"/>
    <x v="57"/>
    <x v="1"/>
    <n v="1"/>
    <n v="355.31"/>
    <n v="0.27"/>
    <n v="259.37630000000001"/>
    <s v="Credit Card"/>
    <x v="1"/>
    <x v="0"/>
    <x v="2"/>
  </r>
  <r>
    <x v="9"/>
    <s v="SALE847"/>
    <x v="58"/>
    <x v="359"/>
    <x v="273"/>
    <x v="58"/>
    <x v="3"/>
    <n v="1"/>
    <n v="219.81"/>
    <n v="0.22"/>
    <n v="171.45179999999999"/>
    <s v="COD"/>
    <x v="1"/>
    <x v="0"/>
    <x v="0"/>
  </r>
  <r>
    <x v="9"/>
    <s v="SALE719"/>
    <x v="58"/>
    <x v="374"/>
    <x v="191"/>
    <x v="58"/>
    <x v="3"/>
    <n v="4"/>
    <n v="52.35"/>
    <n v="0.23"/>
    <n v="161.238"/>
    <s v="COD"/>
    <x v="1"/>
    <x v="0"/>
    <x v="3"/>
  </r>
  <r>
    <x v="9"/>
    <s v="SALE1454"/>
    <x v="59"/>
    <x v="254"/>
    <x v="5"/>
    <x v="59"/>
    <x v="4"/>
    <n v="2"/>
    <n v="977.18"/>
    <n v="0.19"/>
    <n v="1583.0316"/>
    <s v="Credit Card"/>
    <x v="1"/>
    <x v="0"/>
    <x v="2"/>
  </r>
  <r>
    <x v="9"/>
    <s v="SALE65"/>
    <x v="80"/>
    <x v="528"/>
    <x v="240"/>
    <x v="80"/>
    <x v="2"/>
    <n v="2"/>
    <n v="856.57"/>
    <n v="0.24"/>
    <n v="1301.9864"/>
    <s v="Credit Card"/>
    <x v="0"/>
    <x v="0"/>
    <x v="0"/>
  </r>
  <r>
    <x v="9"/>
    <s v="SALE412"/>
    <x v="80"/>
    <x v="157"/>
    <x v="130"/>
    <x v="80"/>
    <x v="2"/>
    <n v="3"/>
    <n v="507.33"/>
    <n v="0.06"/>
    <n v="1430.6705999999999"/>
    <s v="PayPal"/>
    <x v="0"/>
    <x v="0"/>
    <x v="2"/>
  </r>
  <r>
    <x v="10"/>
    <s v="SALE1603"/>
    <x v="60"/>
    <x v="536"/>
    <x v="244"/>
    <x v="60"/>
    <x v="2"/>
    <n v="2"/>
    <n v="635.39"/>
    <n v="0.28999999999999998"/>
    <n v="902.25379999999996"/>
    <s v="COD"/>
    <x v="0"/>
    <x v="0"/>
    <x v="1"/>
  </r>
  <r>
    <x v="10"/>
    <s v="SALE351"/>
    <x v="1"/>
    <x v="537"/>
    <x v="79"/>
    <x v="1"/>
    <x v="1"/>
    <n v="3"/>
    <n v="877.71"/>
    <n v="0.12"/>
    <n v="2317.1543999999999"/>
    <s v="PayPal"/>
    <x v="0"/>
    <x v="0"/>
    <x v="3"/>
  </r>
  <r>
    <x v="10"/>
    <s v="SALE615"/>
    <x v="1"/>
    <x v="250"/>
    <x v="426"/>
    <x v="1"/>
    <x v="1"/>
    <n v="4"/>
    <n v="705.64"/>
    <n v="0.11"/>
    <n v="2512.0783999999999"/>
    <s v="PayPal"/>
    <x v="1"/>
    <x v="0"/>
    <x v="3"/>
  </r>
  <r>
    <x v="10"/>
    <s v="SALE1472"/>
    <x v="1"/>
    <x v="538"/>
    <x v="427"/>
    <x v="1"/>
    <x v="1"/>
    <n v="4"/>
    <n v="700.98"/>
    <n v="0.12"/>
    <n v="2467.4495999999999"/>
    <s v="PayPal"/>
    <x v="0"/>
    <x v="0"/>
    <x v="2"/>
  </r>
  <r>
    <x v="10"/>
    <s v="SALE1559"/>
    <x v="1"/>
    <x v="375"/>
    <x v="282"/>
    <x v="1"/>
    <x v="1"/>
    <n v="1"/>
    <n v="548.15"/>
    <n v="0.11"/>
    <n v="487.8535"/>
    <s v="Credit Card"/>
    <x v="0"/>
    <x v="0"/>
    <x v="2"/>
  </r>
  <r>
    <x v="10"/>
    <s v="SALE1424"/>
    <x v="61"/>
    <x v="400"/>
    <x v="74"/>
    <x v="61"/>
    <x v="0"/>
    <n v="1"/>
    <n v="350.58"/>
    <n v="0.03"/>
    <n v="340.06259999999997"/>
    <s v="COD"/>
    <x v="1"/>
    <x v="0"/>
    <x v="2"/>
  </r>
  <r>
    <x v="10"/>
    <s v="SALE852"/>
    <x v="61"/>
    <x v="446"/>
    <x v="160"/>
    <x v="61"/>
    <x v="0"/>
    <n v="4"/>
    <n v="266.98"/>
    <n v="0.16"/>
    <n v="897.05280000000005"/>
    <s v="Credit Card"/>
    <x v="1"/>
    <x v="0"/>
    <x v="0"/>
  </r>
  <r>
    <x v="10"/>
    <s v="SALE697"/>
    <x v="62"/>
    <x v="2"/>
    <x v="373"/>
    <x v="62"/>
    <x v="0"/>
    <n v="2"/>
    <n v="669.12"/>
    <n v="0.22"/>
    <n v="1043.8271999999999"/>
    <s v="Credit Card"/>
    <x v="0"/>
    <x v="0"/>
    <x v="2"/>
  </r>
  <r>
    <x v="10"/>
    <s v="SALE1203"/>
    <x v="62"/>
    <x v="215"/>
    <x v="184"/>
    <x v="62"/>
    <x v="0"/>
    <n v="3"/>
    <n v="197.93"/>
    <n v="0"/>
    <n v="593.79"/>
    <s v="COD"/>
    <x v="1"/>
    <x v="0"/>
    <x v="2"/>
  </r>
  <r>
    <x v="10"/>
    <s v="SALE220"/>
    <x v="3"/>
    <x v="498"/>
    <x v="208"/>
    <x v="3"/>
    <x v="1"/>
    <n v="3"/>
    <n v="434.55"/>
    <n v="0.08"/>
    <n v="1199.3579999999999"/>
    <s v="COD"/>
    <x v="1"/>
    <x v="0"/>
    <x v="3"/>
  </r>
  <r>
    <x v="10"/>
    <s v="SALE83"/>
    <x v="4"/>
    <x v="222"/>
    <x v="428"/>
    <x v="4"/>
    <x v="3"/>
    <n v="4"/>
    <n v="34.39"/>
    <n v="0.03"/>
    <n v="133.4332"/>
    <s v="PayPal"/>
    <x v="0"/>
    <x v="0"/>
    <x v="2"/>
  </r>
  <r>
    <x v="10"/>
    <s v="SALE1697"/>
    <x v="5"/>
    <x v="181"/>
    <x v="236"/>
    <x v="5"/>
    <x v="4"/>
    <n v="1"/>
    <n v="235.28"/>
    <n v="0.05"/>
    <n v="223.51599999999999"/>
    <s v="PayPal"/>
    <x v="1"/>
    <x v="0"/>
    <x v="4"/>
  </r>
  <r>
    <x v="10"/>
    <s v="SALE590"/>
    <x v="6"/>
    <x v="274"/>
    <x v="404"/>
    <x v="6"/>
    <x v="3"/>
    <n v="4"/>
    <n v="573.37"/>
    <n v="0.04"/>
    <n v="2201.7408"/>
    <s v="COD"/>
    <x v="0"/>
    <x v="0"/>
    <x v="3"/>
  </r>
  <r>
    <x v="10"/>
    <s v="SALE106"/>
    <x v="6"/>
    <x v="539"/>
    <x v="346"/>
    <x v="6"/>
    <x v="3"/>
    <n v="3"/>
    <n v="551.72"/>
    <n v="0.03"/>
    <n v="1605.5052000000001"/>
    <s v="COD"/>
    <x v="1"/>
    <x v="0"/>
    <x v="0"/>
  </r>
  <r>
    <x v="10"/>
    <s v="SALE1226"/>
    <x v="6"/>
    <x v="75"/>
    <x v="172"/>
    <x v="6"/>
    <x v="3"/>
    <n v="3"/>
    <n v="726.97"/>
    <n v="0.04"/>
    <n v="2093.6736000000001"/>
    <s v="PayPal"/>
    <x v="1"/>
    <x v="0"/>
    <x v="1"/>
  </r>
  <r>
    <x v="10"/>
    <s v="SALE829"/>
    <x v="7"/>
    <x v="326"/>
    <x v="109"/>
    <x v="7"/>
    <x v="3"/>
    <n v="1"/>
    <n v="27.83"/>
    <n v="0.3"/>
    <n v="19.481000000000002"/>
    <s v="PayPal"/>
    <x v="0"/>
    <x v="0"/>
    <x v="1"/>
  </r>
  <r>
    <x v="10"/>
    <s v="SALE1679"/>
    <x v="7"/>
    <x v="540"/>
    <x v="414"/>
    <x v="7"/>
    <x v="3"/>
    <n v="3"/>
    <n v="94.83"/>
    <n v="0.16"/>
    <n v="238.9716"/>
    <s v="COD"/>
    <x v="0"/>
    <x v="0"/>
    <x v="1"/>
  </r>
  <r>
    <x v="10"/>
    <s v="SALE1518"/>
    <x v="7"/>
    <x v="541"/>
    <x v="36"/>
    <x v="7"/>
    <x v="3"/>
    <n v="4"/>
    <n v="558.83000000000004"/>
    <n v="0.16"/>
    <n v="1877.6687999999999"/>
    <s v="PayPal"/>
    <x v="0"/>
    <x v="0"/>
    <x v="1"/>
  </r>
  <r>
    <x v="10"/>
    <s v="SALE1717"/>
    <x v="9"/>
    <x v="357"/>
    <x v="228"/>
    <x v="9"/>
    <x v="3"/>
    <n v="2"/>
    <n v="761.71"/>
    <n v="0.02"/>
    <n v="1492.9516000000001"/>
    <s v="PayPal"/>
    <x v="0"/>
    <x v="0"/>
    <x v="2"/>
  </r>
  <r>
    <x v="10"/>
    <s v="SALE370"/>
    <x v="9"/>
    <x v="398"/>
    <x v="279"/>
    <x v="9"/>
    <x v="3"/>
    <n v="1"/>
    <n v="678.2"/>
    <n v="0.14000000000000001"/>
    <n v="583.25200000000007"/>
    <s v="Credit Card"/>
    <x v="0"/>
    <x v="0"/>
    <x v="0"/>
  </r>
  <r>
    <x v="10"/>
    <s v="SALE1525"/>
    <x v="63"/>
    <x v="391"/>
    <x v="138"/>
    <x v="63"/>
    <x v="4"/>
    <n v="1"/>
    <n v="616.82000000000005"/>
    <n v="0.24"/>
    <n v="468.78320000000002"/>
    <s v="Credit Card"/>
    <x v="1"/>
    <x v="0"/>
    <x v="2"/>
  </r>
  <r>
    <x v="10"/>
    <s v="SALE1594"/>
    <x v="64"/>
    <x v="295"/>
    <x v="215"/>
    <x v="64"/>
    <x v="3"/>
    <n v="4"/>
    <n v="641.45000000000005"/>
    <n v="0.16"/>
    <n v="2155.2719999999999"/>
    <s v="COD"/>
    <x v="1"/>
    <x v="0"/>
    <x v="2"/>
  </r>
  <r>
    <x v="10"/>
    <s v="SALE705"/>
    <x v="64"/>
    <x v="30"/>
    <x v="429"/>
    <x v="64"/>
    <x v="3"/>
    <n v="4"/>
    <n v="757.9"/>
    <n v="0.22"/>
    <n v="2364.6480000000001"/>
    <s v="PayPal"/>
    <x v="1"/>
    <x v="0"/>
    <x v="3"/>
  </r>
  <r>
    <x v="10"/>
    <s v="SALE1804"/>
    <x v="10"/>
    <x v="542"/>
    <x v="122"/>
    <x v="10"/>
    <x v="4"/>
    <n v="1"/>
    <n v="401.18"/>
    <n v="0.15"/>
    <n v="341.00299999999999"/>
    <s v="COD"/>
    <x v="0"/>
    <x v="0"/>
    <x v="1"/>
  </r>
  <r>
    <x v="10"/>
    <s v="SALE1271"/>
    <x v="10"/>
    <x v="336"/>
    <x v="177"/>
    <x v="10"/>
    <x v="4"/>
    <n v="3"/>
    <n v="336.1"/>
    <n v="0.12"/>
    <n v="887.30400000000009"/>
    <s v="COD"/>
    <x v="0"/>
    <x v="0"/>
    <x v="3"/>
  </r>
  <r>
    <x v="10"/>
    <s v="SALE1313"/>
    <x v="11"/>
    <x v="209"/>
    <x v="41"/>
    <x v="11"/>
    <x v="0"/>
    <n v="1"/>
    <n v="179.77"/>
    <n v="0.23"/>
    <n v="138.4229"/>
    <s v="COD"/>
    <x v="1"/>
    <x v="0"/>
    <x v="3"/>
  </r>
  <r>
    <x v="10"/>
    <s v="SALE470"/>
    <x v="13"/>
    <x v="377"/>
    <x v="208"/>
    <x v="13"/>
    <x v="3"/>
    <n v="1"/>
    <n v="514.19000000000005"/>
    <n v="0.2"/>
    <n v="411.35200000000009"/>
    <s v="Credit Card"/>
    <x v="1"/>
    <x v="0"/>
    <x v="3"/>
  </r>
  <r>
    <x v="10"/>
    <s v="SALE1399"/>
    <x v="99"/>
    <x v="543"/>
    <x v="108"/>
    <x v="99"/>
    <x v="2"/>
    <n v="1"/>
    <n v="758.54"/>
    <n v="0.28999999999999998"/>
    <n v="538.5634"/>
    <s v="PayPal"/>
    <x v="0"/>
    <x v="0"/>
    <x v="2"/>
  </r>
  <r>
    <x v="10"/>
    <s v="SALE1447"/>
    <x v="66"/>
    <x v="49"/>
    <x v="409"/>
    <x v="66"/>
    <x v="3"/>
    <n v="2"/>
    <n v="46.39"/>
    <n v="7.0000000000000007E-2"/>
    <n v="86.285399999999996"/>
    <s v="Credit Card"/>
    <x v="1"/>
    <x v="0"/>
    <x v="1"/>
  </r>
  <r>
    <x v="10"/>
    <s v="SALE755"/>
    <x v="66"/>
    <x v="544"/>
    <x v="172"/>
    <x v="66"/>
    <x v="3"/>
    <n v="2"/>
    <n v="671.69"/>
    <n v="0.19"/>
    <n v="1088.1378"/>
    <s v="Credit Card"/>
    <x v="1"/>
    <x v="0"/>
    <x v="1"/>
  </r>
  <r>
    <x v="10"/>
    <s v="SALE1730"/>
    <x v="66"/>
    <x v="422"/>
    <x v="217"/>
    <x v="66"/>
    <x v="3"/>
    <n v="2"/>
    <n v="695.02"/>
    <n v="0.3"/>
    <n v="973.02799999999991"/>
    <s v="COD"/>
    <x v="0"/>
    <x v="0"/>
    <x v="3"/>
  </r>
  <r>
    <x v="10"/>
    <s v="SALE90"/>
    <x v="15"/>
    <x v="173"/>
    <x v="430"/>
    <x v="15"/>
    <x v="2"/>
    <n v="2"/>
    <n v="350.12"/>
    <n v="0.12"/>
    <n v="616.21119999999996"/>
    <s v="COD"/>
    <x v="0"/>
    <x v="0"/>
    <x v="2"/>
  </r>
  <r>
    <x v="10"/>
    <s v="SALE925"/>
    <x v="16"/>
    <x v="545"/>
    <x v="3"/>
    <x v="16"/>
    <x v="0"/>
    <n v="4"/>
    <n v="953.98"/>
    <n v="0.16"/>
    <n v="3205.3728000000001"/>
    <s v="Credit Card"/>
    <x v="0"/>
    <x v="0"/>
    <x v="0"/>
  </r>
  <r>
    <x v="10"/>
    <s v="SALE1451"/>
    <x v="17"/>
    <x v="546"/>
    <x v="52"/>
    <x v="17"/>
    <x v="2"/>
    <n v="3"/>
    <n v="341.51"/>
    <n v="0.22"/>
    <n v="799.13340000000005"/>
    <s v="COD"/>
    <x v="0"/>
    <x v="0"/>
    <x v="2"/>
  </r>
  <r>
    <x v="10"/>
    <s v="SALE364"/>
    <x v="17"/>
    <x v="162"/>
    <x v="63"/>
    <x v="17"/>
    <x v="2"/>
    <n v="1"/>
    <n v="213.69"/>
    <n v="0.28000000000000003"/>
    <n v="153.85679999999999"/>
    <s v="COD"/>
    <x v="0"/>
    <x v="0"/>
    <x v="1"/>
  </r>
  <r>
    <x v="10"/>
    <s v="SALE1012"/>
    <x v="19"/>
    <x v="547"/>
    <x v="262"/>
    <x v="19"/>
    <x v="4"/>
    <n v="4"/>
    <n v="85.62"/>
    <n v="0.28000000000000003"/>
    <n v="246.5856"/>
    <s v="COD"/>
    <x v="1"/>
    <x v="0"/>
    <x v="3"/>
  </r>
  <r>
    <x v="10"/>
    <s v="SALE652"/>
    <x v="21"/>
    <x v="487"/>
    <x v="406"/>
    <x v="21"/>
    <x v="0"/>
    <n v="2"/>
    <n v="673.02"/>
    <n v="0.11"/>
    <n v="1197.9756"/>
    <s v="PayPal"/>
    <x v="1"/>
    <x v="0"/>
    <x v="1"/>
  </r>
  <r>
    <x v="10"/>
    <s v="SALE967"/>
    <x v="21"/>
    <x v="21"/>
    <x v="431"/>
    <x v="21"/>
    <x v="0"/>
    <n v="3"/>
    <n v="529.89"/>
    <n v="0.21"/>
    <n v="1255.8393000000001"/>
    <s v="Credit Card"/>
    <x v="0"/>
    <x v="0"/>
    <x v="3"/>
  </r>
  <r>
    <x v="10"/>
    <s v="SALE763"/>
    <x v="95"/>
    <x v="548"/>
    <x v="265"/>
    <x v="95"/>
    <x v="4"/>
    <n v="3"/>
    <n v="217.22"/>
    <n v="0.06"/>
    <n v="612.56039999999996"/>
    <s v="PayPal"/>
    <x v="0"/>
    <x v="0"/>
    <x v="3"/>
  </r>
  <r>
    <x v="10"/>
    <s v="SALE1780"/>
    <x v="95"/>
    <x v="236"/>
    <x v="146"/>
    <x v="95"/>
    <x v="4"/>
    <n v="4"/>
    <n v="299.45999999999998"/>
    <n v="0.18"/>
    <n v="982.22879999999998"/>
    <s v="COD"/>
    <x v="0"/>
    <x v="0"/>
    <x v="2"/>
  </r>
  <r>
    <x v="10"/>
    <s v="SALE1889"/>
    <x v="22"/>
    <x v="374"/>
    <x v="111"/>
    <x v="22"/>
    <x v="0"/>
    <n v="4"/>
    <n v="38.380000000000003"/>
    <n v="0.16"/>
    <n v="128.95679999999999"/>
    <s v="COD"/>
    <x v="1"/>
    <x v="0"/>
    <x v="3"/>
  </r>
  <r>
    <x v="10"/>
    <s v="SALE1338"/>
    <x v="22"/>
    <x v="66"/>
    <x v="432"/>
    <x v="22"/>
    <x v="0"/>
    <n v="2"/>
    <n v="356.28"/>
    <n v="0.11"/>
    <n v="634.17840000000001"/>
    <s v="COD"/>
    <x v="1"/>
    <x v="0"/>
    <x v="0"/>
  </r>
  <r>
    <x v="10"/>
    <s v="SALE1526"/>
    <x v="22"/>
    <x v="364"/>
    <x v="31"/>
    <x v="22"/>
    <x v="0"/>
    <n v="1"/>
    <n v="470.34"/>
    <n v="0.18"/>
    <n v="385.67880000000002"/>
    <s v="COD"/>
    <x v="0"/>
    <x v="0"/>
    <x v="1"/>
  </r>
  <r>
    <x v="10"/>
    <s v="SALE793"/>
    <x v="96"/>
    <x v="173"/>
    <x v="358"/>
    <x v="96"/>
    <x v="3"/>
    <n v="2"/>
    <n v="602.54999999999995"/>
    <n v="0.23"/>
    <n v="927.92699999999991"/>
    <s v="COD"/>
    <x v="0"/>
    <x v="0"/>
    <x v="1"/>
  </r>
  <r>
    <x v="10"/>
    <s v="SALE800"/>
    <x v="23"/>
    <x v="481"/>
    <x v="136"/>
    <x v="23"/>
    <x v="0"/>
    <n v="2"/>
    <n v="953.26"/>
    <n v="0.1"/>
    <n v="1715.8679999999999"/>
    <s v="COD"/>
    <x v="0"/>
    <x v="0"/>
    <x v="0"/>
  </r>
  <r>
    <x v="10"/>
    <s v="SALE1457"/>
    <x v="68"/>
    <x v="164"/>
    <x v="433"/>
    <x v="68"/>
    <x v="0"/>
    <n v="4"/>
    <n v="975.47"/>
    <n v="0.04"/>
    <n v="3745.8047999999999"/>
    <s v="Credit Card"/>
    <x v="0"/>
    <x v="0"/>
    <x v="1"/>
  </r>
  <r>
    <x v="10"/>
    <s v="SALE1705"/>
    <x v="68"/>
    <x v="471"/>
    <x v="316"/>
    <x v="68"/>
    <x v="0"/>
    <n v="3"/>
    <n v="962.98"/>
    <n v="0.21"/>
    <n v="2282.2626"/>
    <s v="Credit Card"/>
    <x v="0"/>
    <x v="0"/>
    <x v="2"/>
  </r>
  <r>
    <x v="10"/>
    <s v="SALE21"/>
    <x v="68"/>
    <x v="133"/>
    <x v="24"/>
    <x v="68"/>
    <x v="0"/>
    <n v="1"/>
    <n v="589.55999999999995"/>
    <n v="0.22"/>
    <n v="459.85680000000002"/>
    <s v="Credit Card"/>
    <x v="1"/>
    <x v="0"/>
    <x v="0"/>
  </r>
  <r>
    <x v="10"/>
    <s v="SALE317"/>
    <x v="69"/>
    <x v="89"/>
    <x v="40"/>
    <x v="69"/>
    <x v="3"/>
    <n v="1"/>
    <n v="459.42"/>
    <n v="0.28000000000000003"/>
    <n v="330.7824"/>
    <s v="COD"/>
    <x v="1"/>
    <x v="0"/>
    <x v="1"/>
  </r>
  <r>
    <x v="10"/>
    <s v="SALE1360"/>
    <x v="24"/>
    <x v="549"/>
    <x v="317"/>
    <x v="24"/>
    <x v="3"/>
    <n v="1"/>
    <n v="459.89"/>
    <n v="0.18"/>
    <n v="377.10980000000001"/>
    <s v="COD"/>
    <x v="1"/>
    <x v="0"/>
    <x v="1"/>
  </r>
  <r>
    <x v="10"/>
    <s v="SALE191"/>
    <x v="25"/>
    <x v="516"/>
    <x v="404"/>
    <x v="25"/>
    <x v="4"/>
    <n v="1"/>
    <n v="804.9"/>
    <n v="0.03"/>
    <n v="780.75299999999993"/>
    <s v="PayPal"/>
    <x v="0"/>
    <x v="0"/>
    <x v="3"/>
  </r>
  <r>
    <x v="10"/>
    <s v="SALE1089"/>
    <x v="83"/>
    <x v="114"/>
    <x v="388"/>
    <x v="83"/>
    <x v="0"/>
    <n v="4"/>
    <n v="106.23"/>
    <n v="0.28000000000000003"/>
    <n v="305.94240000000002"/>
    <s v="COD"/>
    <x v="1"/>
    <x v="0"/>
    <x v="3"/>
  </r>
  <r>
    <x v="10"/>
    <s v="SALE1134"/>
    <x v="84"/>
    <x v="550"/>
    <x v="35"/>
    <x v="84"/>
    <x v="0"/>
    <n v="2"/>
    <n v="86.72"/>
    <n v="0.28000000000000003"/>
    <n v="124.8768"/>
    <s v="COD"/>
    <x v="1"/>
    <x v="0"/>
    <x v="0"/>
  </r>
  <r>
    <x v="10"/>
    <s v="SALE1516"/>
    <x v="85"/>
    <x v="551"/>
    <x v="32"/>
    <x v="85"/>
    <x v="3"/>
    <n v="3"/>
    <n v="634.45000000000005"/>
    <n v="0.17"/>
    <n v="1579.7805000000001"/>
    <s v="PayPal"/>
    <x v="1"/>
    <x v="0"/>
    <x v="2"/>
  </r>
  <r>
    <x v="10"/>
    <s v="SALE1027"/>
    <x v="85"/>
    <x v="552"/>
    <x v="434"/>
    <x v="85"/>
    <x v="3"/>
    <n v="1"/>
    <n v="73.88"/>
    <n v="0.04"/>
    <n v="70.924799999999991"/>
    <s v="Credit Card"/>
    <x v="0"/>
    <x v="0"/>
    <x v="3"/>
  </r>
  <r>
    <x v="10"/>
    <s v="SALE973"/>
    <x v="30"/>
    <x v="46"/>
    <x v="15"/>
    <x v="30"/>
    <x v="3"/>
    <n v="2"/>
    <n v="528.29999999999995"/>
    <n v="0.24"/>
    <n v="803.01599999999996"/>
    <s v="Credit Card"/>
    <x v="0"/>
    <x v="0"/>
    <x v="2"/>
  </r>
  <r>
    <x v="10"/>
    <s v="SALE1909"/>
    <x v="30"/>
    <x v="12"/>
    <x v="395"/>
    <x v="30"/>
    <x v="3"/>
    <n v="2"/>
    <n v="810.81"/>
    <n v="0.11"/>
    <n v="1443.2418"/>
    <s v="COD"/>
    <x v="1"/>
    <x v="0"/>
    <x v="1"/>
  </r>
  <r>
    <x v="10"/>
    <s v="SALE1482"/>
    <x v="31"/>
    <x v="398"/>
    <x v="108"/>
    <x v="31"/>
    <x v="2"/>
    <n v="3"/>
    <n v="471.27"/>
    <n v="0.27"/>
    <n v="1032.0813000000001"/>
    <s v="COD"/>
    <x v="0"/>
    <x v="0"/>
    <x v="2"/>
  </r>
  <r>
    <x v="10"/>
    <s v="SALE1688"/>
    <x v="32"/>
    <x v="524"/>
    <x v="298"/>
    <x v="32"/>
    <x v="2"/>
    <n v="1"/>
    <n v="75.8"/>
    <n v="0.28999999999999998"/>
    <n v="53.817999999999998"/>
    <s v="PayPal"/>
    <x v="1"/>
    <x v="0"/>
    <x v="0"/>
  </r>
  <r>
    <x v="10"/>
    <s v="SALE1861"/>
    <x v="32"/>
    <x v="323"/>
    <x v="116"/>
    <x v="32"/>
    <x v="2"/>
    <n v="3"/>
    <n v="439.21"/>
    <n v="0.28000000000000003"/>
    <n v="948.69359999999983"/>
    <s v="COD"/>
    <x v="0"/>
    <x v="0"/>
    <x v="0"/>
  </r>
  <r>
    <x v="10"/>
    <s v="SALE1709"/>
    <x v="32"/>
    <x v="553"/>
    <x v="292"/>
    <x v="32"/>
    <x v="2"/>
    <n v="1"/>
    <n v="772.07"/>
    <n v="0.26"/>
    <n v="571.33180000000004"/>
    <s v="PayPal"/>
    <x v="0"/>
    <x v="0"/>
    <x v="1"/>
  </r>
  <r>
    <x v="10"/>
    <s v="SALE1805"/>
    <x v="33"/>
    <x v="70"/>
    <x v="421"/>
    <x v="33"/>
    <x v="4"/>
    <n v="3"/>
    <n v="658.33"/>
    <n v="0.12"/>
    <n v="1737.9911999999999"/>
    <s v="COD"/>
    <x v="1"/>
    <x v="0"/>
    <x v="1"/>
  </r>
  <r>
    <x v="10"/>
    <s v="SALE544"/>
    <x v="97"/>
    <x v="155"/>
    <x v="202"/>
    <x v="97"/>
    <x v="1"/>
    <n v="3"/>
    <n v="178.22"/>
    <n v="0.15"/>
    <n v="454.46100000000001"/>
    <s v="COD"/>
    <x v="1"/>
    <x v="0"/>
    <x v="0"/>
  </r>
  <r>
    <x v="10"/>
    <s v="SALE1533"/>
    <x v="97"/>
    <x v="128"/>
    <x v="66"/>
    <x v="97"/>
    <x v="1"/>
    <n v="4"/>
    <n v="790.38"/>
    <n v="0.22"/>
    <n v="2465.9856"/>
    <s v="COD"/>
    <x v="1"/>
    <x v="0"/>
    <x v="3"/>
  </r>
  <r>
    <x v="10"/>
    <s v="SALE1488"/>
    <x v="34"/>
    <x v="554"/>
    <x v="77"/>
    <x v="34"/>
    <x v="1"/>
    <n v="4"/>
    <n v="96.78"/>
    <n v="0.11"/>
    <n v="344.53680000000003"/>
    <s v="PayPal"/>
    <x v="0"/>
    <x v="0"/>
    <x v="0"/>
  </r>
  <r>
    <x v="10"/>
    <s v="SALE1305"/>
    <x v="71"/>
    <x v="555"/>
    <x v="331"/>
    <x v="71"/>
    <x v="1"/>
    <n v="1"/>
    <n v="146.49"/>
    <n v="0.28000000000000003"/>
    <n v="105.47280000000001"/>
    <s v="Credit Card"/>
    <x v="1"/>
    <x v="0"/>
    <x v="2"/>
  </r>
  <r>
    <x v="10"/>
    <s v="SALE1985"/>
    <x v="71"/>
    <x v="556"/>
    <x v="435"/>
    <x v="71"/>
    <x v="1"/>
    <n v="3"/>
    <n v="345.43"/>
    <n v="0.08"/>
    <n v="953.38679999999999"/>
    <s v="COD"/>
    <x v="0"/>
    <x v="0"/>
    <x v="3"/>
  </r>
  <r>
    <x v="10"/>
    <s v="SALE1675"/>
    <x v="37"/>
    <x v="109"/>
    <x v="405"/>
    <x v="37"/>
    <x v="1"/>
    <n v="1"/>
    <n v="711.08"/>
    <n v="0.24"/>
    <n v="540.42079999999999"/>
    <s v="PayPal"/>
    <x v="1"/>
    <x v="0"/>
    <x v="2"/>
  </r>
  <r>
    <x v="10"/>
    <s v="SALE1732"/>
    <x v="38"/>
    <x v="501"/>
    <x v="241"/>
    <x v="38"/>
    <x v="1"/>
    <n v="2"/>
    <n v="864.09"/>
    <n v="0.06"/>
    <n v="1624.4892"/>
    <s v="COD"/>
    <x v="0"/>
    <x v="0"/>
    <x v="1"/>
  </r>
  <r>
    <x v="10"/>
    <s v="SALE1056"/>
    <x v="38"/>
    <x v="310"/>
    <x v="208"/>
    <x v="38"/>
    <x v="1"/>
    <n v="4"/>
    <n v="99.92"/>
    <n v="0.11"/>
    <n v="355.71519999999998"/>
    <s v="COD"/>
    <x v="1"/>
    <x v="0"/>
    <x v="3"/>
  </r>
  <r>
    <x v="10"/>
    <s v="SALE1456"/>
    <x v="39"/>
    <x v="392"/>
    <x v="269"/>
    <x v="39"/>
    <x v="0"/>
    <n v="2"/>
    <n v="947.56"/>
    <n v="0.02"/>
    <n v="1857.2175999999999"/>
    <s v="COD"/>
    <x v="1"/>
    <x v="0"/>
    <x v="0"/>
  </r>
  <r>
    <x v="10"/>
    <s v="SALE1696"/>
    <x v="39"/>
    <x v="510"/>
    <x v="318"/>
    <x v="39"/>
    <x v="0"/>
    <n v="1"/>
    <n v="980.26"/>
    <n v="0.14000000000000001"/>
    <n v="843.02359999999999"/>
    <s v="PayPal"/>
    <x v="1"/>
    <x v="0"/>
    <x v="2"/>
  </r>
  <r>
    <x v="10"/>
    <s v="SALE378"/>
    <x v="89"/>
    <x v="547"/>
    <x v="436"/>
    <x v="89"/>
    <x v="2"/>
    <n v="4"/>
    <n v="241.32"/>
    <n v="0.28999999999999998"/>
    <n v="685.34879999999998"/>
    <s v="COD"/>
    <x v="1"/>
    <x v="0"/>
    <x v="1"/>
  </r>
  <r>
    <x v="10"/>
    <s v="SALE160"/>
    <x v="41"/>
    <x v="517"/>
    <x v="398"/>
    <x v="41"/>
    <x v="2"/>
    <n v="2"/>
    <n v="623.38"/>
    <n v="0.13"/>
    <n v="1084.6812"/>
    <s v="Credit Card"/>
    <x v="0"/>
    <x v="0"/>
    <x v="0"/>
  </r>
  <r>
    <x v="10"/>
    <s v="SALE784"/>
    <x v="41"/>
    <x v="267"/>
    <x v="147"/>
    <x v="41"/>
    <x v="2"/>
    <n v="1"/>
    <n v="914.75"/>
    <n v="0.1"/>
    <n v="823.27499999999998"/>
    <s v="COD"/>
    <x v="1"/>
    <x v="0"/>
    <x v="3"/>
  </r>
  <r>
    <x v="10"/>
    <s v="SALE848"/>
    <x v="41"/>
    <x v="557"/>
    <x v="327"/>
    <x v="41"/>
    <x v="2"/>
    <n v="4"/>
    <n v="883.31"/>
    <n v="0.27"/>
    <n v="2579.2651999999998"/>
    <s v="Credit Card"/>
    <x v="1"/>
    <x v="0"/>
    <x v="3"/>
  </r>
  <r>
    <x v="10"/>
    <s v="SALE588"/>
    <x v="73"/>
    <x v="558"/>
    <x v="79"/>
    <x v="73"/>
    <x v="1"/>
    <n v="1"/>
    <n v="250.95"/>
    <n v="0.03"/>
    <n v="243.42150000000001"/>
    <s v="PayPal"/>
    <x v="0"/>
    <x v="0"/>
    <x v="3"/>
  </r>
  <r>
    <x v="10"/>
    <s v="SALE1682"/>
    <x v="73"/>
    <x v="400"/>
    <x v="333"/>
    <x v="73"/>
    <x v="1"/>
    <n v="4"/>
    <n v="622.27"/>
    <n v="0.02"/>
    <n v="2439.2984000000001"/>
    <s v="PayPal"/>
    <x v="1"/>
    <x v="0"/>
    <x v="2"/>
  </r>
  <r>
    <x v="10"/>
    <s v="SALE942"/>
    <x v="73"/>
    <x v="559"/>
    <x v="416"/>
    <x v="73"/>
    <x v="1"/>
    <n v="3"/>
    <n v="385.74"/>
    <n v="0.27"/>
    <n v="844.77059999999994"/>
    <s v="Credit Card"/>
    <x v="0"/>
    <x v="0"/>
    <x v="2"/>
  </r>
  <r>
    <x v="10"/>
    <s v="SALE1497"/>
    <x v="44"/>
    <x v="456"/>
    <x v="158"/>
    <x v="44"/>
    <x v="0"/>
    <n v="1"/>
    <n v="478.08"/>
    <n v="7.0000000000000007E-2"/>
    <n v="444.61439999999988"/>
    <s v="COD"/>
    <x v="0"/>
    <x v="0"/>
    <x v="0"/>
  </r>
  <r>
    <x v="10"/>
    <s v="SALE1674"/>
    <x v="44"/>
    <x v="149"/>
    <x v="192"/>
    <x v="44"/>
    <x v="0"/>
    <n v="2"/>
    <n v="464.43"/>
    <n v="0.24"/>
    <n v="705.93360000000007"/>
    <s v="COD"/>
    <x v="0"/>
    <x v="0"/>
    <x v="2"/>
  </r>
  <r>
    <x v="10"/>
    <s v="SALE1052"/>
    <x v="44"/>
    <x v="560"/>
    <x v="396"/>
    <x v="44"/>
    <x v="0"/>
    <n v="4"/>
    <n v="475.98"/>
    <n v="0.19"/>
    <n v="1542.1751999999999"/>
    <s v="PayPal"/>
    <x v="0"/>
    <x v="0"/>
    <x v="0"/>
  </r>
  <r>
    <x v="10"/>
    <s v="SALE1813"/>
    <x v="45"/>
    <x v="561"/>
    <x v="64"/>
    <x v="45"/>
    <x v="4"/>
    <n v="3"/>
    <n v="717.22"/>
    <n v="0.24"/>
    <n v="1635.2616"/>
    <s v="PayPal"/>
    <x v="0"/>
    <x v="0"/>
    <x v="3"/>
  </r>
  <r>
    <x v="10"/>
    <s v="SALE927"/>
    <x v="90"/>
    <x v="394"/>
    <x v="87"/>
    <x v="90"/>
    <x v="0"/>
    <n v="1"/>
    <n v="533.04999999999995"/>
    <n v="0.11"/>
    <n v="474.41449999999998"/>
    <s v="PayPal"/>
    <x v="1"/>
    <x v="0"/>
    <x v="1"/>
  </r>
  <r>
    <x v="10"/>
    <s v="SALE1716"/>
    <x v="74"/>
    <x v="202"/>
    <x v="101"/>
    <x v="74"/>
    <x v="0"/>
    <n v="2"/>
    <n v="68.31"/>
    <n v="0.28999999999999998"/>
    <n v="97.000199999999992"/>
    <s v="COD"/>
    <x v="0"/>
    <x v="0"/>
    <x v="2"/>
  </r>
  <r>
    <x v="10"/>
    <s v="SALE277"/>
    <x v="74"/>
    <x v="3"/>
    <x v="68"/>
    <x v="74"/>
    <x v="0"/>
    <n v="4"/>
    <n v="463.17"/>
    <n v="0.06"/>
    <n v="1741.5192"/>
    <s v="PayPal"/>
    <x v="0"/>
    <x v="0"/>
    <x v="2"/>
  </r>
  <r>
    <x v="10"/>
    <s v="SALE186"/>
    <x v="76"/>
    <x v="111"/>
    <x v="338"/>
    <x v="76"/>
    <x v="2"/>
    <n v="2"/>
    <n v="504.26"/>
    <n v="0.04"/>
    <n v="968.17919999999992"/>
    <s v="PayPal"/>
    <x v="1"/>
    <x v="0"/>
    <x v="1"/>
  </r>
  <r>
    <x v="10"/>
    <s v="SALE350"/>
    <x v="91"/>
    <x v="292"/>
    <x v="267"/>
    <x v="91"/>
    <x v="2"/>
    <n v="2"/>
    <n v="827.81"/>
    <n v="0.04"/>
    <n v="1589.3951999999999"/>
    <s v="PayPal"/>
    <x v="0"/>
    <x v="0"/>
    <x v="1"/>
  </r>
  <r>
    <x v="10"/>
    <s v="SALE811"/>
    <x v="91"/>
    <x v="562"/>
    <x v="375"/>
    <x v="91"/>
    <x v="2"/>
    <n v="1"/>
    <n v="450.11"/>
    <n v="0.17"/>
    <n v="373.59129999999999"/>
    <s v="Credit Card"/>
    <x v="0"/>
    <x v="0"/>
    <x v="3"/>
  </r>
  <r>
    <x v="10"/>
    <s v="SALE943"/>
    <x v="46"/>
    <x v="179"/>
    <x v="338"/>
    <x v="46"/>
    <x v="3"/>
    <n v="2"/>
    <n v="830.94"/>
    <n v="0.28000000000000003"/>
    <n v="1196.5536"/>
    <s v="PayPal"/>
    <x v="1"/>
    <x v="0"/>
    <x v="1"/>
  </r>
  <r>
    <x v="10"/>
    <s v="SALE1894"/>
    <x v="47"/>
    <x v="171"/>
    <x v="337"/>
    <x v="47"/>
    <x v="3"/>
    <n v="3"/>
    <n v="543.83000000000004"/>
    <n v="0.05"/>
    <n v="1549.9155000000001"/>
    <s v="Credit Card"/>
    <x v="1"/>
    <x v="0"/>
    <x v="0"/>
  </r>
  <r>
    <x v="10"/>
    <s v="SALE729"/>
    <x v="48"/>
    <x v="563"/>
    <x v="56"/>
    <x v="48"/>
    <x v="1"/>
    <n v="2"/>
    <n v="354.26"/>
    <n v="0.01"/>
    <n v="701.4348"/>
    <s v="COD"/>
    <x v="0"/>
    <x v="0"/>
    <x v="2"/>
  </r>
  <r>
    <x v="10"/>
    <s v="SALE1473"/>
    <x v="49"/>
    <x v="245"/>
    <x v="153"/>
    <x v="49"/>
    <x v="4"/>
    <n v="2"/>
    <n v="227.97"/>
    <n v="0.08"/>
    <n v="419.46480000000003"/>
    <s v="COD"/>
    <x v="1"/>
    <x v="0"/>
    <x v="3"/>
  </r>
  <r>
    <x v="10"/>
    <s v="SALE1028"/>
    <x v="50"/>
    <x v="564"/>
    <x v="52"/>
    <x v="50"/>
    <x v="2"/>
    <n v="1"/>
    <n v="859.3"/>
    <n v="0.16"/>
    <n v="721.8119999999999"/>
    <s v="PayPal"/>
    <x v="0"/>
    <x v="0"/>
    <x v="2"/>
  </r>
  <r>
    <x v="10"/>
    <s v="SALE490"/>
    <x v="53"/>
    <x v="137"/>
    <x v="394"/>
    <x v="53"/>
    <x v="1"/>
    <n v="1"/>
    <n v="170.43"/>
    <n v="0.03"/>
    <n v="165.31710000000001"/>
    <s v="Credit Card"/>
    <x v="1"/>
    <x v="0"/>
    <x v="0"/>
  </r>
  <r>
    <x v="10"/>
    <s v="SALE660"/>
    <x v="54"/>
    <x v="188"/>
    <x v="339"/>
    <x v="54"/>
    <x v="0"/>
    <n v="3"/>
    <n v="107.44"/>
    <n v="0.27"/>
    <n v="235.2936"/>
    <s v="PayPal"/>
    <x v="0"/>
    <x v="0"/>
    <x v="2"/>
  </r>
  <r>
    <x v="10"/>
    <s v="SALE268"/>
    <x v="54"/>
    <x v="309"/>
    <x v="90"/>
    <x v="54"/>
    <x v="0"/>
    <n v="3"/>
    <n v="105.0226"/>
    <n v="0.06"/>
    <n v="315.24779999999998"/>
    <s v="Credit Card"/>
    <x v="1"/>
    <x v="0"/>
    <x v="3"/>
  </r>
  <r>
    <x v="10"/>
    <s v="SALE1725"/>
    <x v="55"/>
    <x v="565"/>
    <x v="322"/>
    <x v="55"/>
    <x v="4"/>
    <n v="3"/>
    <n v="482.2"/>
    <n v="0.23"/>
    <n v="1113.8820000000001"/>
    <s v="COD"/>
    <x v="0"/>
    <x v="0"/>
    <x v="1"/>
  </r>
  <r>
    <x v="10"/>
    <s v="SALE1331"/>
    <x v="56"/>
    <x v="435"/>
    <x v="402"/>
    <x v="56"/>
    <x v="2"/>
    <n v="2"/>
    <n v="177.4"/>
    <n v="0.19"/>
    <n v="287.38799999999998"/>
    <s v="PayPal"/>
    <x v="1"/>
    <x v="0"/>
    <x v="0"/>
  </r>
  <r>
    <x v="10"/>
    <s v="SALE1225"/>
    <x v="56"/>
    <x v="116"/>
    <x v="437"/>
    <x v="56"/>
    <x v="2"/>
    <n v="2"/>
    <n v="682.7"/>
    <n v="0.13"/>
    <n v="1187.8979999999999"/>
    <s v="Credit Card"/>
    <x v="0"/>
    <x v="0"/>
    <x v="1"/>
  </r>
  <r>
    <x v="10"/>
    <s v="SALE253"/>
    <x v="56"/>
    <x v="178"/>
    <x v="10"/>
    <x v="56"/>
    <x v="2"/>
    <n v="2"/>
    <n v="239.92"/>
    <n v="0.16"/>
    <n v="403.06560000000002"/>
    <s v="Credit Card"/>
    <x v="1"/>
    <x v="0"/>
    <x v="1"/>
  </r>
  <r>
    <x v="10"/>
    <s v="SALE1066"/>
    <x v="56"/>
    <x v="145"/>
    <x v="370"/>
    <x v="56"/>
    <x v="2"/>
    <n v="1"/>
    <n v="909.04"/>
    <n v="0.11"/>
    <n v="809.04560000000004"/>
    <s v="Credit Card"/>
    <x v="1"/>
    <x v="0"/>
    <x v="1"/>
  </r>
  <r>
    <x v="10"/>
    <s v="SALE877"/>
    <x v="59"/>
    <x v="522"/>
    <x v="30"/>
    <x v="59"/>
    <x v="4"/>
    <n v="2"/>
    <n v="891.13"/>
    <n v="0.13"/>
    <n v="1550.5662"/>
    <s v="Credit Card"/>
    <x v="1"/>
    <x v="0"/>
    <x v="3"/>
  </r>
  <r>
    <x v="10"/>
    <s v="SALE1659"/>
    <x v="94"/>
    <x v="564"/>
    <x v="225"/>
    <x v="94"/>
    <x v="0"/>
    <n v="3"/>
    <n v="981.69"/>
    <n v="0.05"/>
    <n v="2797.8164999999999"/>
    <s v="COD"/>
    <x v="1"/>
    <x v="0"/>
    <x v="3"/>
  </r>
  <r>
    <x v="10"/>
    <s v="SALE783"/>
    <x v="80"/>
    <x v="278"/>
    <x v="230"/>
    <x v="80"/>
    <x v="2"/>
    <n v="1"/>
    <n v="873.18"/>
    <n v="0.03"/>
    <n v="846.98459999999989"/>
    <s v="COD"/>
    <x v="1"/>
    <x v="0"/>
    <x v="1"/>
  </r>
  <r>
    <x v="11"/>
    <s v="SALE1720"/>
    <x v="98"/>
    <x v="329"/>
    <x v="303"/>
    <x v="98"/>
    <x v="0"/>
    <n v="1"/>
    <n v="458.97"/>
    <n v="0.1"/>
    <n v="413.07299999999998"/>
    <s v="PayPal"/>
    <x v="0"/>
    <x v="0"/>
    <x v="2"/>
  </r>
  <r>
    <x v="11"/>
    <s v="SALE153"/>
    <x v="0"/>
    <x v="54"/>
    <x v="210"/>
    <x v="0"/>
    <x v="0"/>
    <n v="3"/>
    <n v="591.98"/>
    <n v="0.16"/>
    <n v="1491.7896000000001"/>
    <s v="Credit Card"/>
    <x v="1"/>
    <x v="0"/>
    <x v="0"/>
  </r>
  <r>
    <x v="11"/>
    <s v="SALE1216"/>
    <x v="61"/>
    <x v="6"/>
    <x v="83"/>
    <x v="61"/>
    <x v="0"/>
    <n v="2"/>
    <n v="889.04"/>
    <n v="0.23"/>
    <n v="1369.1215999999999"/>
    <s v="Credit Card"/>
    <x v="1"/>
    <x v="0"/>
    <x v="1"/>
  </r>
  <r>
    <x v="11"/>
    <s v="SALE914"/>
    <x v="62"/>
    <x v="14"/>
    <x v="388"/>
    <x v="62"/>
    <x v="0"/>
    <n v="3"/>
    <n v="620.12"/>
    <n v="0.06"/>
    <n v="1748.7384"/>
    <s v="Credit Card"/>
    <x v="1"/>
    <x v="0"/>
    <x v="3"/>
  </r>
  <r>
    <x v="11"/>
    <s v="SALE1601"/>
    <x v="62"/>
    <x v="400"/>
    <x v="199"/>
    <x v="62"/>
    <x v="0"/>
    <n v="1"/>
    <n v="336.51"/>
    <n v="0.11"/>
    <n v="299.4939"/>
    <s v="PayPal"/>
    <x v="0"/>
    <x v="0"/>
    <x v="0"/>
  </r>
  <r>
    <x v="11"/>
    <s v="SALE1050"/>
    <x v="62"/>
    <x v="77"/>
    <x v="304"/>
    <x v="62"/>
    <x v="0"/>
    <n v="1"/>
    <n v="151.66"/>
    <n v="0.16"/>
    <n v="127.3944"/>
    <s v="COD"/>
    <x v="1"/>
    <x v="0"/>
    <x v="1"/>
  </r>
  <r>
    <x v="11"/>
    <s v="SALE217"/>
    <x v="62"/>
    <x v="566"/>
    <x v="266"/>
    <x v="62"/>
    <x v="0"/>
    <n v="1"/>
    <n v="332.82"/>
    <n v="0.14000000000000001"/>
    <n v="286.22519999999997"/>
    <s v="PayPal"/>
    <x v="1"/>
    <x v="0"/>
    <x v="2"/>
  </r>
  <r>
    <x v="11"/>
    <s v="SALE1835"/>
    <x v="62"/>
    <x v="551"/>
    <x v="266"/>
    <x v="62"/>
    <x v="0"/>
    <n v="1"/>
    <n v="582.29"/>
    <n v="0.2"/>
    <n v="465.83199999999999"/>
    <s v="Credit Card"/>
    <x v="1"/>
    <x v="0"/>
    <x v="2"/>
  </r>
  <r>
    <x v="11"/>
    <s v="SALE1522"/>
    <x v="3"/>
    <x v="294"/>
    <x v="405"/>
    <x v="3"/>
    <x v="1"/>
    <n v="2"/>
    <n v="303.67"/>
    <n v="0.05"/>
    <n v="576.97299999999996"/>
    <s v="PayPal"/>
    <x v="1"/>
    <x v="0"/>
    <x v="2"/>
  </r>
  <r>
    <x v="11"/>
    <s v="SALE1265"/>
    <x v="3"/>
    <x v="501"/>
    <x v="140"/>
    <x v="3"/>
    <x v="1"/>
    <n v="4"/>
    <n v="295.39999999999998"/>
    <n v="0.23"/>
    <n v="909.83199999999999"/>
    <s v="PayPal"/>
    <x v="1"/>
    <x v="0"/>
    <x v="0"/>
  </r>
  <r>
    <x v="11"/>
    <s v="SALE241"/>
    <x v="3"/>
    <x v="498"/>
    <x v="191"/>
    <x v="3"/>
    <x v="1"/>
    <n v="1"/>
    <n v="922.78"/>
    <n v="0.28999999999999998"/>
    <n v="655.17379999999991"/>
    <s v="COD"/>
    <x v="1"/>
    <x v="0"/>
    <x v="3"/>
  </r>
  <r>
    <x v="11"/>
    <s v="SALE340"/>
    <x v="4"/>
    <x v="527"/>
    <x v="352"/>
    <x v="4"/>
    <x v="3"/>
    <n v="3"/>
    <n v="997.95"/>
    <n v="0.09"/>
    <n v="2724.4034999999999"/>
    <s v="COD"/>
    <x v="1"/>
    <x v="0"/>
    <x v="0"/>
  </r>
  <r>
    <x v="11"/>
    <s v="SALE1504"/>
    <x v="4"/>
    <x v="257"/>
    <x v="121"/>
    <x v="4"/>
    <x v="3"/>
    <n v="1"/>
    <n v="259.2"/>
    <n v="0.27"/>
    <n v="189.21600000000001"/>
    <s v="COD"/>
    <x v="0"/>
    <x v="0"/>
    <x v="1"/>
  </r>
  <r>
    <x v="11"/>
    <s v="SALE1107"/>
    <x v="4"/>
    <x v="565"/>
    <x v="337"/>
    <x v="4"/>
    <x v="3"/>
    <n v="1"/>
    <n v="244.25"/>
    <n v="0.09"/>
    <n v="222.26750000000001"/>
    <s v="PayPal"/>
    <x v="1"/>
    <x v="0"/>
    <x v="0"/>
  </r>
  <r>
    <x v="11"/>
    <s v="SALE1161"/>
    <x v="6"/>
    <x v="2"/>
    <x v="438"/>
    <x v="6"/>
    <x v="3"/>
    <n v="4"/>
    <n v="58.92"/>
    <n v="0.18"/>
    <n v="193.2576"/>
    <s v="Credit Card"/>
    <x v="0"/>
    <x v="0"/>
    <x v="1"/>
  </r>
  <r>
    <x v="11"/>
    <s v="SALE512"/>
    <x v="82"/>
    <x v="12"/>
    <x v="305"/>
    <x v="82"/>
    <x v="4"/>
    <n v="1"/>
    <n v="505.23"/>
    <n v="0.11"/>
    <n v="449.65469999999999"/>
    <s v="Credit Card"/>
    <x v="0"/>
    <x v="0"/>
    <x v="1"/>
  </r>
  <r>
    <x v="11"/>
    <s v="SALE365"/>
    <x v="8"/>
    <x v="16"/>
    <x v="287"/>
    <x v="8"/>
    <x v="2"/>
    <n v="2"/>
    <n v="99.1"/>
    <n v="0.2"/>
    <n v="158.56"/>
    <s v="PayPal"/>
    <x v="0"/>
    <x v="0"/>
    <x v="3"/>
  </r>
  <r>
    <x v="11"/>
    <s v="SALE299"/>
    <x v="9"/>
    <x v="417"/>
    <x v="63"/>
    <x v="9"/>
    <x v="3"/>
    <n v="2"/>
    <n v="873.1"/>
    <n v="0.12"/>
    <n v="1536.6559999999999"/>
    <s v="PayPal"/>
    <x v="0"/>
    <x v="0"/>
    <x v="1"/>
  </r>
  <r>
    <x v="11"/>
    <s v="SALE699"/>
    <x v="63"/>
    <x v="367"/>
    <x v="98"/>
    <x v="63"/>
    <x v="4"/>
    <n v="3"/>
    <n v="648.33000000000004"/>
    <n v="0.2"/>
    <n v="1555.992"/>
    <s v="COD"/>
    <x v="0"/>
    <x v="0"/>
    <x v="1"/>
  </r>
  <r>
    <x v="11"/>
    <s v="SALE343"/>
    <x v="64"/>
    <x v="567"/>
    <x v="253"/>
    <x v="64"/>
    <x v="3"/>
    <n v="3"/>
    <n v="794.59"/>
    <n v="0.03"/>
    <n v="2312.2568999999999"/>
    <s v="PayPal"/>
    <x v="0"/>
    <x v="0"/>
    <x v="4"/>
  </r>
  <r>
    <x v="11"/>
    <s v="SALE1110"/>
    <x v="64"/>
    <x v="463"/>
    <x v="87"/>
    <x v="64"/>
    <x v="3"/>
    <n v="3"/>
    <n v="631.20000000000005"/>
    <n v="0.24"/>
    <n v="1439.136"/>
    <s v="Credit Card"/>
    <x v="1"/>
    <x v="0"/>
    <x v="1"/>
  </r>
  <r>
    <x v="11"/>
    <s v="SALE40"/>
    <x v="11"/>
    <x v="70"/>
    <x v="262"/>
    <x v="11"/>
    <x v="0"/>
    <n v="2"/>
    <n v="873.86"/>
    <n v="7.0000000000000007E-2"/>
    <n v="1625.3796"/>
    <s v="COD"/>
    <x v="1"/>
    <x v="0"/>
    <x v="3"/>
  </r>
  <r>
    <x v="11"/>
    <s v="SALE692"/>
    <x v="11"/>
    <x v="497"/>
    <x v="10"/>
    <x v="11"/>
    <x v="0"/>
    <n v="2"/>
    <n v="800.84"/>
    <n v="0.27"/>
    <n v="1169.2264"/>
    <s v="COD"/>
    <x v="1"/>
    <x v="0"/>
    <x v="1"/>
  </r>
  <r>
    <x v="11"/>
    <s v="SALE1570"/>
    <x v="12"/>
    <x v="146"/>
    <x v="6"/>
    <x v="12"/>
    <x v="2"/>
    <n v="4"/>
    <n v="822.32"/>
    <n v="0.26"/>
    <n v="2434.0672"/>
    <s v="PayPal"/>
    <x v="1"/>
    <x v="0"/>
    <x v="3"/>
  </r>
  <r>
    <x v="11"/>
    <s v="SALE817"/>
    <x v="12"/>
    <x v="568"/>
    <x v="439"/>
    <x v="12"/>
    <x v="2"/>
    <n v="3"/>
    <n v="871.34"/>
    <n v="0.11"/>
    <n v="2326.4778000000001"/>
    <s v="COD"/>
    <x v="0"/>
    <x v="0"/>
    <x v="2"/>
  </r>
  <r>
    <x v="11"/>
    <s v="SALE1282"/>
    <x v="99"/>
    <x v="178"/>
    <x v="440"/>
    <x v="99"/>
    <x v="2"/>
    <n v="1"/>
    <n v="654.17999999999995"/>
    <n v="0.19"/>
    <n v="529.88580000000002"/>
    <s v="PayPal"/>
    <x v="1"/>
    <x v="0"/>
    <x v="2"/>
  </r>
  <r>
    <x v="11"/>
    <s v="SALE410"/>
    <x v="99"/>
    <x v="16"/>
    <x v="278"/>
    <x v="99"/>
    <x v="2"/>
    <n v="4"/>
    <n v="349.84"/>
    <n v="0.11"/>
    <n v="1245.4304"/>
    <s v="Credit Card"/>
    <x v="1"/>
    <x v="0"/>
    <x v="2"/>
  </r>
  <r>
    <x v="11"/>
    <s v="SALE333"/>
    <x v="66"/>
    <x v="539"/>
    <x v="441"/>
    <x v="66"/>
    <x v="3"/>
    <n v="3"/>
    <n v="455.82"/>
    <n v="0.01"/>
    <n v="1353.7854"/>
    <s v="PayPal"/>
    <x v="0"/>
    <x v="0"/>
    <x v="0"/>
  </r>
  <r>
    <x v="11"/>
    <s v="SALE1414"/>
    <x v="66"/>
    <x v="202"/>
    <x v="151"/>
    <x v="66"/>
    <x v="3"/>
    <n v="4"/>
    <n v="327.25"/>
    <n v="0.13"/>
    <n v="1138.83"/>
    <s v="COD"/>
    <x v="1"/>
    <x v="0"/>
    <x v="1"/>
  </r>
  <r>
    <x v="11"/>
    <s v="SALE921"/>
    <x v="15"/>
    <x v="223"/>
    <x v="404"/>
    <x v="15"/>
    <x v="2"/>
    <n v="2"/>
    <n v="892.06"/>
    <n v="0.08"/>
    <n v="1641.3904"/>
    <s v="Credit Card"/>
    <x v="0"/>
    <x v="0"/>
    <x v="3"/>
  </r>
  <r>
    <x v="11"/>
    <s v="SALE1361"/>
    <x v="15"/>
    <x v="474"/>
    <x v="193"/>
    <x v="15"/>
    <x v="2"/>
    <n v="4"/>
    <n v="885.57"/>
    <n v="0.27"/>
    <n v="2585.8643999999999"/>
    <s v="Credit Card"/>
    <x v="0"/>
    <x v="0"/>
    <x v="0"/>
  </r>
  <r>
    <x v="11"/>
    <s v="SALE1590"/>
    <x v="15"/>
    <x v="533"/>
    <x v="360"/>
    <x v="15"/>
    <x v="2"/>
    <n v="4"/>
    <n v="62.25"/>
    <n v="0.11"/>
    <n v="221.61"/>
    <s v="PayPal"/>
    <x v="1"/>
    <x v="0"/>
    <x v="2"/>
  </r>
  <r>
    <x v="11"/>
    <s v="SALE146"/>
    <x v="18"/>
    <x v="260"/>
    <x v="20"/>
    <x v="18"/>
    <x v="4"/>
    <n v="3"/>
    <n v="584.41"/>
    <n v="0"/>
    <n v="1753.23"/>
    <s v="COD"/>
    <x v="0"/>
    <x v="0"/>
    <x v="0"/>
  </r>
  <r>
    <x v="11"/>
    <s v="SALE1740"/>
    <x v="19"/>
    <x v="569"/>
    <x v="13"/>
    <x v="19"/>
    <x v="4"/>
    <n v="4"/>
    <n v="442.87"/>
    <n v="0.08"/>
    <n v="1629.7616"/>
    <s v="Credit Card"/>
    <x v="1"/>
    <x v="0"/>
    <x v="3"/>
  </r>
  <r>
    <x v="11"/>
    <s v="SALE787"/>
    <x v="19"/>
    <x v="129"/>
    <x v="343"/>
    <x v="19"/>
    <x v="4"/>
    <n v="4"/>
    <n v="122.87"/>
    <n v="0.13"/>
    <n v="427.58760000000001"/>
    <s v="Credit Card"/>
    <x v="0"/>
    <x v="0"/>
    <x v="1"/>
  </r>
  <r>
    <x v="11"/>
    <s v="SALE486"/>
    <x v="20"/>
    <x v="122"/>
    <x v="192"/>
    <x v="20"/>
    <x v="3"/>
    <n v="3"/>
    <n v="134.58000000000001"/>
    <n v="0.04"/>
    <n v="387.59039999999999"/>
    <s v="COD"/>
    <x v="0"/>
    <x v="0"/>
    <x v="2"/>
  </r>
  <r>
    <x v="11"/>
    <s v="SALE380"/>
    <x v="95"/>
    <x v="130"/>
    <x v="123"/>
    <x v="95"/>
    <x v="4"/>
    <n v="4"/>
    <n v="603.30999999999995"/>
    <n v="0.15"/>
    <n v="2051.2539999999999"/>
    <s v="Credit Card"/>
    <x v="1"/>
    <x v="0"/>
    <x v="1"/>
  </r>
  <r>
    <x v="11"/>
    <s v="SALE1529"/>
    <x v="96"/>
    <x v="51"/>
    <x v="365"/>
    <x v="96"/>
    <x v="3"/>
    <n v="2"/>
    <n v="392.45"/>
    <n v="0.04"/>
    <n v="753.50399999999991"/>
    <s v="PayPal"/>
    <x v="1"/>
    <x v="0"/>
    <x v="1"/>
  </r>
  <r>
    <x v="11"/>
    <s v="SALE1773"/>
    <x v="96"/>
    <x v="570"/>
    <x v="199"/>
    <x v="96"/>
    <x v="3"/>
    <n v="2"/>
    <n v="56.52"/>
    <n v="0.17"/>
    <n v="93.8232"/>
    <s v="PayPal"/>
    <x v="0"/>
    <x v="0"/>
    <x v="0"/>
  </r>
  <r>
    <x v="11"/>
    <s v="SALE1374"/>
    <x v="23"/>
    <x v="349"/>
    <x v="227"/>
    <x v="23"/>
    <x v="0"/>
    <n v="4"/>
    <n v="150.47999999999999"/>
    <n v="0.09"/>
    <n v="547.74720000000002"/>
    <s v="Credit Card"/>
    <x v="1"/>
    <x v="0"/>
    <x v="1"/>
  </r>
  <r>
    <x v="11"/>
    <s v="SALE1547"/>
    <x v="68"/>
    <x v="249"/>
    <x v="442"/>
    <x v="68"/>
    <x v="0"/>
    <n v="1"/>
    <n v="661.77"/>
    <n v="0.03"/>
    <n v="641.91689999999994"/>
    <s v="PayPal"/>
    <x v="0"/>
    <x v="0"/>
    <x v="0"/>
  </r>
  <r>
    <x v="11"/>
    <s v="SALE582"/>
    <x v="69"/>
    <x v="375"/>
    <x v="411"/>
    <x v="69"/>
    <x v="3"/>
    <n v="2"/>
    <n v="156.72999999999999"/>
    <n v="0.18"/>
    <n v="257.03719999999998"/>
    <s v="COD"/>
    <x v="1"/>
    <x v="0"/>
    <x v="3"/>
  </r>
  <r>
    <x v="11"/>
    <s v="SALE1044"/>
    <x v="26"/>
    <x v="287"/>
    <x v="272"/>
    <x v="26"/>
    <x v="1"/>
    <n v="4"/>
    <n v="189.07"/>
    <n v="0.1"/>
    <n v="680.65200000000004"/>
    <s v="COD"/>
    <x v="1"/>
    <x v="0"/>
    <x v="3"/>
  </r>
  <r>
    <x v="11"/>
    <s v="SALE286"/>
    <x v="83"/>
    <x v="14"/>
    <x v="3"/>
    <x v="83"/>
    <x v="0"/>
    <n v="3"/>
    <n v="807.95"/>
    <n v="0.1"/>
    <n v="2181.4650000000011"/>
    <s v="PayPal"/>
    <x v="0"/>
    <x v="0"/>
    <x v="0"/>
  </r>
  <r>
    <x v="11"/>
    <s v="SALE30"/>
    <x v="28"/>
    <x v="272"/>
    <x v="249"/>
    <x v="28"/>
    <x v="4"/>
    <n v="1"/>
    <n v="429.38"/>
    <n v="0.13"/>
    <n v="373.56060000000002"/>
    <s v="PayPal"/>
    <x v="1"/>
    <x v="0"/>
    <x v="1"/>
  </r>
  <r>
    <x v="11"/>
    <s v="SALE575"/>
    <x v="29"/>
    <x v="268"/>
    <x v="443"/>
    <x v="29"/>
    <x v="3"/>
    <n v="4"/>
    <n v="280.16000000000003"/>
    <n v="0.18"/>
    <n v="918.92480000000012"/>
    <s v="COD"/>
    <x v="1"/>
    <x v="0"/>
    <x v="3"/>
  </r>
  <r>
    <x v="11"/>
    <s v="SALE1221"/>
    <x v="85"/>
    <x v="571"/>
    <x v="430"/>
    <x v="85"/>
    <x v="3"/>
    <n v="2"/>
    <n v="441.03"/>
    <n v="0.23"/>
    <n v="679.18619999999999"/>
    <s v="COD"/>
    <x v="0"/>
    <x v="0"/>
    <x v="2"/>
  </r>
  <r>
    <x v="11"/>
    <s v="SALE1420"/>
    <x v="70"/>
    <x v="217"/>
    <x v="301"/>
    <x v="70"/>
    <x v="4"/>
    <n v="2"/>
    <n v="664.5"/>
    <n v="0.23"/>
    <n v="1023.33"/>
    <s v="Credit Card"/>
    <x v="1"/>
    <x v="0"/>
    <x v="1"/>
  </r>
  <r>
    <x v="11"/>
    <s v="SALE319"/>
    <x v="31"/>
    <x v="572"/>
    <x v="321"/>
    <x v="31"/>
    <x v="2"/>
    <n v="1"/>
    <n v="222.95"/>
    <n v="0.02"/>
    <n v="218.49100000000001"/>
    <s v="PayPal"/>
    <x v="1"/>
    <x v="0"/>
    <x v="3"/>
  </r>
  <r>
    <x v="11"/>
    <s v="SALE902"/>
    <x v="32"/>
    <x v="38"/>
    <x v="401"/>
    <x v="32"/>
    <x v="2"/>
    <n v="2"/>
    <n v="404.08"/>
    <n v="7.0000000000000007E-2"/>
    <n v="751.58879999999988"/>
    <s v="Credit Card"/>
    <x v="0"/>
    <x v="0"/>
    <x v="4"/>
  </r>
  <r>
    <x v="11"/>
    <s v="SALE212"/>
    <x v="32"/>
    <x v="420"/>
    <x v="397"/>
    <x v="32"/>
    <x v="2"/>
    <n v="4"/>
    <n v="119.83"/>
    <n v="0.13"/>
    <n v="417.00839999999999"/>
    <s v="Credit Card"/>
    <x v="1"/>
    <x v="0"/>
    <x v="2"/>
  </r>
  <r>
    <x v="11"/>
    <s v="SALE1960"/>
    <x v="86"/>
    <x v="457"/>
    <x v="384"/>
    <x v="86"/>
    <x v="3"/>
    <n v="3"/>
    <n v="223.64"/>
    <n v="0.05"/>
    <n v="637.37399999999991"/>
    <s v="Credit Card"/>
    <x v="1"/>
    <x v="0"/>
    <x v="1"/>
  </r>
  <r>
    <x v="11"/>
    <s v="SALE1987"/>
    <x v="86"/>
    <x v="459"/>
    <x v="205"/>
    <x v="86"/>
    <x v="3"/>
    <n v="1"/>
    <n v="120.02"/>
    <n v="0.26"/>
    <n v="88.814799999999991"/>
    <s v="Credit Card"/>
    <x v="0"/>
    <x v="0"/>
    <x v="2"/>
  </r>
  <r>
    <x v="11"/>
    <s v="SALE1963"/>
    <x v="97"/>
    <x v="545"/>
    <x v="397"/>
    <x v="97"/>
    <x v="1"/>
    <n v="4"/>
    <n v="835.61"/>
    <n v="0.03"/>
    <n v="3242.1668"/>
    <s v="Credit Card"/>
    <x v="1"/>
    <x v="0"/>
    <x v="2"/>
  </r>
  <r>
    <x v="11"/>
    <s v="SALE951"/>
    <x v="36"/>
    <x v="573"/>
    <x v="58"/>
    <x v="36"/>
    <x v="1"/>
    <n v="4"/>
    <n v="286.27999999999997"/>
    <n v="0.28000000000000003"/>
    <n v="824.48639999999989"/>
    <s v="PayPal"/>
    <x v="1"/>
    <x v="0"/>
    <x v="3"/>
  </r>
  <r>
    <x v="11"/>
    <s v="SALE1958"/>
    <x v="37"/>
    <x v="571"/>
    <x v="262"/>
    <x v="37"/>
    <x v="1"/>
    <n v="3"/>
    <n v="449.99"/>
    <n v="0.17"/>
    <n v="1120.4751000000001"/>
    <s v="COD"/>
    <x v="1"/>
    <x v="0"/>
    <x v="3"/>
  </r>
  <r>
    <x v="11"/>
    <s v="SALE16"/>
    <x v="72"/>
    <x v="574"/>
    <x v="60"/>
    <x v="72"/>
    <x v="3"/>
    <n v="2"/>
    <n v="451.98"/>
    <n v="0.25"/>
    <n v="677.97"/>
    <s v="Credit Card"/>
    <x v="0"/>
    <x v="0"/>
    <x v="3"/>
  </r>
  <r>
    <x v="11"/>
    <s v="SALE1115"/>
    <x v="72"/>
    <x v="524"/>
    <x v="381"/>
    <x v="72"/>
    <x v="3"/>
    <n v="2"/>
    <n v="549.83000000000004"/>
    <n v="7.0000000000000007E-2"/>
    <n v="1022.6838"/>
    <s v="PayPal"/>
    <x v="1"/>
    <x v="0"/>
    <x v="1"/>
  </r>
  <r>
    <x v="11"/>
    <s v="SALE1757"/>
    <x v="38"/>
    <x v="489"/>
    <x v="317"/>
    <x v="38"/>
    <x v="1"/>
    <n v="3"/>
    <n v="626.71"/>
    <n v="7.0000000000000007E-2"/>
    <n v="1748.5209"/>
    <s v="COD"/>
    <x v="1"/>
    <x v="0"/>
    <x v="1"/>
  </r>
  <r>
    <x v="11"/>
    <s v="SALE1825"/>
    <x v="39"/>
    <x v="422"/>
    <x v="213"/>
    <x v="39"/>
    <x v="0"/>
    <n v="2"/>
    <n v="661.53"/>
    <n v="0.2"/>
    <n v="1058.4480000000001"/>
    <s v="PayPal"/>
    <x v="1"/>
    <x v="0"/>
    <x v="2"/>
  </r>
  <r>
    <x v="11"/>
    <s v="SALE926"/>
    <x v="39"/>
    <x v="369"/>
    <x v="444"/>
    <x v="39"/>
    <x v="0"/>
    <n v="3"/>
    <n v="968.88"/>
    <n v="0.15"/>
    <n v="2470.6439999999998"/>
    <s v="Credit Card"/>
    <x v="1"/>
    <x v="0"/>
    <x v="3"/>
  </r>
  <r>
    <x v="11"/>
    <s v="SALE835"/>
    <x v="88"/>
    <x v="432"/>
    <x v="323"/>
    <x v="88"/>
    <x v="2"/>
    <n v="1"/>
    <n v="671.62"/>
    <n v="0.09"/>
    <n v="611.17420000000004"/>
    <s v="COD"/>
    <x v="1"/>
    <x v="0"/>
    <x v="0"/>
  </r>
  <r>
    <x v="11"/>
    <s v="SALE1680"/>
    <x v="40"/>
    <x v="575"/>
    <x v="385"/>
    <x v="40"/>
    <x v="4"/>
    <n v="3"/>
    <n v="74.66"/>
    <n v="0.03"/>
    <n v="217.26060000000001"/>
    <s v="PayPal"/>
    <x v="0"/>
    <x v="0"/>
    <x v="4"/>
  </r>
  <r>
    <x v="11"/>
    <s v="SALE152"/>
    <x v="40"/>
    <x v="410"/>
    <x v="26"/>
    <x v="40"/>
    <x v="4"/>
    <n v="2"/>
    <n v="108.74"/>
    <n v="0.11"/>
    <n v="193.55719999999999"/>
    <s v="PayPal"/>
    <x v="1"/>
    <x v="0"/>
    <x v="3"/>
  </r>
  <r>
    <x v="11"/>
    <s v="SALE814"/>
    <x v="40"/>
    <x v="178"/>
    <x v="46"/>
    <x v="40"/>
    <x v="4"/>
    <n v="4"/>
    <n v="373.49"/>
    <n v="0.16"/>
    <n v="1254.9264000000001"/>
    <s v="COD"/>
    <x v="1"/>
    <x v="0"/>
    <x v="3"/>
  </r>
  <r>
    <x v="11"/>
    <s v="SALE884"/>
    <x v="42"/>
    <x v="67"/>
    <x v="197"/>
    <x v="42"/>
    <x v="3"/>
    <n v="1"/>
    <n v="44.08"/>
    <n v="0.05"/>
    <n v="41.875999999999998"/>
    <s v="Credit Card"/>
    <x v="0"/>
    <x v="0"/>
    <x v="2"/>
  </r>
  <r>
    <x v="11"/>
    <s v="SALE636"/>
    <x v="43"/>
    <x v="293"/>
    <x v="445"/>
    <x v="43"/>
    <x v="3"/>
    <n v="4"/>
    <n v="221.49"/>
    <n v="0.26"/>
    <n v="655.61040000000003"/>
    <s v="PayPal"/>
    <x v="1"/>
    <x v="0"/>
    <x v="3"/>
  </r>
  <r>
    <x v="11"/>
    <s v="SALE1432"/>
    <x v="43"/>
    <x v="576"/>
    <x v="183"/>
    <x v="43"/>
    <x v="3"/>
    <n v="3"/>
    <n v="59.37"/>
    <n v="0.03"/>
    <n v="172.76669999999999"/>
    <s v="PayPal"/>
    <x v="1"/>
    <x v="0"/>
    <x v="0"/>
  </r>
  <r>
    <x v="11"/>
    <s v="SALE1934"/>
    <x v="43"/>
    <x v="243"/>
    <x v="245"/>
    <x v="43"/>
    <x v="3"/>
    <n v="1"/>
    <n v="727.7"/>
    <n v="0.21"/>
    <n v="574.88300000000004"/>
    <s v="COD"/>
    <x v="0"/>
    <x v="0"/>
    <x v="2"/>
  </r>
  <r>
    <x v="11"/>
    <s v="SALE1999"/>
    <x v="90"/>
    <x v="224"/>
    <x v="1"/>
    <x v="90"/>
    <x v="0"/>
    <n v="3"/>
    <n v="68.45"/>
    <n v="0.17"/>
    <n v="170.44049999999999"/>
    <s v="PayPal"/>
    <x v="1"/>
    <x v="0"/>
    <x v="0"/>
  </r>
  <r>
    <x v="11"/>
    <s v="SALE573"/>
    <x v="90"/>
    <x v="380"/>
    <x v="340"/>
    <x v="90"/>
    <x v="0"/>
    <n v="4"/>
    <n v="158.46"/>
    <n v="0.09"/>
    <n v="576.7944"/>
    <s v="PayPal"/>
    <x v="1"/>
    <x v="0"/>
    <x v="3"/>
  </r>
  <r>
    <x v="11"/>
    <s v="SALE1920"/>
    <x v="74"/>
    <x v="172"/>
    <x v="438"/>
    <x v="74"/>
    <x v="0"/>
    <n v="3"/>
    <n v="401.87"/>
    <n v="0.28999999999999998"/>
    <n v="855.98310000000004"/>
    <s v="COD"/>
    <x v="0"/>
    <x v="0"/>
    <x v="1"/>
  </r>
  <r>
    <x v="11"/>
    <s v="SALE1064"/>
    <x v="75"/>
    <x v="347"/>
    <x v="396"/>
    <x v="75"/>
    <x v="2"/>
    <n v="2"/>
    <n v="705.97"/>
    <n v="0.1"/>
    <n v="1270.7460000000001"/>
    <s v="PayPal"/>
    <x v="0"/>
    <x v="0"/>
    <x v="0"/>
  </r>
  <r>
    <x v="11"/>
    <s v="SALE1761"/>
    <x v="76"/>
    <x v="577"/>
    <x v="164"/>
    <x v="76"/>
    <x v="2"/>
    <n v="2"/>
    <n v="60.53"/>
    <n v="0.18"/>
    <n v="99.269200000000012"/>
    <s v="Credit Card"/>
    <x v="0"/>
    <x v="0"/>
    <x v="3"/>
  </r>
  <r>
    <x v="11"/>
    <s v="SALE530"/>
    <x v="77"/>
    <x v="241"/>
    <x v="287"/>
    <x v="77"/>
    <x v="0"/>
    <n v="4"/>
    <n v="816.28"/>
    <n v="0.15"/>
    <n v="2775.3519999999999"/>
    <s v="COD"/>
    <x v="0"/>
    <x v="0"/>
    <x v="3"/>
  </r>
  <r>
    <x v="11"/>
    <s v="SALE1891"/>
    <x v="46"/>
    <x v="27"/>
    <x v="33"/>
    <x v="46"/>
    <x v="3"/>
    <n v="3"/>
    <n v="825.33"/>
    <n v="0.21"/>
    <n v="1956.0320999999999"/>
    <s v="Credit Card"/>
    <x v="0"/>
    <x v="0"/>
    <x v="1"/>
  </r>
  <r>
    <x v="11"/>
    <s v="SALE147"/>
    <x v="47"/>
    <x v="434"/>
    <x v="36"/>
    <x v="47"/>
    <x v="3"/>
    <n v="1"/>
    <n v="653.87"/>
    <n v="0.14000000000000001"/>
    <n v="562.32820000000004"/>
    <s v="PayPal"/>
    <x v="0"/>
    <x v="0"/>
    <x v="1"/>
  </r>
  <r>
    <x v="11"/>
    <s v="SALE908"/>
    <x v="49"/>
    <x v="538"/>
    <x v="438"/>
    <x v="49"/>
    <x v="4"/>
    <n v="3"/>
    <n v="104.33"/>
    <n v="0.13"/>
    <n v="272.30130000000003"/>
    <s v="COD"/>
    <x v="0"/>
    <x v="0"/>
    <x v="1"/>
  </r>
  <r>
    <x v="11"/>
    <s v="SALE260"/>
    <x v="53"/>
    <x v="225"/>
    <x v="102"/>
    <x v="53"/>
    <x v="1"/>
    <n v="4"/>
    <n v="611.29999999999995"/>
    <n v="0.11"/>
    <n v="2176.2280000000001"/>
    <s v="PayPal"/>
    <x v="0"/>
    <x v="0"/>
    <x v="2"/>
  </r>
  <r>
    <x v="11"/>
    <s v="SALE1402"/>
    <x v="55"/>
    <x v="355"/>
    <x v="399"/>
    <x v="55"/>
    <x v="4"/>
    <n v="2"/>
    <n v="600.03"/>
    <n v="0.26"/>
    <n v="888.0444"/>
    <s v="PayPal"/>
    <x v="0"/>
    <x v="0"/>
    <x v="2"/>
  </r>
  <r>
    <x v="11"/>
    <s v="SALE419"/>
    <x v="55"/>
    <x v="374"/>
    <x v="318"/>
    <x v="55"/>
    <x v="4"/>
    <n v="2"/>
    <n v="782.11"/>
    <n v="0.17"/>
    <n v="1298.3026"/>
    <s v="PayPal"/>
    <x v="1"/>
    <x v="0"/>
    <x v="2"/>
  </r>
  <r>
    <x v="11"/>
    <s v="SALE1701"/>
    <x v="55"/>
    <x v="578"/>
    <x v="204"/>
    <x v="55"/>
    <x v="4"/>
    <n v="3"/>
    <n v="811.16"/>
    <n v="0.1"/>
    <n v="2190.1320000000001"/>
    <s v="COD"/>
    <x v="1"/>
    <x v="0"/>
    <x v="0"/>
  </r>
  <r>
    <x v="11"/>
    <s v="SALE1604"/>
    <x v="56"/>
    <x v="383"/>
    <x v="410"/>
    <x v="56"/>
    <x v="2"/>
    <n v="2"/>
    <n v="253.87"/>
    <n v="0.23"/>
    <n v="390.95979999999997"/>
    <s v="COD"/>
    <x v="1"/>
    <x v="0"/>
    <x v="1"/>
  </r>
  <r>
    <x v="11"/>
    <s v="SALE772"/>
    <x v="56"/>
    <x v="579"/>
    <x v="345"/>
    <x v="56"/>
    <x v="2"/>
    <n v="2"/>
    <n v="318.62"/>
    <n v="0.02"/>
    <n v="624.49519999999995"/>
    <s v="COD"/>
    <x v="0"/>
    <x v="0"/>
    <x v="0"/>
  </r>
  <r>
    <x v="11"/>
    <s v="SALE394"/>
    <x v="57"/>
    <x v="355"/>
    <x v="276"/>
    <x v="57"/>
    <x v="1"/>
    <n v="2"/>
    <n v="962.81"/>
    <n v="0.06"/>
    <n v="1810.0827999999999"/>
    <s v="COD"/>
    <x v="0"/>
    <x v="0"/>
    <x v="1"/>
  </r>
  <r>
    <x v="11"/>
    <s v="SALE1608"/>
    <x v="58"/>
    <x v="535"/>
    <x v="183"/>
    <x v="58"/>
    <x v="3"/>
    <n v="1"/>
    <n v="511.35"/>
    <n v="0"/>
    <n v="511.35"/>
    <s v="Credit Card"/>
    <x v="1"/>
    <x v="0"/>
    <x v="0"/>
  </r>
  <r>
    <x v="11"/>
    <s v="SALE970"/>
    <x v="59"/>
    <x v="580"/>
    <x v="446"/>
    <x v="59"/>
    <x v="4"/>
    <n v="4"/>
    <n v="492.71"/>
    <n v="0.08"/>
    <n v="1813.1728000000001"/>
    <s v="Credit Card"/>
    <x v="0"/>
    <x v="0"/>
    <x v="0"/>
  </r>
  <r>
    <x v="11"/>
    <s v="SALE373"/>
    <x v="79"/>
    <x v="242"/>
    <x v="170"/>
    <x v="79"/>
    <x v="3"/>
    <n v="2"/>
    <n v="739.95"/>
    <n v="0.1"/>
    <n v="1331.91"/>
    <s v="COD"/>
    <x v="1"/>
    <x v="0"/>
    <x v="0"/>
  </r>
  <r>
    <x v="11"/>
    <s v="SALE1751"/>
    <x v="79"/>
    <x v="391"/>
    <x v="21"/>
    <x v="79"/>
    <x v="3"/>
    <n v="4"/>
    <n v="715.42"/>
    <n v="0.28999999999999998"/>
    <n v="2031.7927999999999"/>
    <s v="PayPal"/>
    <x v="0"/>
    <x v="0"/>
    <x v="0"/>
  </r>
  <r>
    <x v="11"/>
    <s v="SALE94"/>
    <x v="79"/>
    <x v="386"/>
    <x v="305"/>
    <x v="79"/>
    <x v="3"/>
    <n v="2"/>
    <n v="569.36"/>
    <n v="0.01"/>
    <n v="1138.71"/>
    <s v="PayPal"/>
    <x v="0"/>
    <x v="0"/>
    <x v="1"/>
  </r>
  <r>
    <x v="11"/>
    <s v="SALE1388"/>
    <x v="94"/>
    <x v="581"/>
    <x v="398"/>
    <x v="94"/>
    <x v="0"/>
    <n v="3"/>
    <n v="34.97"/>
    <n v="0.01"/>
    <n v="103.8609"/>
    <s v="Credit Card"/>
    <x v="0"/>
    <x v="0"/>
    <x v="0"/>
  </r>
  <r>
    <x v="11"/>
    <s v="SALE757"/>
    <x v="94"/>
    <x v="7"/>
    <x v="302"/>
    <x v="94"/>
    <x v="0"/>
    <n v="4"/>
    <n v="281.48"/>
    <n v="0.27"/>
    <n v="821.92160000000001"/>
    <s v="PayPal"/>
    <x v="0"/>
    <x v="0"/>
    <x v="1"/>
  </r>
  <r>
    <x v="11"/>
    <s v="SALE252"/>
    <x v="94"/>
    <x v="488"/>
    <x v="205"/>
    <x v="94"/>
    <x v="0"/>
    <n v="1"/>
    <n v="549.52"/>
    <n v="0.1"/>
    <n v="494.56799999999998"/>
    <s v="PayPal"/>
    <x v="0"/>
    <x v="0"/>
    <x v="2"/>
  </r>
  <r>
    <x v="11"/>
    <s v="SALE1995"/>
    <x v="80"/>
    <x v="403"/>
    <x v="447"/>
    <x v="80"/>
    <x v="2"/>
    <n v="3"/>
    <n v="112.77"/>
    <n v="0.19"/>
    <n v="274.03109999999998"/>
    <s v="Credit Card"/>
    <x v="0"/>
    <x v="0"/>
    <x v="0"/>
  </r>
  <r>
    <x v="12"/>
    <s v="SALE562"/>
    <x v="81"/>
    <x v="582"/>
    <x v="307"/>
    <x v="81"/>
    <x v="4"/>
    <n v="4"/>
    <n v="204.8"/>
    <n v="0.03"/>
    <n v="794.62400000000002"/>
    <s v="PayPal"/>
    <x v="1"/>
    <x v="0"/>
    <x v="3"/>
  </r>
  <r>
    <x v="12"/>
    <s v="SALE1852"/>
    <x v="81"/>
    <x v="393"/>
    <x v="151"/>
    <x v="81"/>
    <x v="4"/>
    <n v="3"/>
    <n v="268.95"/>
    <n v="0.04"/>
    <n v="774.57599999999991"/>
    <s v="PayPal"/>
    <x v="1"/>
    <x v="0"/>
    <x v="1"/>
  </r>
  <r>
    <x v="12"/>
    <s v="SALE67"/>
    <x v="1"/>
    <x v="107"/>
    <x v="165"/>
    <x v="1"/>
    <x v="1"/>
    <n v="1"/>
    <n v="989.17"/>
    <n v="0.2"/>
    <n v="791.33600000000001"/>
    <s v="PayPal"/>
    <x v="0"/>
    <x v="0"/>
    <x v="3"/>
  </r>
  <r>
    <x v="12"/>
    <s v="SALE1408"/>
    <x v="61"/>
    <x v="214"/>
    <x v="235"/>
    <x v="61"/>
    <x v="0"/>
    <n v="1"/>
    <n v="908.5"/>
    <n v="0.2"/>
    <n v="726.80000000000007"/>
    <s v="COD"/>
    <x v="1"/>
    <x v="0"/>
    <x v="1"/>
  </r>
  <r>
    <x v="12"/>
    <s v="SALE28"/>
    <x v="61"/>
    <x v="583"/>
    <x v="181"/>
    <x v="61"/>
    <x v="0"/>
    <n v="2"/>
    <n v="74.209999999999994"/>
    <n v="0.11"/>
    <n v="132.09379999999999"/>
    <s v="PayPal"/>
    <x v="1"/>
    <x v="0"/>
    <x v="2"/>
  </r>
  <r>
    <x v="12"/>
    <s v="SALE507"/>
    <x v="61"/>
    <x v="411"/>
    <x v="227"/>
    <x v="61"/>
    <x v="0"/>
    <n v="4"/>
    <n v="284.24"/>
    <n v="0.09"/>
    <n v="1034.6335999999999"/>
    <s v="Credit Card"/>
    <x v="1"/>
    <x v="0"/>
    <x v="1"/>
  </r>
  <r>
    <x v="12"/>
    <s v="SALE1669"/>
    <x v="2"/>
    <x v="551"/>
    <x v="224"/>
    <x v="2"/>
    <x v="2"/>
    <n v="2"/>
    <n v="414.86"/>
    <n v="0.23"/>
    <n v="638.88440000000003"/>
    <s v="Credit Card"/>
    <x v="0"/>
    <x v="0"/>
    <x v="2"/>
  </r>
  <r>
    <x v="12"/>
    <s v="SALE1962"/>
    <x v="3"/>
    <x v="584"/>
    <x v="356"/>
    <x v="3"/>
    <x v="1"/>
    <n v="4"/>
    <n v="268.3"/>
    <n v="0.02"/>
    <n v="1051.7360000000001"/>
    <s v="COD"/>
    <x v="0"/>
    <x v="0"/>
    <x v="1"/>
  </r>
  <r>
    <x v="12"/>
    <s v="SALE1906"/>
    <x v="4"/>
    <x v="561"/>
    <x v="448"/>
    <x v="4"/>
    <x v="3"/>
    <n v="3"/>
    <n v="988.53"/>
    <n v="0.3"/>
    <n v="2075.913"/>
    <s v="COD"/>
    <x v="0"/>
    <x v="0"/>
    <x v="3"/>
  </r>
  <r>
    <x v="12"/>
    <s v="SALE1393"/>
    <x v="82"/>
    <x v="576"/>
    <x v="293"/>
    <x v="82"/>
    <x v="4"/>
    <n v="1"/>
    <n v="493.45"/>
    <n v="0.09"/>
    <n v="449.03949999999998"/>
    <s v="Credit Card"/>
    <x v="1"/>
    <x v="0"/>
    <x v="2"/>
  </r>
  <r>
    <x v="12"/>
    <s v="SALE79"/>
    <x v="8"/>
    <x v="182"/>
    <x v="2"/>
    <x v="8"/>
    <x v="2"/>
    <n v="1"/>
    <n v="341.17"/>
    <n v="0.15"/>
    <n v="289.99450000000002"/>
    <s v="Credit Card"/>
    <x v="1"/>
    <x v="0"/>
    <x v="1"/>
  </r>
  <r>
    <x v="12"/>
    <s v="SALE691"/>
    <x v="9"/>
    <x v="585"/>
    <x v="65"/>
    <x v="9"/>
    <x v="3"/>
    <n v="2"/>
    <n v="419.25"/>
    <n v="0.17"/>
    <n v="695.95499999999993"/>
    <s v="PayPal"/>
    <x v="0"/>
    <x v="0"/>
    <x v="2"/>
  </r>
  <r>
    <x v="12"/>
    <s v="SALE1350"/>
    <x v="63"/>
    <x v="586"/>
    <x v="0"/>
    <x v="63"/>
    <x v="4"/>
    <n v="3"/>
    <n v="152.41"/>
    <n v="0.25"/>
    <n v="342.92250000000001"/>
    <s v="Credit Card"/>
    <x v="0"/>
    <x v="0"/>
    <x v="0"/>
  </r>
  <r>
    <x v="12"/>
    <s v="SALE1222"/>
    <x v="10"/>
    <x v="467"/>
    <x v="55"/>
    <x v="10"/>
    <x v="4"/>
    <n v="3"/>
    <n v="377.69"/>
    <n v="7.0000000000000007E-2"/>
    <n v="1053.7551000000001"/>
    <s v="PayPal"/>
    <x v="0"/>
    <x v="0"/>
    <x v="2"/>
  </r>
  <r>
    <x v="12"/>
    <s v="SALE1463"/>
    <x v="11"/>
    <x v="191"/>
    <x v="369"/>
    <x v="11"/>
    <x v="0"/>
    <n v="2"/>
    <n v="182.89"/>
    <n v="0.11"/>
    <n v="325.54419999999999"/>
    <s v="Credit Card"/>
    <x v="0"/>
    <x v="0"/>
    <x v="3"/>
  </r>
  <r>
    <x v="12"/>
    <s v="SALE173"/>
    <x v="11"/>
    <x v="587"/>
    <x v="207"/>
    <x v="11"/>
    <x v="0"/>
    <n v="2"/>
    <n v="593.47"/>
    <n v="0.1"/>
    <n v="1068.2460000000001"/>
    <s v="COD"/>
    <x v="1"/>
    <x v="0"/>
    <x v="2"/>
  </r>
  <r>
    <x v="12"/>
    <s v="SALE808"/>
    <x v="13"/>
    <x v="567"/>
    <x v="423"/>
    <x v="13"/>
    <x v="3"/>
    <n v="1"/>
    <n v="974.47"/>
    <n v="0.05"/>
    <n v="925.74649999999997"/>
    <s v="Credit Card"/>
    <x v="0"/>
    <x v="0"/>
    <x v="1"/>
  </r>
  <r>
    <x v="12"/>
    <s v="SALE1977"/>
    <x v="99"/>
    <x v="129"/>
    <x v="223"/>
    <x v="99"/>
    <x v="2"/>
    <n v="1"/>
    <n v="722.57"/>
    <n v="0.18"/>
    <n v="592.50740000000008"/>
    <s v="Credit Card"/>
    <x v="1"/>
    <x v="0"/>
    <x v="1"/>
  </r>
  <r>
    <x v="12"/>
    <s v="SALE734"/>
    <x v="14"/>
    <x v="137"/>
    <x v="189"/>
    <x v="14"/>
    <x v="4"/>
    <n v="2"/>
    <n v="371.03"/>
    <n v="0.23"/>
    <n v="571.38619999999992"/>
    <s v="PayPal"/>
    <x v="0"/>
    <x v="0"/>
    <x v="2"/>
  </r>
  <r>
    <x v="12"/>
    <s v="SALE478"/>
    <x v="65"/>
    <x v="90"/>
    <x v="171"/>
    <x v="65"/>
    <x v="2"/>
    <n v="1"/>
    <n v="790.73"/>
    <n v="0.24"/>
    <n v="600.95479999999998"/>
    <s v="PayPal"/>
    <x v="1"/>
    <x v="0"/>
    <x v="2"/>
  </r>
  <r>
    <x v="12"/>
    <s v="SALE1924"/>
    <x v="65"/>
    <x v="115"/>
    <x v="449"/>
    <x v="65"/>
    <x v="2"/>
    <n v="1"/>
    <n v="788.45"/>
    <n v="0.28999999999999998"/>
    <n v="559.79949999999997"/>
    <s v="PayPal"/>
    <x v="1"/>
    <x v="0"/>
    <x v="3"/>
  </r>
  <r>
    <x v="12"/>
    <s v="SALE1109"/>
    <x v="66"/>
    <x v="428"/>
    <x v="364"/>
    <x v="66"/>
    <x v="3"/>
    <n v="3"/>
    <n v="826.15"/>
    <n v="0"/>
    <n v="2478.4499999999998"/>
    <s v="PayPal"/>
    <x v="1"/>
    <x v="0"/>
    <x v="0"/>
  </r>
  <r>
    <x v="12"/>
    <s v="SALE259"/>
    <x v="17"/>
    <x v="105"/>
    <x v="431"/>
    <x v="17"/>
    <x v="2"/>
    <n v="2"/>
    <n v="355.3"/>
    <n v="0.83"/>
    <n v="589.798"/>
    <s v="PayPal"/>
    <x v="0"/>
    <x v="0"/>
    <x v="3"/>
  </r>
  <r>
    <x v="12"/>
    <s v="SALE1944"/>
    <x v="20"/>
    <x v="264"/>
    <x v="242"/>
    <x v="20"/>
    <x v="3"/>
    <n v="3"/>
    <n v="410.04"/>
    <n v="0.09"/>
    <n v="1119.4092000000001"/>
    <s v="COD"/>
    <x v="1"/>
    <x v="0"/>
    <x v="3"/>
  </r>
  <r>
    <x v="12"/>
    <s v="SALE1459"/>
    <x v="21"/>
    <x v="189"/>
    <x v="105"/>
    <x v="21"/>
    <x v="0"/>
    <n v="3"/>
    <n v="824.75"/>
    <n v="0.23"/>
    <n v="1905.1724999999999"/>
    <s v="Credit Card"/>
    <x v="1"/>
    <x v="0"/>
    <x v="2"/>
  </r>
  <r>
    <x v="12"/>
    <s v="SALE227"/>
    <x v="21"/>
    <x v="568"/>
    <x v="450"/>
    <x v="21"/>
    <x v="0"/>
    <n v="2"/>
    <n v="999.89"/>
    <n v="0.09"/>
    <n v="1819.7998"/>
    <s v="Credit Card"/>
    <x v="1"/>
    <x v="0"/>
    <x v="1"/>
  </r>
  <r>
    <x v="12"/>
    <s v="SALE485"/>
    <x v="95"/>
    <x v="588"/>
    <x v="352"/>
    <x v="95"/>
    <x v="4"/>
    <n v="2"/>
    <n v="409"/>
    <n v="0.17"/>
    <n v="678.93999999999994"/>
    <s v="Credit Card"/>
    <x v="1"/>
    <x v="0"/>
    <x v="0"/>
  </r>
  <r>
    <x v="12"/>
    <s v="SALE1550"/>
    <x v="22"/>
    <x v="589"/>
    <x v="434"/>
    <x v="22"/>
    <x v="0"/>
    <n v="4"/>
    <n v="54.4"/>
    <n v="0.22"/>
    <n v="169.72800000000001"/>
    <s v="Credit Card"/>
    <x v="0"/>
    <x v="0"/>
    <x v="3"/>
  </r>
  <r>
    <x v="12"/>
    <s v="SALE123"/>
    <x v="22"/>
    <x v="358"/>
    <x v="191"/>
    <x v="22"/>
    <x v="0"/>
    <n v="3"/>
    <n v="334.6"/>
    <n v="0.11"/>
    <n v="893.38200000000006"/>
    <s v="PayPal"/>
    <x v="1"/>
    <x v="0"/>
    <x v="3"/>
  </r>
  <r>
    <x v="12"/>
    <s v="SALE522"/>
    <x v="23"/>
    <x v="590"/>
    <x v="72"/>
    <x v="23"/>
    <x v="0"/>
    <n v="2"/>
    <n v="42.97"/>
    <n v="0.18"/>
    <n v="70.470799999999997"/>
    <s v="PayPal"/>
    <x v="1"/>
    <x v="0"/>
    <x v="0"/>
  </r>
  <r>
    <x v="12"/>
    <s v="SALE551"/>
    <x v="68"/>
    <x v="61"/>
    <x v="87"/>
    <x v="68"/>
    <x v="0"/>
    <n v="3"/>
    <n v="137.77000000000001"/>
    <n v="0.26"/>
    <n v="305.84940000000012"/>
    <s v="PayPal"/>
    <x v="1"/>
    <x v="0"/>
    <x v="1"/>
  </r>
  <r>
    <x v="12"/>
    <s v="SALE502"/>
    <x v="69"/>
    <x v="591"/>
    <x v="289"/>
    <x v="69"/>
    <x v="3"/>
    <n v="1"/>
    <n v="230.53"/>
    <n v="0.06"/>
    <n v="216.69820000000001"/>
    <s v="COD"/>
    <x v="1"/>
    <x v="0"/>
    <x v="1"/>
  </r>
  <r>
    <x v="12"/>
    <s v="SALE1850"/>
    <x v="25"/>
    <x v="409"/>
    <x v="34"/>
    <x v="25"/>
    <x v="4"/>
    <n v="1"/>
    <n v="780.24"/>
    <n v="0.04"/>
    <n v="749.03039999999999"/>
    <s v="COD"/>
    <x v="1"/>
    <x v="0"/>
    <x v="0"/>
  </r>
  <r>
    <x v="12"/>
    <s v="SALE901"/>
    <x v="25"/>
    <x v="592"/>
    <x v="412"/>
    <x v="25"/>
    <x v="4"/>
    <n v="2"/>
    <n v="71.48"/>
    <n v="0.14000000000000001"/>
    <n v="122.9456"/>
    <s v="COD"/>
    <x v="1"/>
    <x v="0"/>
    <x v="0"/>
  </r>
  <r>
    <x v="12"/>
    <s v="SALE363"/>
    <x v="25"/>
    <x v="593"/>
    <x v="179"/>
    <x v="25"/>
    <x v="4"/>
    <n v="1"/>
    <n v="669.53"/>
    <n v="0.2"/>
    <n v="535.62400000000002"/>
    <s v="Credit Card"/>
    <x v="1"/>
    <x v="0"/>
    <x v="0"/>
  </r>
  <r>
    <x v="12"/>
    <s v="SALE504"/>
    <x v="26"/>
    <x v="164"/>
    <x v="22"/>
    <x v="26"/>
    <x v="1"/>
    <n v="3"/>
    <n v="843.44"/>
    <n v="0.22"/>
    <n v="1973.6496"/>
    <s v="Credit Card"/>
    <x v="1"/>
    <x v="0"/>
    <x v="3"/>
  </r>
  <r>
    <x v="12"/>
    <s v="SALE1823"/>
    <x v="26"/>
    <x v="13"/>
    <x v="296"/>
    <x v="26"/>
    <x v="1"/>
    <n v="3"/>
    <n v="469.33"/>
    <n v="0.14000000000000001"/>
    <n v="1210.8714"/>
    <s v="PayPal"/>
    <x v="1"/>
    <x v="0"/>
    <x v="2"/>
  </r>
  <r>
    <x v="12"/>
    <s v="SALE693"/>
    <x v="83"/>
    <x v="385"/>
    <x v="59"/>
    <x v="83"/>
    <x v="0"/>
    <n v="1"/>
    <n v="301.24"/>
    <n v="0.11"/>
    <n v="268.10359999999997"/>
    <s v="PayPal"/>
    <x v="1"/>
    <x v="0"/>
    <x v="1"/>
  </r>
  <r>
    <x v="12"/>
    <s v="SALE621"/>
    <x v="83"/>
    <x v="583"/>
    <x v="418"/>
    <x v="83"/>
    <x v="0"/>
    <n v="4"/>
    <n v="395.45"/>
    <n v="0.01"/>
    <n v="1565.982"/>
    <s v="Credit Card"/>
    <x v="1"/>
    <x v="0"/>
    <x v="1"/>
  </r>
  <r>
    <x v="12"/>
    <s v="SALE154"/>
    <x v="83"/>
    <x v="594"/>
    <x v="153"/>
    <x v="83"/>
    <x v="0"/>
    <n v="1"/>
    <n v="345.06"/>
    <n v="0.13"/>
    <n v="300.2022"/>
    <s v="COD"/>
    <x v="1"/>
    <x v="0"/>
    <x v="3"/>
  </r>
  <r>
    <x v="12"/>
    <s v="SALE451"/>
    <x v="27"/>
    <x v="515"/>
    <x v="306"/>
    <x v="27"/>
    <x v="1"/>
    <n v="4"/>
    <n v="829.36"/>
    <n v="0.11"/>
    <n v="2952.5216"/>
    <s v="PayPal"/>
    <x v="1"/>
    <x v="0"/>
    <x v="1"/>
  </r>
  <r>
    <x v="12"/>
    <s v="SALE1638"/>
    <x v="28"/>
    <x v="385"/>
    <x v="391"/>
    <x v="28"/>
    <x v="4"/>
    <n v="4"/>
    <n v="796.89"/>
    <n v="0.17"/>
    <n v="2645.6747999999998"/>
    <s v="Credit Card"/>
    <x v="1"/>
    <x v="0"/>
    <x v="3"/>
  </r>
  <r>
    <x v="12"/>
    <s v="SALE210"/>
    <x v="29"/>
    <x v="225"/>
    <x v="129"/>
    <x v="29"/>
    <x v="3"/>
    <n v="1"/>
    <n v="823.26"/>
    <n v="0.27"/>
    <n v="600.97979999999995"/>
    <s v="COD"/>
    <x v="1"/>
    <x v="0"/>
    <x v="3"/>
  </r>
  <r>
    <x v="12"/>
    <s v="SALE1070"/>
    <x v="29"/>
    <x v="325"/>
    <x v="429"/>
    <x v="29"/>
    <x v="3"/>
    <n v="4"/>
    <n v="694.61"/>
    <n v="0.18"/>
    <n v="2278.3208"/>
    <s v="COD"/>
    <x v="1"/>
    <x v="0"/>
    <x v="3"/>
  </r>
  <r>
    <x v="12"/>
    <s v="SALE313"/>
    <x v="29"/>
    <x v="504"/>
    <x v="254"/>
    <x v="29"/>
    <x v="3"/>
    <n v="1"/>
    <n v="88.92"/>
    <n v="0.19"/>
    <n v="72.025200000000012"/>
    <s v="PayPal"/>
    <x v="0"/>
    <x v="0"/>
    <x v="0"/>
  </r>
  <r>
    <x v="12"/>
    <s v="SALE1611"/>
    <x v="70"/>
    <x v="128"/>
    <x v="76"/>
    <x v="70"/>
    <x v="4"/>
    <n v="4"/>
    <n v="456.32"/>
    <n v="0.22"/>
    <n v="1423.7184"/>
    <s v="COD"/>
    <x v="0"/>
    <x v="0"/>
    <x v="1"/>
  </r>
  <r>
    <x v="12"/>
    <s v="SALE1941"/>
    <x v="86"/>
    <x v="313"/>
    <x v="170"/>
    <x v="86"/>
    <x v="3"/>
    <n v="3"/>
    <n v="878.62"/>
    <n v="0.05"/>
    <n v="2504.067"/>
    <s v="PayPal"/>
    <x v="1"/>
    <x v="0"/>
    <x v="0"/>
  </r>
  <r>
    <x v="12"/>
    <s v="SALE433"/>
    <x v="97"/>
    <x v="573"/>
    <x v="108"/>
    <x v="97"/>
    <x v="1"/>
    <n v="2"/>
    <n v="64.7"/>
    <n v="0"/>
    <n v="129.4"/>
    <s v="Credit Card"/>
    <x v="0"/>
    <x v="0"/>
    <x v="2"/>
  </r>
  <r>
    <x v="12"/>
    <s v="SALE1000"/>
    <x v="97"/>
    <x v="595"/>
    <x v="439"/>
    <x v="97"/>
    <x v="1"/>
    <n v="2"/>
    <n v="909.51"/>
    <n v="0.27"/>
    <n v="1327.8846000000001"/>
    <s v="Credit Card"/>
    <x v="0"/>
    <x v="0"/>
    <x v="2"/>
  </r>
  <r>
    <x v="12"/>
    <s v="SALE700"/>
    <x v="34"/>
    <x v="584"/>
    <x v="315"/>
    <x v="34"/>
    <x v="1"/>
    <n v="4"/>
    <n v="254.94"/>
    <n v="0.06"/>
    <n v="958.57439999999997"/>
    <s v="PayPal"/>
    <x v="1"/>
    <x v="0"/>
    <x v="0"/>
  </r>
  <r>
    <x v="12"/>
    <s v="SALE1394"/>
    <x v="35"/>
    <x v="173"/>
    <x v="84"/>
    <x v="35"/>
    <x v="0"/>
    <n v="4"/>
    <n v="111.66"/>
    <n v="0.14000000000000001"/>
    <n v="384.11040000000003"/>
    <s v="Credit Card"/>
    <x v="1"/>
    <x v="0"/>
    <x v="1"/>
  </r>
  <r>
    <x v="12"/>
    <s v="SALE1330"/>
    <x v="35"/>
    <x v="596"/>
    <x v="205"/>
    <x v="35"/>
    <x v="0"/>
    <n v="1"/>
    <n v="195.24"/>
    <n v="0.27"/>
    <n v="142.52520000000001"/>
    <s v="PayPal"/>
    <x v="0"/>
    <x v="0"/>
    <x v="2"/>
  </r>
  <r>
    <x v="12"/>
    <s v="SALE567"/>
    <x v="36"/>
    <x v="299"/>
    <x v="451"/>
    <x v="36"/>
    <x v="1"/>
    <n v="4"/>
    <n v="282.48"/>
    <n v="0.11"/>
    <n v="1005.6288"/>
    <s v="PayPal"/>
    <x v="1"/>
    <x v="0"/>
    <x v="2"/>
  </r>
  <r>
    <x v="12"/>
    <s v="SALE310"/>
    <x v="37"/>
    <x v="348"/>
    <x v="352"/>
    <x v="37"/>
    <x v="1"/>
    <n v="2"/>
    <n v="138.41"/>
    <n v="0.02"/>
    <n v="271.28359999999998"/>
    <s v="Credit Card"/>
    <x v="1"/>
    <x v="0"/>
    <x v="0"/>
  </r>
  <r>
    <x v="12"/>
    <s v="SALE1317"/>
    <x v="37"/>
    <x v="216"/>
    <x v="452"/>
    <x v="37"/>
    <x v="1"/>
    <n v="4"/>
    <n v="950.21"/>
    <n v="0.27"/>
    <n v="2774.6131999999998"/>
    <s v="COD"/>
    <x v="1"/>
    <x v="0"/>
    <x v="1"/>
  </r>
  <r>
    <x v="12"/>
    <s v="SALE1867"/>
    <x v="37"/>
    <x v="299"/>
    <x v="181"/>
    <x v="37"/>
    <x v="1"/>
    <n v="4"/>
    <n v="838.99"/>
    <n v="0.16"/>
    <n v="2819.0064000000002"/>
    <s v="Credit Card"/>
    <x v="1"/>
    <x v="0"/>
    <x v="2"/>
  </r>
  <r>
    <x v="12"/>
    <s v="SALE1574"/>
    <x v="37"/>
    <x v="305"/>
    <x v="167"/>
    <x v="37"/>
    <x v="1"/>
    <n v="1"/>
    <n v="644.15"/>
    <n v="0.06"/>
    <n v="605.50099999999998"/>
    <s v="Credit Card"/>
    <x v="0"/>
    <x v="0"/>
    <x v="2"/>
  </r>
  <r>
    <x v="12"/>
    <s v="SALE597"/>
    <x v="37"/>
    <x v="338"/>
    <x v="99"/>
    <x v="37"/>
    <x v="1"/>
    <n v="2"/>
    <n v="552.72"/>
    <n v="0.06"/>
    <n v="1039.1135999999999"/>
    <s v="PayPal"/>
    <x v="1"/>
    <x v="0"/>
    <x v="1"/>
  </r>
  <r>
    <x v="12"/>
    <s v="SALE1200"/>
    <x v="38"/>
    <x v="57"/>
    <x v="293"/>
    <x v="38"/>
    <x v="1"/>
    <n v="1"/>
    <n v="743.55"/>
    <n v="0.11"/>
    <n v="661.7595"/>
    <s v="COD"/>
    <x v="1"/>
    <x v="0"/>
    <x v="2"/>
  </r>
  <r>
    <x v="12"/>
    <s v="SALE1982"/>
    <x v="88"/>
    <x v="341"/>
    <x v="453"/>
    <x v="88"/>
    <x v="2"/>
    <n v="3"/>
    <n v="901.49"/>
    <n v="0"/>
    <n v="2704.47"/>
    <s v="Credit Card"/>
    <x v="1"/>
    <x v="0"/>
    <x v="3"/>
  </r>
  <r>
    <x v="12"/>
    <s v="SALE704"/>
    <x v="88"/>
    <x v="597"/>
    <x v="344"/>
    <x v="88"/>
    <x v="2"/>
    <n v="3"/>
    <n v="212.72"/>
    <n v="0.22"/>
    <n v="497.76479999999998"/>
    <s v="PayPal"/>
    <x v="0"/>
    <x v="0"/>
    <x v="1"/>
  </r>
  <r>
    <x v="12"/>
    <s v="SALE321"/>
    <x v="40"/>
    <x v="179"/>
    <x v="454"/>
    <x v="40"/>
    <x v="4"/>
    <n v="1"/>
    <n v="564.1"/>
    <n v="0.03"/>
    <n v="547.17700000000002"/>
    <s v="Credit Card"/>
    <x v="1"/>
    <x v="0"/>
    <x v="0"/>
  </r>
  <r>
    <x v="12"/>
    <s v="SALE1491"/>
    <x v="73"/>
    <x v="115"/>
    <x v="388"/>
    <x v="73"/>
    <x v="1"/>
    <n v="3"/>
    <n v="769.62"/>
    <n v="0.09"/>
    <n v="2101.0626000000002"/>
    <s v="PayPal"/>
    <x v="1"/>
    <x v="0"/>
    <x v="3"/>
  </r>
  <r>
    <x v="12"/>
    <s v="SALE491"/>
    <x v="42"/>
    <x v="412"/>
    <x v="292"/>
    <x v="42"/>
    <x v="3"/>
    <n v="3"/>
    <n v="480.51"/>
    <n v="0.03"/>
    <n v="1398.2841000000001"/>
    <s v="Credit Card"/>
    <x v="0"/>
    <x v="0"/>
    <x v="1"/>
  </r>
  <r>
    <x v="12"/>
    <s v="SALE537"/>
    <x v="42"/>
    <x v="129"/>
    <x v="164"/>
    <x v="42"/>
    <x v="3"/>
    <n v="2"/>
    <n v="245.52"/>
    <n v="0.11"/>
    <n v="437.0256"/>
    <s v="COD"/>
    <x v="0"/>
    <x v="0"/>
    <x v="3"/>
  </r>
  <r>
    <x v="12"/>
    <s v="SALE362"/>
    <x v="43"/>
    <x v="478"/>
    <x v="271"/>
    <x v="43"/>
    <x v="3"/>
    <n v="2"/>
    <n v="934"/>
    <n v="0.3"/>
    <n v="1307.5999999999999"/>
    <s v="COD"/>
    <x v="0"/>
    <x v="0"/>
    <x v="1"/>
  </r>
  <r>
    <x v="12"/>
    <s v="SALE1007"/>
    <x v="45"/>
    <x v="272"/>
    <x v="189"/>
    <x v="45"/>
    <x v="4"/>
    <n v="2"/>
    <n v="541.52"/>
    <n v="0.26"/>
    <n v="801.44959999999992"/>
    <s v="PayPal"/>
    <x v="0"/>
    <x v="0"/>
    <x v="2"/>
  </r>
  <r>
    <x v="12"/>
    <s v="SALE773"/>
    <x v="90"/>
    <x v="598"/>
    <x v="38"/>
    <x v="90"/>
    <x v="0"/>
    <n v="4"/>
    <n v="402.11"/>
    <n v="0.14000000000000001"/>
    <n v="1383.2583999999999"/>
    <s v="PayPal"/>
    <x v="1"/>
    <x v="0"/>
    <x v="3"/>
  </r>
  <r>
    <x v="12"/>
    <s v="SALE1174"/>
    <x v="90"/>
    <x v="47"/>
    <x v="3"/>
    <x v="90"/>
    <x v="0"/>
    <n v="4"/>
    <n v="934.79"/>
    <n v="0.08"/>
    <n v="3440.0272"/>
    <s v="PayPal"/>
    <x v="0"/>
    <x v="0"/>
    <x v="0"/>
  </r>
  <r>
    <x v="12"/>
    <s v="SALE1139"/>
    <x v="74"/>
    <x v="157"/>
    <x v="455"/>
    <x v="74"/>
    <x v="0"/>
    <n v="2"/>
    <n v="257.45"/>
    <n v="0"/>
    <n v="514.9"/>
    <s v="COD"/>
    <x v="1"/>
    <x v="0"/>
    <x v="0"/>
  </r>
  <r>
    <x v="12"/>
    <s v="SALE66"/>
    <x v="74"/>
    <x v="289"/>
    <x v="346"/>
    <x v="74"/>
    <x v="0"/>
    <n v="4"/>
    <n v="814.25"/>
    <n v="0.18"/>
    <n v="2670.74"/>
    <s v="Credit Card"/>
    <x v="1"/>
    <x v="0"/>
    <x v="0"/>
  </r>
  <r>
    <x v="12"/>
    <s v="SALE213"/>
    <x v="75"/>
    <x v="587"/>
    <x v="171"/>
    <x v="75"/>
    <x v="2"/>
    <n v="1"/>
    <n v="575.66"/>
    <n v="0.03"/>
    <n v="558.39019999999994"/>
    <s v="PayPal"/>
    <x v="1"/>
    <x v="0"/>
    <x v="2"/>
  </r>
  <r>
    <x v="12"/>
    <s v="SALE859"/>
    <x v="76"/>
    <x v="270"/>
    <x v="235"/>
    <x v="76"/>
    <x v="2"/>
    <n v="3"/>
    <n v="448.55"/>
    <n v="0.05"/>
    <n v="1278.3675000000001"/>
    <s v="Credit Card"/>
    <x v="1"/>
    <x v="0"/>
    <x v="1"/>
  </r>
  <r>
    <x v="12"/>
    <s v="SALE1430"/>
    <x v="76"/>
    <x v="563"/>
    <x v="423"/>
    <x v="76"/>
    <x v="2"/>
    <n v="1"/>
    <n v="462.23"/>
    <n v="0.3"/>
    <n v="323.56099999999998"/>
    <s v="PayPal"/>
    <x v="0"/>
    <x v="0"/>
    <x v="1"/>
  </r>
  <r>
    <x v="12"/>
    <s v="SALE311"/>
    <x v="91"/>
    <x v="214"/>
    <x v="291"/>
    <x v="91"/>
    <x v="2"/>
    <n v="4"/>
    <n v="741.51"/>
    <n v="0.09"/>
    <n v="2699.0963999999999"/>
    <s v="COD"/>
    <x v="1"/>
    <x v="0"/>
    <x v="3"/>
  </r>
  <r>
    <x v="12"/>
    <s v="SALE676"/>
    <x v="91"/>
    <x v="107"/>
    <x v="53"/>
    <x v="91"/>
    <x v="2"/>
    <n v="2"/>
    <n v="111.28"/>
    <n v="0.14000000000000001"/>
    <n v="191.4016"/>
    <s v="Credit Card"/>
    <x v="0"/>
    <x v="0"/>
    <x v="0"/>
  </r>
  <r>
    <x v="12"/>
    <s v="SALE1339"/>
    <x v="91"/>
    <x v="93"/>
    <x v="161"/>
    <x v="91"/>
    <x v="2"/>
    <n v="4"/>
    <n v="806.99"/>
    <n v="0.06"/>
    <n v="3034.2824000000001"/>
    <s v="Credit Card"/>
    <x v="1"/>
    <x v="0"/>
    <x v="2"/>
  </r>
  <r>
    <x v="12"/>
    <s v="SALE1114"/>
    <x v="51"/>
    <x v="599"/>
    <x v="3"/>
    <x v="51"/>
    <x v="2"/>
    <n v="2"/>
    <n v="121.52"/>
    <n v="0.18"/>
    <n v="199.2928"/>
    <s v="COD"/>
    <x v="0"/>
    <x v="0"/>
    <x v="0"/>
  </r>
  <r>
    <x v="12"/>
    <s v="SALE577"/>
    <x v="52"/>
    <x v="56"/>
    <x v="74"/>
    <x v="52"/>
    <x v="3"/>
    <n v="2"/>
    <n v="994.32"/>
    <n v="0.27"/>
    <n v="1451.7072000000001"/>
    <s v="PayPal"/>
    <x v="1"/>
    <x v="0"/>
    <x v="2"/>
  </r>
  <r>
    <x v="12"/>
    <s v="SALE1218"/>
    <x v="52"/>
    <x v="600"/>
    <x v="263"/>
    <x v="52"/>
    <x v="3"/>
    <n v="2"/>
    <n v="898.45"/>
    <n v="0.28999999999999998"/>
    <n v="1275.799"/>
    <s v="COD"/>
    <x v="1"/>
    <x v="0"/>
    <x v="3"/>
  </r>
  <r>
    <x v="12"/>
    <s v="SALE555"/>
    <x v="52"/>
    <x v="363"/>
    <x v="99"/>
    <x v="52"/>
    <x v="3"/>
    <n v="3"/>
    <n v="691.02"/>
    <n v="0.12"/>
    <n v="1824.2927999999999"/>
    <s v="COD"/>
    <x v="1"/>
    <x v="0"/>
    <x v="1"/>
  </r>
  <r>
    <x v="12"/>
    <s v="SALE506"/>
    <x v="53"/>
    <x v="169"/>
    <x v="246"/>
    <x v="53"/>
    <x v="1"/>
    <n v="3"/>
    <n v="21.59"/>
    <n v="0.16"/>
    <n v="54.406799999999997"/>
    <s v="COD"/>
    <x v="0"/>
    <x v="0"/>
    <x v="1"/>
  </r>
  <r>
    <x v="12"/>
    <s v="SALE1071"/>
    <x v="53"/>
    <x v="139"/>
    <x v="456"/>
    <x v="53"/>
    <x v="1"/>
    <n v="4"/>
    <n v="753.83"/>
    <n v="0.24"/>
    <n v="2291.6432"/>
    <s v="Credit Card"/>
    <x v="1"/>
    <x v="0"/>
    <x v="1"/>
  </r>
  <r>
    <x v="12"/>
    <s v="SALE599"/>
    <x v="92"/>
    <x v="168"/>
    <x v="457"/>
    <x v="92"/>
    <x v="3"/>
    <n v="2"/>
    <n v="823.03"/>
    <n v="0.18"/>
    <n v="1349.7692"/>
    <s v="PayPal"/>
    <x v="1"/>
    <x v="0"/>
    <x v="1"/>
  </r>
  <r>
    <x v="12"/>
    <s v="SALE614"/>
    <x v="92"/>
    <x v="0"/>
    <x v="255"/>
    <x v="92"/>
    <x v="3"/>
    <n v="1"/>
    <n v="312.91000000000003"/>
    <n v="0.12"/>
    <n v="275.36079999999998"/>
    <s v="PayPal"/>
    <x v="1"/>
    <x v="0"/>
    <x v="3"/>
  </r>
  <r>
    <x v="12"/>
    <s v="SALE1741"/>
    <x v="59"/>
    <x v="307"/>
    <x v="322"/>
    <x v="59"/>
    <x v="4"/>
    <n v="2"/>
    <n v="939.66"/>
    <n v="0.14000000000000001"/>
    <n v="1616.2152000000001"/>
    <s v="PayPal"/>
    <x v="0"/>
    <x v="0"/>
    <x v="1"/>
  </r>
  <r>
    <x v="12"/>
    <s v="SALE1198"/>
    <x v="59"/>
    <x v="588"/>
    <x v="290"/>
    <x v="59"/>
    <x v="4"/>
    <n v="3"/>
    <n v="583.52"/>
    <n v="7.0000000000000007E-2"/>
    <n v="1628.0208"/>
    <s v="PayPal"/>
    <x v="0"/>
    <x v="0"/>
    <x v="0"/>
  </r>
  <r>
    <x v="12"/>
    <s v="SALE1816"/>
    <x v="59"/>
    <x v="339"/>
    <x v="386"/>
    <x v="59"/>
    <x v="4"/>
    <n v="4"/>
    <n v="827.09"/>
    <n v="0.3"/>
    <n v="2315.8519999999999"/>
    <s v="Credit Card"/>
    <x v="1"/>
    <x v="0"/>
    <x v="1"/>
  </r>
  <r>
    <x v="12"/>
    <s v="SALE1876"/>
    <x v="94"/>
    <x v="45"/>
    <x v="338"/>
    <x v="94"/>
    <x v="0"/>
    <n v="1"/>
    <n v="176.84"/>
    <n v="0.19"/>
    <n v="143.24039999999999"/>
    <s v="Credit Card"/>
    <x v="1"/>
    <x v="0"/>
    <x v="1"/>
  </r>
  <r>
    <x v="12"/>
    <s v="SALE1914"/>
    <x v="80"/>
    <x v="600"/>
    <x v="222"/>
    <x v="80"/>
    <x v="2"/>
    <n v="1"/>
    <n v="716.29"/>
    <n v="0.01"/>
    <n v="709.12709999999993"/>
    <s v="PayPal"/>
    <x v="1"/>
    <x v="0"/>
    <x v="3"/>
  </r>
  <r>
    <x v="12"/>
    <s v="SALE406"/>
    <x v="80"/>
    <x v="55"/>
    <x v="225"/>
    <x v="80"/>
    <x v="2"/>
    <n v="1"/>
    <n v="848.69"/>
    <n v="0.04"/>
    <n v="814.74239999999998"/>
    <s v="COD"/>
    <x v="1"/>
    <x v="0"/>
    <x v="3"/>
  </r>
  <r>
    <x v="12"/>
    <s v="SALE594"/>
    <x v="80"/>
    <x v="79"/>
    <x v="295"/>
    <x v="80"/>
    <x v="2"/>
    <n v="1"/>
    <n v="71.709999999999994"/>
    <n v="0.23"/>
    <n v="55.216700000000003"/>
    <s v="COD"/>
    <x v="0"/>
    <x v="0"/>
    <x v="2"/>
  </r>
  <r>
    <x v="13"/>
    <s v="SALE1097"/>
    <x v="98"/>
    <x v="282"/>
    <x v="357"/>
    <x v="98"/>
    <x v="0"/>
    <n v="2"/>
    <n v="374.42"/>
    <n v="0.21"/>
    <n v="591.58360000000005"/>
    <s v="COD"/>
    <x v="1"/>
    <x v="0"/>
    <x v="3"/>
  </r>
  <r>
    <x v="13"/>
    <s v="SALE1843"/>
    <x v="98"/>
    <x v="186"/>
    <x v="126"/>
    <x v="98"/>
    <x v="0"/>
    <n v="1"/>
    <n v="140.24"/>
    <n v="0.27"/>
    <n v="102.37520000000001"/>
    <s v="Credit Card"/>
    <x v="0"/>
    <x v="0"/>
    <x v="1"/>
  </r>
  <r>
    <x v="13"/>
    <s v="SALE1567"/>
    <x v="81"/>
    <x v="477"/>
    <x v="14"/>
    <x v="81"/>
    <x v="4"/>
    <n v="1"/>
    <n v="94.26"/>
    <n v="0.18"/>
    <n v="77.293200000000013"/>
    <s v="PayPal"/>
    <x v="1"/>
    <x v="0"/>
    <x v="1"/>
  </r>
  <r>
    <x v="13"/>
    <s v="SALE1887"/>
    <x v="81"/>
    <x v="215"/>
    <x v="378"/>
    <x v="81"/>
    <x v="4"/>
    <n v="2"/>
    <n v="99.04"/>
    <n v="0.26"/>
    <n v="146.57919999999999"/>
    <s v="COD"/>
    <x v="1"/>
    <x v="0"/>
    <x v="0"/>
  </r>
  <r>
    <x v="13"/>
    <s v="SALE1057"/>
    <x v="60"/>
    <x v="151"/>
    <x v="199"/>
    <x v="60"/>
    <x v="2"/>
    <n v="3"/>
    <n v="900.63"/>
    <n v="0.11"/>
    <n v="2404.6821"/>
    <s v="COD"/>
    <x v="0"/>
    <x v="0"/>
    <x v="0"/>
  </r>
  <r>
    <x v="13"/>
    <s v="SALE1171"/>
    <x v="0"/>
    <x v="14"/>
    <x v="272"/>
    <x v="0"/>
    <x v="0"/>
    <n v="1"/>
    <n v="499.46"/>
    <n v="0.1"/>
    <n v="449.51400000000001"/>
    <s v="Credit Card"/>
    <x v="1"/>
    <x v="0"/>
    <x v="3"/>
  </r>
  <r>
    <x v="13"/>
    <s v="SALE1387"/>
    <x v="0"/>
    <x v="342"/>
    <x v="214"/>
    <x v="0"/>
    <x v="0"/>
    <n v="3"/>
    <n v="250.14"/>
    <n v="0.23"/>
    <n v="577.82339999999999"/>
    <s v="PayPal"/>
    <x v="0"/>
    <x v="0"/>
    <x v="2"/>
  </r>
  <r>
    <x v="13"/>
    <s v="SALE1495"/>
    <x v="61"/>
    <x v="309"/>
    <x v="74"/>
    <x v="61"/>
    <x v="0"/>
    <n v="3"/>
    <n v="162.16999999999999"/>
    <n v="0.15"/>
    <n v="413.5335"/>
    <s v="PayPal"/>
    <x v="1"/>
    <x v="0"/>
    <x v="2"/>
  </r>
  <r>
    <x v="13"/>
    <s v="SALE657"/>
    <x v="61"/>
    <x v="136"/>
    <x v="458"/>
    <x v="61"/>
    <x v="0"/>
    <n v="3"/>
    <n v="706.87"/>
    <n v="0.27"/>
    <n v="1548.0453"/>
    <s v="Credit Card"/>
    <x v="1"/>
    <x v="0"/>
    <x v="0"/>
  </r>
  <r>
    <x v="13"/>
    <s v="SALE918"/>
    <x v="61"/>
    <x v="154"/>
    <x v="409"/>
    <x v="61"/>
    <x v="0"/>
    <n v="2"/>
    <n v="183.85"/>
    <n v="0.14000000000000001"/>
    <n v="316.22199999999998"/>
    <s v="PayPal"/>
    <x v="1"/>
    <x v="0"/>
    <x v="1"/>
  </r>
  <r>
    <x v="13"/>
    <s v="SALE124"/>
    <x v="2"/>
    <x v="25"/>
    <x v="281"/>
    <x v="2"/>
    <x v="2"/>
    <n v="2"/>
    <n v="44.35"/>
    <n v="0.2"/>
    <n v="70.960000000000008"/>
    <s v="COD"/>
    <x v="1"/>
    <x v="0"/>
    <x v="2"/>
  </r>
  <r>
    <x v="13"/>
    <s v="SALE1102"/>
    <x v="62"/>
    <x v="155"/>
    <x v="330"/>
    <x v="62"/>
    <x v="0"/>
    <n v="4"/>
    <n v="243.92"/>
    <n v="0.02"/>
    <n v="956.16639999999995"/>
    <s v="PayPal"/>
    <x v="0"/>
    <x v="0"/>
    <x v="2"/>
  </r>
  <r>
    <x v="13"/>
    <s v="SALE1105"/>
    <x v="62"/>
    <x v="601"/>
    <x v="183"/>
    <x v="62"/>
    <x v="0"/>
    <n v="4"/>
    <n v="921.83"/>
    <n v="0.27"/>
    <n v="2691.7435999999998"/>
    <s v="Credit Card"/>
    <x v="1"/>
    <x v="0"/>
    <x v="0"/>
  </r>
  <r>
    <x v="13"/>
    <s v="SALE35"/>
    <x v="3"/>
    <x v="77"/>
    <x v="437"/>
    <x v="3"/>
    <x v="1"/>
    <n v="4"/>
    <n v="109.36"/>
    <n v="0.19"/>
    <n v="354.32639999999998"/>
    <s v="COD"/>
    <x v="0"/>
    <x v="0"/>
    <x v="1"/>
  </r>
  <r>
    <x v="13"/>
    <s v="SALE130"/>
    <x v="4"/>
    <x v="12"/>
    <x v="192"/>
    <x v="4"/>
    <x v="3"/>
    <n v="1"/>
    <n v="942.38"/>
    <n v="0.17"/>
    <n v="782.17539999999997"/>
    <s v="Credit Card"/>
    <x v="0"/>
    <x v="0"/>
    <x v="2"/>
  </r>
  <r>
    <x v="13"/>
    <s v="SALE1820"/>
    <x v="5"/>
    <x v="94"/>
    <x v="159"/>
    <x v="5"/>
    <x v="4"/>
    <n v="2"/>
    <n v="603.62"/>
    <n v="0.18"/>
    <n v="989.93680000000006"/>
    <s v="COD"/>
    <x v="0"/>
    <x v="0"/>
    <x v="2"/>
  </r>
  <r>
    <x v="13"/>
    <s v="SALE1158"/>
    <x v="5"/>
    <x v="518"/>
    <x v="352"/>
    <x v="5"/>
    <x v="4"/>
    <n v="2"/>
    <n v="382.2"/>
    <n v="0.15"/>
    <n v="649.74"/>
    <s v="Credit Card"/>
    <x v="1"/>
    <x v="0"/>
    <x v="0"/>
  </r>
  <r>
    <x v="13"/>
    <s v="SALE874"/>
    <x v="6"/>
    <x v="3"/>
    <x v="154"/>
    <x v="6"/>
    <x v="3"/>
    <n v="1"/>
    <n v="270.45"/>
    <n v="0.15"/>
    <n v="229.88249999999999"/>
    <s v="COD"/>
    <x v="0"/>
    <x v="0"/>
    <x v="0"/>
  </r>
  <r>
    <x v="13"/>
    <s v="SALE1874"/>
    <x v="82"/>
    <x v="430"/>
    <x v="65"/>
    <x v="82"/>
    <x v="4"/>
    <n v="4"/>
    <n v="591.9"/>
    <n v="0.2"/>
    <n v="1894.08"/>
    <s v="PayPal"/>
    <x v="0"/>
    <x v="0"/>
    <x v="2"/>
  </r>
  <r>
    <x v="13"/>
    <s v="SALE86"/>
    <x v="7"/>
    <x v="347"/>
    <x v="270"/>
    <x v="7"/>
    <x v="3"/>
    <n v="3"/>
    <n v="899.58"/>
    <n v="0.28000000000000003"/>
    <n v="1943.0927999999999"/>
    <s v="PayPal"/>
    <x v="1"/>
    <x v="0"/>
    <x v="1"/>
  </r>
  <r>
    <x v="13"/>
    <s v="SALE1255"/>
    <x v="7"/>
    <x v="84"/>
    <x v="327"/>
    <x v="7"/>
    <x v="3"/>
    <n v="4"/>
    <n v="176.13"/>
    <n v="0.27"/>
    <n v="514.29959999999994"/>
    <s v="PayPal"/>
    <x v="1"/>
    <x v="0"/>
    <x v="3"/>
  </r>
  <r>
    <x v="13"/>
    <s v="SALE272"/>
    <x v="63"/>
    <x v="166"/>
    <x v="267"/>
    <x v="63"/>
    <x v="4"/>
    <n v="3"/>
    <n v="610.24"/>
    <n v="0.17"/>
    <n v="1519.4975999999999"/>
    <s v="COD"/>
    <x v="0"/>
    <x v="0"/>
    <x v="1"/>
  </r>
  <r>
    <x v="13"/>
    <s v="SALE764"/>
    <x v="64"/>
    <x v="35"/>
    <x v="153"/>
    <x v="64"/>
    <x v="3"/>
    <n v="1"/>
    <n v="387.99"/>
    <n v="0.3"/>
    <n v="271.59300000000002"/>
    <s v="Credit Card"/>
    <x v="1"/>
    <x v="0"/>
    <x v="3"/>
  </r>
  <r>
    <x v="13"/>
    <s v="SALE1426"/>
    <x v="10"/>
    <x v="480"/>
    <x v="377"/>
    <x v="10"/>
    <x v="4"/>
    <n v="3"/>
    <n v="247.66"/>
    <n v="0.02"/>
    <n v="728.12040000000002"/>
    <s v="COD"/>
    <x v="1"/>
    <x v="0"/>
    <x v="3"/>
  </r>
  <r>
    <x v="13"/>
    <s v="SALE997"/>
    <x v="12"/>
    <x v="602"/>
    <x v="439"/>
    <x v="12"/>
    <x v="2"/>
    <n v="3"/>
    <n v="530.16999999999996"/>
    <n v="0.18"/>
    <n v="1304.2182"/>
    <s v="PayPal"/>
    <x v="0"/>
    <x v="0"/>
    <x v="2"/>
  </r>
  <r>
    <x v="13"/>
    <s v="SALE1724"/>
    <x v="12"/>
    <x v="603"/>
    <x v="176"/>
    <x v="12"/>
    <x v="2"/>
    <n v="3"/>
    <n v="523.45000000000005"/>
    <n v="0.17"/>
    <n v="1303.3905"/>
    <s v="Credit Card"/>
    <x v="0"/>
    <x v="0"/>
    <x v="3"/>
  </r>
  <r>
    <x v="13"/>
    <s v="SALE1502"/>
    <x v="13"/>
    <x v="480"/>
    <x v="368"/>
    <x v="13"/>
    <x v="3"/>
    <n v="4"/>
    <n v="566.09"/>
    <n v="0.28000000000000003"/>
    <n v="1630.3391999999999"/>
    <s v="COD"/>
    <x v="1"/>
    <x v="0"/>
    <x v="1"/>
  </r>
  <r>
    <x v="13"/>
    <s v="SALE563"/>
    <x v="14"/>
    <x v="216"/>
    <x v="411"/>
    <x v="14"/>
    <x v="4"/>
    <n v="3"/>
    <n v="728.32"/>
    <n v="0.01"/>
    <n v="2163.1104"/>
    <s v="Credit Card"/>
    <x v="1"/>
    <x v="0"/>
    <x v="3"/>
  </r>
  <r>
    <x v="13"/>
    <s v="SALE97"/>
    <x v="14"/>
    <x v="604"/>
    <x v="46"/>
    <x v="14"/>
    <x v="4"/>
    <n v="3"/>
    <n v="751.94"/>
    <n v="0.26"/>
    <n v="1669.3068000000001"/>
    <s v="PayPal"/>
    <x v="1"/>
    <x v="0"/>
    <x v="3"/>
  </r>
  <r>
    <x v="13"/>
    <s v="SALE1646"/>
    <x v="65"/>
    <x v="217"/>
    <x v="198"/>
    <x v="65"/>
    <x v="2"/>
    <n v="2"/>
    <n v="379.28"/>
    <n v="0.26"/>
    <n v="561.33439999999996"/>
    <s v="Credit Card"/>
    <x v="0"/>
    <x v="0"/>
    <x v="1"/>
  </r>
  <r>
    <x v="13"/>
    <s v="SALE827"/>
    <x v="66"/>
    <x v="471"/>
    <x v="115"/>
    <x v="66"/>
    <x v="3"/>
    <n v="1"/>
    <n v="36.799999999999997"/>
    <n v="0.18"/>
    <n v="30.175999999999998"/>
    <s v="Credit Card"/>
    <x v="0"/>
    <x v="0"/>
    <x v="0"/>
  </r>
  <r>
    <x v="13"/>
    <s v="SALE893"/>
    <x v="67"/>
    <x v="270"/>
    <x v="242"/>
    <x v="67"/>
    <x v="1"/>
    <n v="2"/>
    <n v="732.67"/>
    <n v="0.24"/>
    <n v="1113.6584"/>
    <s v="PayPal"/>
    <x v="1"/>
    <x v="0"/>
    <x v="3"/>
  </r>
  <r>
    <x v="13"/>
    <s v="SALE1479"/>
    <x v="15"/>
    <x v="138"/>
    <x v="42"/>
    <x v="15"/>
    <x v="2"/>
    <n v="4"/>
    <n v="695.97"/>
    <n v="0.02"/>
    <n v="2728.2024000000001"/>
    <s v="Credit Card"/>
    <x v="0"/>
    <x v="0"/>
    <x v="3"/>
  </r>
  <r>
    <x v="13"/>
    <s v="SALE750"/>
    <x v="16"/>
    <x v="184"/>
    <x v="431"/>
    <x v="16"/>
    <x v="0"/>
    <n v="3"/>
    <n v="35.159999999999997"/>
    <n v="0.04"/>
    <n v="101.2608"/>
    <s v="COD"/>
    <x v="0"/>
    <x v="0"/>
    <x v="3"/>
  </r>
  <r>
    <x v="13"/>
    <s v="SALE325"/>
    <x v="19"/>
    <x v="267"/>
    <x v="100"/>
    <x v="19"/>
    <x v="4"/>
    <n v="3"/>
    <n v="361.11"/>
    <n v="0.06"/>
    <n v="1018.3302"/>
    <s v="Credit Card"/>
    <x v="1"/>
    <x v="0"/>
    <x v="0"/>
  </r>
  <r>
    <x v="13"/>
    <s v="SALE1798"/>
    <x v="20"/>
    <x v="100"/>
    <x v="203"/>
    <x v="20"/>
    <x v="3"/>
    <n v="4"/>
    <n v="247.55"/>
    <n v="0.05"/>
    <n v="940.69"/>
    <s v="Credit Card"/>
    <x v="1"/>
    <x v="0"/>
    <x v="2"/>
  </r>
  <r>
    <x v="13"/>
    <s v="SALE1087"/>
    <x v="21"/>
    <x v="451"/>
    <x v="320"/>
    <x v="21"/>
    <x v="0"/>
    <n v="3"/>
    <n v="717.81"/>
    <n v="0.17"/>
    <n v="1787.3469"/>
    <s v="COD"/>
    <x v="0"/>
    <x v="0"/>
    <x v="3"/>
  </r>
  <r>
    <x v="13"/>
    <s v="SALE1492"/>
    <x v="95"/>
    <x v="230"/>
    <x v="300"/>
    <x v="95"/>
    <x v="4"/>
    <n v="1"/>
    <n v="492.05"/>
    <n v="0.27"/>
    <n v="359.19650000000001"/>
    <s v="Credit Card"/>
    <x v="1"/>
    <x v="0"/>
    <x v="2"/>
  </r>
  <r>
    <x v="13"/>
    <s v="SALE1496"/>
    <x v="95"/>
    <x v="119"/>
    <x v="459"/>
    <x v="95"/>
    <x v="4"/>
    <n v="3"/>
    <n v="698.14"/>
    <n v="0.04"/>
    <n v="2010.6432"/>
    <s v="PayPal"/>
    <x v="1"/>
    <x v="0"/>
    <x v="2"/>
  </r>
  <r>
    <x v="13"/>
    <s v="SALE188"/>
    <x v="95"/>
    <x v="522"/>
    <x v="340"/>
    <x v="95"/>
    <x v="4"/>
    <n v="3"/>
    <n v="620.22"/>
    <n v="0.04"/>
    <n v="1786.2336"/>
    <s v="Credit Card"/>
    <x v="1"/>
    <x v="0"/>
    <x v="3"/>
  </r>
  <r>
    <x v="13"/>
    <s v="SALE432"/>
    <x v="96"/>
    <x v="36"/>
    <x v="405"/>
    <x v="96"/>
    <x v="3"/>
    <n v="3"/>
    <n v="482.58"/>
    <n v="0.28000000000000003"/>
    <n v="1042.3728000000001"/>
    <s v="PayPal"/>
    <x v="1"/>
    <x v="0"/>
    <x v="2"/>
  </r>
  <r>
    <x v="13"/>
    <s v="SALE1743"/>
    <x v="96"/>
    <x v="489"/>
    <x v="237"/>
    <x v="96"/>
    <x v="3"/>
    <n v="3"/>
    <n v="239.54"/>
    <n v="0.28999999999999998"/>
    <n v="510.22019999999998"/>
    <s v="COD"/>
    <x v="0"/>
    <x v="0"/>
    <x v="2"/>
  </r>
  <r>
    <x v="13"/>
    <s v="SALE1882"/>
    <x v="23"/>
    <x v="464"/>
    <x v="29"/>
    <x v="23"/>
    <x v="0"/>
    <n v="3"/>
    <n v="41.97"/>
    <n v="0.03"/>
    <n v="122.1327"/>
    <s v="COD"/>
    <x v="1"/>
    <x v="0"/>
    <x v="1"/>
  </r>
  <r>
    <x v="13"/>
    <s v="SALE1778"/>
    <x v="68"/>
    <x v="342"/>
    <x v="199"/>
    <x v="68"/>
    <x v="0"/>
    <n v="2"/>
    <n v="521.44000000000005"/>
    <n v="0.25"/>
    <n v="782.16000000000008"/>
    <s v="COD"/>
    <x v="0"/>
    <x v="0"/>
    <x v="0"/>
  </r>
  <r>
    <x v="13"/>
    <s v="SALE1201"/>
    <x v="69"/>
    <x v="605"/>
    <x v="265"/>
    <x v="69"/>
    <x v="3"/>
    <n v="4"/>
    <n v="530.45000000000005"/>
    <n v="0.13"/>
    <n v="1845.9659999999999"/>
    <s v="Credit Card"/>
    <x v="0"/>
    <x v="0"/>
    <x v="3"/>
  </r>
  <r>
    <x v="13"/>
    <s v="SALE1081"/>
    <x v="69"/>
    <x v="274"/>
    <x v="394"/>
    <x v="69"/>
    <x v="3"/>
    <n v="1"/>
    <n v="793.21"/>
    <n v="0.09"/>
    <n v="721.8211"/>
    <s v="Credit Card"/>
    <x v="1"/>
    <x v="0"/>
    <x v="0"/>
  </r>
  <r>
    <x v="13"/>
    <s v="SALE183"/>
    <x v="25"/>
    <x v="13"/>
    <x v="267"/>
    <x v="25"/>
    <x v="4"/>
    <n v="1"/>
    <n v="547.09"/>
    <n v="0.01"/>
    <n v="541.6191"/>
    <s v="PayPal"/>
    <x v="0"/>
    <x v="0"/>
    <x v="1"/>
  </r>
  <r>
    <x v="13"/>
    <s v="SALE661"/>
    <x v="25"/>
    <x v="53"/>
    <x v="263"/>
    <x v="25"/>
    <x v="4"/>
    <n v="4"/>
    <n v="608.97"/>
    <n v="0.14000000000000001"/>
    <n v="2094.8568"/>
    <s v="COD"/>
    <x v="1"/>
    <x v="0"/>
    <x v="3"/>
  </r>
  <r>
    <x v="13"/>
    <s v="SALE189"/>
    <x v="25"/>
    <x v="522"/>
    <x v="432"/>
    <x v="25"/>
    <x v="4"/>
    <n v="1"/>
    <n v="580.76"/>
    <n v="0.1"/>
    <n v="522.68399999999997"/>
    <s v="COD"/>
    <x v="1"/>
    <x v="0"/>
    <x v="0"/>
  </r>
  <r>
    <x v="13"/>
    <s v="SALE515"/>
    <x v="26"/>
    <x v="606"/>
    <x v="324"/>
    <x v="26"/>
    <x v="1"/>
    <n v="1"/>
    <n v="169.69"/>
    <n v="0.22"/>
    <n v="132.35820000000001"/>
    <s v="Credit Card"/>
    <x v="1"/>
    <x v="0"/>
    <x v="1"/>
  </r>
  <r>
    <x v="13"/>
    <s v="SALE25"/>
    <x v="28"/>
    <x v="241"/>
    <x v="136"/>
    <x v="28"/>
    <x v="4"/>
    <n v="4"/>
    <n v="852.71"/>
    <n v="0.14000000000000001"/>
    <n v="2933.3224"/>
    <s v="PayPal"/>
    <x v="0"/>
    <x v="0"/>
    <x v="0"/>
  </r>
  <r>
    <x v="13"/>
    <s v="SALE1342"/>
    <x v="29"/>
    <x v="80"/>
    <x v="356"/>
    <x v="29"/>
    <x v="3"/>
    <n v="3"/>
    <n v="721.94"/>
    <n v="0.26"/>
    <n v="1602.7067999999999"/>
    <s v="Credit Card"/>
    <x v="0"/>
    <x v="0"/>
    <x v="1"/>
  </r>
  <r>
    <x v="13"/>
    <s v="SALE348"/>
    <x v="29"/>
    <x v="330"/>
    <x v="194"/>
    <x v="29"/>
    <x v="3"/>
    <n v="2"/>
    <n v="85.23"/>
    <n v="0.13"/>
    <n v="148.30019999999999"/>
    <s v="Credit Card"/>
    <x v="0"/>
    <x v="0"/>
    <x v="2"/>
  </r>
  <r>
    <x v="13"/>
    <s v="SALE1990"/>
    <x v="85"/>
    <x v="595"/>
    <x v="122"/>
    <x v="85"/>
    <x v="3"/>
    <n v="4"/>
    <n v="212.75"/>
    <n v="0.11"/>
    <n v="757.39"/>
    <s v="COD"/>
    <x v="0"/>
    <x v="0"/>
    <x v="1"/>
  </r>
  <r>
    <x v="13"/>
    <s v="SALE1005"/>
    <x v="30"/>
    <x v="221"/>
    <x v="294"/>
    <x v="30"/>
    <x v="3"/>
    <n v="3"/>
    <n v="261.05"/>
    <n v="0.12"/>
    <n v="689.17200000000014"/>
    <s v="PayPal"/>
    <x v="0"/>
    <x v="0"/>
    <x v="3"/>
  </r>
  <r>
    <x v="13"/>
    <s v="SALE99"/>
    <x v="30"/>
    <x v="448"/>
    <x v="399"/>
    <x v="30"/>
    <x v="3"/>
    <n v="3"/>
    <n v="541.99"/>
    <n v="0.24"/>
    <n v="1235.7372"/>
    <s v="COD"/>
    <x v="0"/>
    <x v="0"/>
    <x v="2"/>
  </r>
  <r>
    <x v="13"/>
    <s v="SALE1320"/>
    <x v="30"/>
    <x v="389"/>
    <x v="460"/>
    <x v="30"/>
    <x v="3"/>
    <n v="3"/>
    <n v="477.05"/>
    <n v="0.05"/>
    <n v="1359.5925"/>
    <s v="PayPal"/>
    <x v="0"/>
    <x v="0"/>
    <x v="3"/>
  </r>
  <r>
    <x v="13"/>
    <s v="SALE846"/>
    <x v="30"/>
    <x v="66"/>
    <x v="112"/>
    <x v="30"/>
    <x v="3"/>
    <n v="3"/>
    <n v="582.57000000000005"/>
    <n v="0.11"/>
    <n v="1555.4619"/>
    <s v="PayPal"/>
    <x v="0"/>
    <x v="0"/>
    <x v="1"/>
  </r>
  <r>
    <x v="13"/>
    <s v="SALE1561"/>
    <x v="32"/>
    <x v="6"/>
    <x v="30"/>
    <x v="32"/>
    <x v="2"/>
    <n v="3"/>
    <n v="579.26"/>
    <n v="0.19"/>
    <n v="1407.6017999999999"/>
    <s v="Credit Card"/>
    <x v="1"/>
    <x v="0"/>
    <x v="3"/>
  </r>
  <r>
    <x v="13"/>
    <s v="SALE448"/>
    <x v="32"/>
    <x v="127"/>
    <x v="346"/>
    <x v="32"/>
    <x v="2"/>
    <n v="1"/>
    <n v="862.31"/>
    <n v="0.06"/>
    <n v="810.57139999999993"/>
    <s v="Credit Card"/>
    <x v="1"/>
    <x v="0"/>
    <x v="0"/>
  </r>
  <r>
    <x v="13"/>
    <s v="SALE390"/>
    <x v="86"/>
    <x v="47"/>
    <x v="109"/>
    <x v="86"/>
    <x v="3"/>
    <n v="4"/>
    <n v="995.55"/>
    <n v="0.19"/>
    <n v="3225.5819999999999"/>
    <s v="PayPal"/>
    <x v="0"/>
    <x v="0"/>
    <x v="1"/>
  </r>
  <r>
    <x v="13"/>
    <s v="SALE895"/>
    <x v="86"/>
    <x v="607"/>
    <x v="220"/>
    <x v="86"/>
    <x v="3"/>
    <n v="1"/>
    <n v="38.950000000000003"/>
    <n v="0.28000000000000003"/>
    <n v="28.044"/>
    <s v="Credit Card"/>
    <x v="1"/>
    <x v="0"/>
    <x v="3"/>
  </r>
  <r>
    <x v="13"/>
    <s v="SALE1620"/>
    <x v="86"/>
    <x v="226"/>
    <x v="5"/>
    <x v="86"/>
    <x v="3"/>
    <n v="2"/>
    <n v="422.13"/>
    <n v="0.28000000000000003"/>
    <n v="607.86720000000003"/>
    <s v="Credit Card"/>
    <x v="1"/>
    <x v="0"/>
    <x v="2"/>
  </r>
  <r>
    <x v="13"/>
    <s v="SALE650"/>
    <x v="33"/>
    <x v="406"/>
    <x v="376"/>
    <x v="33"/>
    <x v="4"/>
    <n v="2"/>
    <n v="250.83"/>
    <n v="0.15"/>
    <n v="426.411"/>
    <s v="PayPal"/>
    <x v="1"/>
    <x v="0"/>
    <x v="1"/>
  </r>
  <r>
    <x v="13"/>
    <s v="SALE1425"/>
    <x v="33"/>
    <x v="136"/>
    <x v="345"/>
    <x v="33"/>
    <x v="4"/>
    <n v="4"/>
    <n v="348.58"/>
    <n v="0.16"/>
    <n v="1171.2288000000001"/>
    <s v="Credit Card"/>
    <x v="0"/>
    <x v="0"/>
    <x v="0"/>
  </r>
  <r>
    <x v="13"/>
    <s v="SALE1954"/>
    <x v="97"/>
    <x v="578"/>
    <x v="292"/>
    <x v="97"/>
    <x v="1"/>
    <n v="1"/>
    <n v="913.99"/>
    <n v="0.14000000000000001"/>
    <n v="786.03139999999996"/>
    <s v="Credit Card"/>
    <x v="0"/>
    <x v="0"/>
    <x v="1"/>
  </r>
  <r>
    <x v="13"/>
    <s v="SALE1468"/>
    <x v="34"/>
    <x v="18"/>
    <x v="239"/>
    <x v="34"/>
    <x v="1"/>
    <n v="2"/>
    <n v="42.51"/>
    <n v="0.04"/>
    <n v="81.619199999999992"/>
    <s v="COD"/>
    <x v="0"/>
    <x v="0"/>
    <x v="1"/>
  </r>
  <r>
    <x v="13"/>
    <s v="SALE226"/>
    <x v="87"/>
    <x v="360"/>
    <x v="266"/>
    <x v="87"/>
    <x v="3"/>
    <n v="4"/>
    <n v="585.04"/>
    <n v="0.22"/>
    <n v="1825.3248000000001"/>
    <s v="PayPal"/>
    <x v="1"/>
    <x v="0"/>
    <x v="2"/>
  </r>
  <r>
    <x v="13"/>
    <s v="SALE690"/>
    <x v="36"/>
    <x v="296"/>
    <x v="150"/>
    <x v="36"/>
    <x v="1"/>
    <n v="3"/>
    <n v="142.83000000000001"/>
    <n v="0.01"/>
    <n v="424.20510000000002"/>
    <s v="Credit Card"/>
    <x v="0"/>
    <x v="0"/>
    <x v="2"/>
  </r>
  <r>
    <x v="13"/>
    <s v="SALE1184"/>
    <x v="36"/>
    <x v="425"/>
    <x v="456"/>
    <x v="36"/>
    <x v="1"/>
    <n v="2"/>
    <n v="975.72"/>
    <n v="0.16"/>
    <n v="1639.2095999999999"/>
    <s v="COD"/>
    <x v="1"/>
    <x v="0"/>
    <x v="1"/>
  </r>
  <r>
    <x v="13"/>
    <s v="SALE185"/>
    <x v="36"/>
    <x v="366"/>
    <x v="293"/>
    <x v="36"/>
    <x v="1"/>
    <n v="3"/>
    <n v="476.78"/>
    <n v="0.09"/>
    <n v="1301.6094000000001"/>
    <s v="COD"/>
    <x v="1"/>
    <x v="0"/>
    <x v="2"/>
  </r>
  <r>
    <x v="13"/>
    <s v="SALE653"/>
    <x v="37"/>
    <x v="608"/>
    <x v="424"/>
    <x v="37"/>
    <x v="1"/>
    <n v="2"/>
    <n v="492.62"/>
    <n v="0.26"/>
    <n v="729.07759999999996"/>
    <s v="COD"/>
    <x v="0"/>
    <x v="0"/>
    <x v="0"/>
  </r>
  <r>
    <x v="13"/>
    <s v="SALE369"/>
    <x v="72"/>
    <x v="272"/>
    <x v="461"/>
    <x v="72"/>
    <x v="3"/>
    <n v="4"/>
    <n v="269.49"/>
    <n v="7.0000000000000007E-2"/>
    <n v="1002.5028"/>
    <s v="PayPal"/>
    <x v="1"/>
    <x v="0"/>
    <x v="2"/>
  </r>
  <r>
    <x v="13"/>
    <s v="SALE570"/>
    <x v="72"/>
    <x v="417"/>
    <x v="124"/>
    <x v="72"/>
    <x v="3"/>
    <n v="3"/>
    <n v="345.58"/>
    <n v="0.22"/>
    <n v="808.65719999999999"/>
    <s v="Credit Card"/>
    <x v="1"/>
    <x v="0"/>
    <x v="0"/>
  </r>
  <r>
    <x v="13"/>
    <s v="SALE1152"/>
    <x v="72"/>
    <x v="90"/>
    <x v="86"/>
    <x v="72"/>
    <x v="3"/>
    <n v="3"/>
    <n v="258.06"/>
    <n v="0"/>
    <n v="774.18000000000006"/>
    <s v="PayPal"/>
    <x v="0"/>
    <x v="0"/>
    <x v="2"/>
  </r>
  <r>
    <x v="13"/>
    <s v="SALE1390"/>
    <x v="38"/>
    <x v="0"/>
    <x v="50"/>
    <x v="38"/>
    <x v="1"/>
    <n v="1"/>
    <n v="997.87"/>
    <n v="0.24"/>
    <n v="758.38120000000004"/>
    <s v="Credit Card"/>
    <x v="0"/>
    <x v="0"/>
    <x v="2"/>
  </r>
  <r>
    <x v="13"/>
    <s v="SALE868"/>
    <x v="38"/>
    <x v="338"/>
    <x v="15"/>
    <x v="38"/>
    <x v="1"/>
    <n v="1"/>
    <n v="984.6"/>
    <n v="0.22"/>
    <n v="767.98800000000006"/>
    <s v="Credit Card"/>
    <x v="0"/>
    <x v="0"/>
    <x v="2"/>
  </r>
  <r>
    <x v="13"/>
    <s v="SALE249"/>
    <x v="88"/>
    <x v="28"/>
    <x v="1"/>
    <x v="88"/>
    <x v="2"/>
    <n v="2"/>
    <n v="894.58"/>
    <n v="0.25"/>
    <n v="1341.87"/>
    <s v="Credit Card"/>
    <x v="1"/>
    <x v="0"/>
    <x v="0"/>
  </r>
  <r>
    <x v="13"/>
    <s v="SALE862"/>
    <x v="73"/>
    <x v="495"/>
    <x v="420"/>
    <x v="73"/>
    <x v="1"/>
    <n v="4"/>
    <n v="770.65"/>
    <n v="0.27"/>
    <n v="2250.2979999999998"/>
    <s v="Credit Card"/>
    <x v="1"/>
    <x v="0"/>
    <x v="3"/>
  </r>
  <r>
    <x v="13"/>
    <s v="SALE1742"/>
    <x v="43"/>
    <x v="144"/>
    <x v="462"/>
    <x v="43"/>
    <x v="3"/>
    <n v="1"/>
    <n v="24.13"/>
    <n v="0"/>
    <n v="24.13"/>
    <s v="Credit Card"/>
    <x v="1"/>
    <x v="0"/>
    <x v="1"/>
  </r>
  <r>
    <x v="13"/>
    <s v="SALE408"/>
    <x v="44"/>
    <x v="409"/>
    <x v="388"/>
    <x v="44"/>
    <x v="0"/>
    <n v="3"/>
    <n v="220.51"/>
    <n v="0.02"/>
    <n v="648.29939999999999"/>
    <s v="PayPal"/>
    <x v="1"/>
    <x v="0"/>
    <x v="3"/>
  </r>
  <r>
    <x v="13"/>
    <s v="SALE1713"/>
    <x v="44"/>
    <x v="118"/>
    <x v="139"/>
    <x v="44"/>
    <x v="0"/>
    <n v="1"/>
    <n v="492"/>
    <n v="0.26"/>
    <n v="364.08"/>
    <s v="PayPal"/>
    <x v="0"/>
    <x v="0"/>
    <x v="2"/>
  </r>
  <r>
    <x v="13"/>
    <s v="SALE228"/>
    <x v="45"/>
    <x v="146"/>
    <x v="173"/>
    <x v="45"/>
    <x v="4"/>
    <n v="2"/>
    <n v="848.98"/>
    <n v="0.04"/>
    <n v="1630.0416"/>
    <s v="PayPal"/>
    <x v="1"/>
    <x v="0"/>
    <x v="1"/>
  </r>
  <r>
    <x v="13"/>
    <s v="SALE1907"/>
    <x v="90"/>
    <x v="465"/>
    <x v="164"/>
    <x v="90"/>
    <x v="0"/>
    <n v="4"/>
    <n v="849.29"/>
    <n v="0.26"/>
    <n v="2513.8984"/>
    <s v="Credit Card"/>
    <x v="0"/>
    <x v="0"/>
    <x v="3"/>
  </r>
  <r>
    <x v="13"/>
    <s v="SALE315"/>
    <x v="74"/>
    <x v="64"/>
    <x v="410"/>
    <x v="74"/>
    <x v="0"/>
    <n v="2"/>
    <n v="548.29999999999995"/>
    <n v="0.23"/>
    <n v="844.38199999999995"/>
    <s v="Credit Card"/>
    <x v="1"/>
    <x v="0"/>
    <x v="1"/>
  </r>
  <r>
    <x v="13"/>
    <s v="SALE1718"/>
    <x v="75"/>
    <x v="596"/>
    <x v="200"/>
    <x v="75"/>
    <x v="2"/>
    <n v="4"/>
    <n v="346.37"/>
    <n v="0.18"/>
    <n v="1136.0935999999999"/>
    <s v="COD"/>
    <x v="1"/>
    <x v="0"/>
    <x v="0"/>
  </r>
  <r>
    <x v="13"/>
    <s v="SALE1034"/>
    <x v="75"/>
    <x v="439"/>
    <x v="216"/>
    <x v="75"/>
    <x v="2"/>
    <n v="3"/>
    <n v="461.03"/>
    <n v="0.11"/>
    <n v="1230.9501"/>
    <s v="PayPal"/>
    <x v="1"/>
    <x v="0"/>
    <x v="1"/>
  </r>
  <r>
    <x v="13"/>
    <s v="SALE1093"/>
    <x v="75"/>
    <x v="285"/>
    <x v="170"/>
    <x v="75"/>
    <x v="2"/>
    <n v="2"/>
    <n v="845.27"/>
    <n v="0.18"/>
    <n v="1386.2428"/>
    <s v="PayPal"/>
    <x v="1"/>
    <x v="0"/>
    <x v="0"/>
  </r>
  <r>
    <x v="13"/>
    <s v="SALE743"/>
    <x v="76"/>
    <x v="467"/>
    <x v="97"/>
    <x v="76"/>
    <x v="2"/>
    <n v="3"/>
    <n v="339.41"/>
    <n v="0.26"/>
    <n v="753.49019999999996"/>
    <s v="Credit Card"/>
    <x v="1"/>
    <x v="0"/>
    <x v="2"/>
  </r>
  <r>
    <x v="13"/>
    <s v="SALE207"/>
    <x v="76"/>
    <x v="256"/>
    <x v="419"/>
    <x v="76"/>
    <x v="2"/>
    <n v="1"/>
    <n v="127.11"/>
    <n v="0.01"/>
    <n v="125.8389"/>
    <s v="PayPal"/>
    <x v="1"/>
    <x v="0"/>
    <x v="1"/>
  </r>
  <r>
    <x v="13"/>
    <s v="SALE1657"/>
    <x v="77"/>
    <x v="540"/>
    <x v="75"/>
    <x v="77"/>
    <x v="0"/>
    <n v="4"/>
    <n v="555.65"/>
    <n v="0.25"/>
    <n v="1666.95"/>
    <s v="COD"/>
    <x v="0"/>
    <x v="0"/>
    <x v="2"/>
  </r>
  <r>
    <x v="13"/>
    <s v="SALE630"/>
    <x v="77"/>
    <x v="361"/>
    <x v="25"/>
    <x v="77"/>
    <x v="0"/>
    <n v="4"/>
    <n v="432.29"/>
    <n v="0.16"/>
    <n v="1452.4944"/>
    <s v="COD"/>
    <x v="0"/>
    <x v="0"/>
    <x v="2"/>
  </r>
  <r>
    <x v="13"/>
    <s v="SALE1692"/>
    <x v="91"/>
    <x v="27"/>
    <x v="463"/>
    <x v="91"/>
    <x v="2"/>
    <n v="4"/>
    <n v="983.98"/>
    <n v="0.11"/>
    <n v="3502.9688000000001"/>
    <s v="COD"/>
    <x v="0"/>
    <x v="0"/>
    <x v="2"/>
  </r>
  <r>
    <x v="13"/>
    <s v="SALE836"/>
    <x v="47"/>
    <x v="188"/>
    <x v="69"/>
    <x v="47"/>
    <x v="3"/>
    <n v="1"/>
    <n v="867.32"/>
    <n v="0.28999999999999998"/>
    <n v="615.79719999999998"/>
    <s v="PayPal"/>
    <x v="1"/>
    <x v="0"/>
    <x v="3"/>
  </r>
  <r>
    <x v="13"/>
    <s v="SALE749"/>
    <x v="47"/>
    <x v="542"/>
    <x v="399"/>
    <x v="47"/>
    <x v="3"/>
    <n v="3"/>
    <n v="447.69"/>
    <n v="0.02"/>
    <n v="1316.2085999999999"/>
    <s v="COD"/>
    <x v="0"/>
    <x v="0"/>
    <x v="2"/>
  </r>
  <r>
    <x v="13"/>
    <s v="SALE897"/>
    <x v="48"/>
    <x v="504"/>
    <x v="134"/>
    <x v="48"/>
    <x v="1"/>
    <n v="1"/>
    <n v="113.07"/>
    <n v="0.24"/>
    <n v="85.933199999999999"/>
    <s v="Credit Card"/>
    <x v="0"/>
    <x v="0"/>
    <x v="3"/>
  </r>
  <r>
    <x v="13"/>
    <s v="SALE654"/>
    <x v="49"/>
    <x v="300"/>
    <x v="155"/>
    <x v="49"/>
    <x v="4"/>
    <n v="4"/>
    <n v="986.93"/>
    <n v="0.01"/>
    <n v="3908.2428"/>
    <s v="Credit Card"/>
    <x v="0"/>
    <x v="0"/>
    <x v="2"/>
  </r>
  <r>
    <x v="13"/>
    <s v="SALE779"/>
    <x v="50"/>
    <x v="597"/>
    <x v="81"/>
    <x v="50"/>
    <x v="2"/>
    <n v="3"/>
    <n v="413.74"/>
    <n v="0.01"/>
    <n v="1228.8078"/>
    <s v="Credit Card"/>
    <x v="1"/>
    <x v="0"/>
    <x v="1"/>
  </r>
  <r>
    <x v="13"/>
    <s v="SALE1789"/>
    <x v="52"/>
    <x v="54"/>
    <x v="97"/>
    <x v="52"/>
    <x v="3"/>
    <n v="2"/>
    <n v="403.91"/>
    <n v="7.0000000000000007E-2"/>
    <n v="751.27260000000001"/>
    <s v="Credit Card"/>
    <x v="1"/>
    <x v="0"/>
    <x v="2"/>
  </r>
  <r>
    <x v="13"/>
    <s v="SALE184"/>
    <x v="53"/>
    <x v="114"/>
    <x v="148"/>
    <x v="53"/>
    <x v="1"/>
    <n v="1"/>
    <n v="789.35"/>
    <n v="0.14000000000000001"/>
    <n v="678.84100000000001"/>
    <s v="PayPal"/>
    <x v="1"/>
    <x v="0"/>
    <x v="0"/>
  </r>
  <r>
    <x v="13"/>
    <s v="SALE111"/>
    <x v="54"/>
    <x v="410"/>
    <x v="75"/>
    <x v="54"/>
    <x v="0"/>
    <n v="2"/>
    <n v="845.71"/>
    <n v="0.01"/>
    <n v="1674.5057999999999"/>
    <s v="PayPal"/>
    <x v="0"/>
    <x v="0"/>
    <x v="2"/>
  </r>
  <r>
    <x v="13"/>
    <s v="SALE803"/>
    <x v="55"/>
    <x v="484"/>
    <x v="464"/>
    <x v="55"/>
    <x v="4"/>
    <n v="2"/>
    <n v="727.18"/>
    <n v="0.22"/>
    <n v="1134.4007999999999"/>
    <s v="PayPal"/>
    <x v="1"/>
    <x v="0"/>
    <x v="3"/>
  </r>
  <r>
    <x v="13"/>
    <s v="SALE1128"/>
    <x v="56"/>
    <x v="609"/>
    <x v="132"/>
    <x v="56"/>
    <x v="2"/>
    <n v="1"/>
    <n v="805.07"/>
    <n v="0.06"/>
    <n v="756.76580000000001"/>
    <s v="COD"/>
    <x v="0"/>
    <x v="0"/>
    <x v="3"/>
  </r>
  <r>
    <x v="13"/>
    <s v="SALE39"/>
    <x v="57"/>
    <x v="403"/>
    <x v="407"/>
    <x v="57"/>
    <x v="1"/>
    <n v="2"/>
    <n v="600.73"/>
    <n v="0.08"/>
    <n v="1105.3432"/>
    <s v="Credit Card"/>
    <x v="0"/>
    <x v="0"/>
    <x v="1"/>
  </r>
  <r>
    <x v="13"/>
    <s v="SALE1531"/>
    <x v="59"/>
    <x v="594"/>
    <x v="216"/>
    <x v="59"/>
    <x v="4"/>
    <n v="4"/>
    <n v="933.73"/>
    <n v="0.25"/>
    <n v="2801.19"/>
    <s v="PayPal"/>
    <x v="1"/>
    <x v="0"/>
    <x v="1"/>
  </r>
  <r>
    <x v="13"/>
    <s v="SALE1545"/>
    <x v="59"/>
    <x v="390"/>
    <x v="465"/>
    <x v="59"/>
    <x v="4"/>
    <n v="2"/>
    <n v="644.97"/>
    <n v="0.24"/>
    <n v="980.35440000000006"/>
    <s v="COD"/>
    <x v="1"/>
    <x v="0"/>
    <x v="2"/>
  </r>
  <r>
    <x v="13"/>
    <s v="SALE1117"/>
    <x v="59"/>
    <x v="473"/>
    <x v="190"/>
    <x v="59"/>
    <x v="4"/>
    <n v="4"/>
    <n v="723.66"/>
    <n v="0.03"/>
    <n v="2807.8008"/>
    <s v="PayPal"/>
    <x v="1"/>
    <x v="0"/>
    <x v="1"/>
  </r>
  <r>
    <x v="13"/>
    <s v="SALE1354"/>
    <x v="79"/>
    <x v="194"/>
    <x v="331"/>
    <x v="79"/>
    <x v="3"/>
    <n v="4"/>
    <n v="360.28"/>
    <n v="0.09"/>
    <n v="1311.4192"/>
    <s v="COD"/>
    <x v="1"/>
    <x v="0"/>
    <x v="2"/>
  </r>
  <r>
    <x v="13"/>
    <s v="SALE1609"/>
    <x v="79"/>
    <x v="30"/>
    <x v="405"/>
    <x v="79"/>
    <x v="3"/>
    <n v="4"/>
    <n v="44.07"/>
    <n v="0.28999999999999998"/>
    <n v="125.1588"/>
    <s v="COD"/>
    <x v="1"/>
    <x v="0"/>
    <x v="2"/>
  </r>
  <r>
    <x v="13"/>
    <s v="SALE0"/>
    <x v="79"/>
    <x v="263"/>
    <x v="62"/>
    <x v="79"/>
    <x v="3"/>
    <n v="1"/>
    <n v="218.04"/>
    <n v="0.09"/>
    <n v="198.41640000000001"/>
    <s v="Credit Card"/>
    <x v="0"/>
    <x v="0"/>
    <x v="3"/>
  </r>
  <r>
    <x v="13"/>
    <s v="SALE586"/>
    <x v="94"/>
    <x v="410"/>
    <x v="162"/>
    <x v="94"/>
    <x v="0"/>
    <n v="2"/>
    <n v="481.86"/>
    <n v="0.1"/>
    <n v="867.34800000000007"/>
    <s v="COD"/>
    <x v="0"/>
    <x v="0"/>
    <x v="3"/>
  </r>
  <r>
    <x v="13"/>
    <s v="SALE1940"/>
    <x v="94"/>
    <x v="129"/>
    <x v="28"/>
    <x v="94"/>
    <x v="0"/>
    <n v="3"/>
    <n v="212.08"/>
    <n v="7.0000000000000007E-2"/>
    <n v="591.70319999999992"/>
    <s v="Credit Card"/>
    <x v="0"/>
    <x v="0"/>
    <x v="0"/>
  </r>
  <r>
    <x v="13"/>
    <s v="SALE786"/>
    <x v="80"/>
    <x v="299"/>
    <x v="259"/>
    <x v="80"/>
    <x v="2"/>
    <n v="3"/>
    <n v="761.88"/>
    <n v="0.23"/>
    <n v="1759.9428"/>
    <s v="PayPal"/>
    <x v="0"/>
    <x v="0"/>
    <x v="0"/>
  </r>
  <r>
    <x v="13"/>
    <s v="SALE29"/>
    <x v="80"/>
    <x v="452"/>
    <x v="169"/>
    <x v="80"/>
    <x v="2"/>
    <n v="3.4011295180722891"/>
    <n v="451.67"/>
    <n v="0.15"/>
    <n v="1535.6780000000001"/>
    <s v="Credit Card"/>
    <x v="0"/>
    <x v="0"/>
    <x v="0"/>
  </r>
  <r>
    <x v="14"/>
    <s v="SALE1121"/>
    <x v="98"/>
    <x v="54"/>
    <x v="44"/>
    <x v="98"/>
    <x v="0"/>
    <n v="3"/>
    <n v="819.93"/>
    <n v="0.08"/>
    <n v="2263.0068000000001"/>
    <s v="PayPal"/>
    <x v="0"/>
    <x v="0"/>
    <x v="1"/>
  </r>
  <r>
    <x v="14"/>
    <s v="SALE771"/>
    <x v="60"/>
    <x v="438"/>
    <x v="414"/>
    <x v="60"/>
    <x v="2"/>
    <n v="1"/>
    <n v="768.25"/>
    <n v="0.18"/>
    <n v="629.96500000000003"/>
    <s v="Credit Card"/>
    <x v="0"/>
    <x v="0"/>
    <x v="1"/>
  </r>
  <r>
    <x v="14"/>
    <s v="SALE824"/>
    <x v="0"/>
    <x v="559"/>
    <x v="13"/>
    <x v="0"/>
    <x v="0"/>
    <n v="4"/>
    <n v="780.07"/>
    <n v="0.03"/>
    <n v="3026.6716000000001"/>
    <s v="Credit Card"/>
    <x v="1"/>
    <x v="0"/>
    <x v="3"/>
  </r>
  <r>
    <x v="14"/>
    <s v="SALE1752"/>
    <x v="1"/>
    <x v="459"/>
    <x v="13"/>
    <x v="1"/>
    <x v="1"/>
    <n v="4"/>
    <n v="676.14"/>
    <n v="0.11"/>
    <n v="2407.0583999999999"/>
    <s v="COD"/>
    <x v="1"/>
    <x v="0"/>
    <x v="3"/>
  </r>
  <r>
    <x v="14"/>
    <s v="SALE1980"/>
    <x v="2"/>
    <x v="22"/>
    <x v="382"/>
    <x v="2"/>
    <x v="2"/>
    <n v="2"/>
    <n v="353.74"/>
    <n v="0.01"/>
    <n v="700.40520000000004"/>
    <s v="Credit Card"/>
    <x v="1"/>
    <x v="0"/>
    <x v="1"/>
  </r>
  <r>
    <x v="14"/>
    <s v="SALE1357"/>
    <x v="62"/>
    <x v="610"/>
    <x v="274"/>
    <x v="62"/>
    <x v="0"/>
    <n v="3"/>
    <n v="83.5"/>
    <n v="0.23"/>
    <n v="192.88499999999999"/>
    <s v="COD"/>
    <x v="0"/>
    <x v="0"/>
    <x v="3"/>
  </r>
  <r>
    <x v="14"/>
    <s v="SALE1656"/>
    <x v="62"/>
    <x v="334"/>
    <x v="466"/>
    <x v="62"/>
    <x v="0"/>
    <n v="3"/>
    <n v="471.19"/>
    <n v="0.28000000000000003"/>
    <n v="1017.7704"/>
    <s v="COD"/>
    <x v="0"/>
    <x v="0"/>
    <x v="3"/>
  </r>
  <r>
    <x v="14"/>
    <s v="SALE634"/>
    <x v="4"/>
    <x v="611"/>
    <x v="200"/>
    <x v="4"/>
    <x v="3"/>
    <n v="1"/>
    <n v="373.06"/>
    <n v="0.11"/>
    <n v="332.02339999999998"/>
    <s v="PayPal"/>
    <x v="1"/>
    <x v="0"/>
    <x v="0"/>
  </r>
  <r>
    <x v="14"/>
    <s v="SALE93"/>
    <x v="6"/>
    <x v="262"/>
    <x v="95"/>
    <x v="6"/>
    <x v="3"/>
    <n v="2"/>
    <n v="327.52"/>
    <n v="0.15"/>
    <n v="556.78399999999999"/>
    <s v="PayPal"/>
    <x v="1"/>
    <x v="0"/>
    <x v="0"/>
  </r>
  <r>
    <x v="14"/>
    <s v="SALE809"/>
    <x v="82"/>
    <x v="379"/>
    <x v="199"/>
    <x v="82"/>
    <x v="4"/>
    <n v="2"/>
    <n v="803.3"/>
    <n v="0.17"/>
    <n v="1333.4780000000001"/>
    <s v="Credit Card"/>
    <x v="0"/>
    <x v="0"/>
    <x v="0"/>
  </r>
  <r>
    <x v="14"/>
    <s v="SALE318"/>
    <x v="82"/>
    <x v="281"/>
    <x v="467"/>
    <x v="82"/>
    <x v="4"/>
    <n v="2"/>
    <n v="123.19"/>
    <n v="0.19"/>
    <n v="199.56780000000001"/>
    <s v="Credit Card"/>
    <x v="0"/>
    <x v="0"/>
    <x v="0"/>
  </r>
  <r>
    <x v="14"/>
    <s v="SALE802"/>
    <x v="82"/>
    <x v="612"/>
    <x v="457"/>
    <x v="82"/>
    <x v="4"/>
    <n v="2"/>
    <n v="333.83"/>
    <n v="0.26"/>
    <n v="494.0684"/>
    <s v="PayPal"/>
    <x v="1"/>
    <x v="0"/>
    <x v="1"/>
  </r>
  <r>
    <x v="14"/>
    <s v="SALE500"/>
    <x v="82"/>
    <x v="395"/>
    <x v="395"/>
    <x v="82"/>
    <x v="4"/>
    <n v="4"/>
    <n v="106.66"/>
    <n v="0.2"/>
    <n v="341.31200000000001"/>
    <s v="COD"/>
    <x v="1"/>
    <x v="0"/>
    <x v="1"/>
  </r>
  <r>
    <x v="14"/>
    <s v="SALE776"/>
    <x v="7"/>
    <x v="305"/>
    <x v="122"/>
    <x v="7"/>
    <x v="3"/>
    <n v="3"/>
    <n v="909.25"/>
    <n v="0.28999999999999998"/>
    <n v="1936.7025000000001"/>
    <s v="COD"/>
    <x v="0"/>
    <x v="0"/>
    <x v="1"/>
  </r>
  <r>
    <x v="14"/>
    <s v="SALE1119"/>
    <x v="8"/>
    <x v="613"/>
    <x v="103"/>
    <x v="8"/>
    <x v="2"/>
    <n v="2"/>
    <n v="961.84"/>
    <n v="0.25"/>
    <n v="1442.76"/>
    <s v="PayPal"/>
    <x v="0"/>
    <x v="0"/>
    <x v="3"/>
  </r>
  <r>
    <x v="14"/>
    <s v="SALE889"/>
    <x v="63"/>
    <x v="533"/>
    <x v="136"/>
    <x v="63"/>
    <x v="4"/>
    <n v="3"/>
    <n v="70.97"/>
    <n v="0.06"/>
    <n v="200.1354"/>
    <s v="COD"/>
    <x v="0"/>
    <x v="0"/>
    <x v="0"/>
  </r>
  <r>
    <x v="14"/>
    <s v="SALE1961"/>
    <x v="64"/>
    <x v="39"/>
    <x v="403"/>
    <x v="64"/>
    <x v="3"/>
    <n v="2"/>
    <n v="92.94"/>
    <n v="0.12"/>
    <n v="163.5744"/>
    <s v="Credit Card"/>
    <x v="1"/>
    <x v="0"/>
    <x v="2"/>
  </r>
  <r>
    <x v="14"/>
    <s v="SALE17"/>
    <x v="12"/>
    <x v="143"/>
    <x v="468"/>
    <x v="12"/>
    <x v="2"/>
    <n v="2"/>
    <n v="502.69"/>
    <n v="0.23"/>
    <n v="774.14260000000002"/>
    <s v="Credit Card"/>
    <x v="1"/>
    <x v="0"/>
    <x v="1"/>
  </r>
  <r>
    <x v="14"/>
    <s v="SALE842"/>
    <x v="12"/>
    <x v="34"/>
    <x v="469"/>
    <x v="12"/>
    <x v="2"/>
    <n v="1"/>
    <n v="964.11"/>
    <n v="0.17"/>
    <n v="800.21129999999994"/>
    <s v="COD"/>
    <x v="0"/>
    <x v="0"/>
    <x v="1"/>
  </r>
  <r>
    <x v="14"/>
    <s v="SALE1923"/>
    <x v="12"/>
    <x v="300"/>
    <x v="191"/>
    <x v="12"/>
    <x v="2"/>
    <n v="2"/>
    <n v="846.35"/>
    <n v="0.3"/>
    <n v="1184.8900000000001"/>
    <s v="COD"/>
    <x v="1"/>
    <x v="0"/>
    <x v="3"/>
  </r>
  <r>
    <x v="14"/>
    <s v="SALE820"/>
    <x v="13"/>
    <x v="273"/>
    <x v="406"/>
    <x v="13"/>
    <x v="3"/>
    <n v="2"/>
    <n v="278.16000000000003"/>
    <n v="0.22"/>
    <n v="433.92960000000011"/>
    <s v="PayPal"/>
    <x v="1"/>
    <x v="0"/>
    <x v="1"/>
  </r>
  <r>
    <x v="14"/>
    <s v="SALE1489"/>
    <x v="13"/>
    <x v="418"/>
    <x v="217"/>
    <x v="13"/>
    <x v="3"/>
    <n v="3"/>
    <n v="199.41"/>
    <n v="0.16"/>
    <n v="502.51319999999998"/>
    <s v="COD"/>
    <x v="0"/>
    <x v="0"/>
    <x v="3"/>
  </r>
  <r>
    <x v="14"/>
    <s v="SALE669"/>
    <x v="99"/>
    <x v="352"/>
    <x v="129"/>
    <x v="99"/>
    <x v="2"/>
    <n v="2"/>
    <n v="145.18"/>
    <n v="0.26"/>
    <n v="214.8664"/>
    <s v="PayPal"/>
    <x v="1"/>
    <x v="0"/>
    <x v="3"/>
  </r>
  <r>
    <x v="14"/>
    <s v="SALE446"/>
    <x v="99"/>
    <x v="450"/>
    <x v="35"/>
    <x v="99"/>
    <x v="2"/>
    <n v="2"/>
    <n v="527.51"/>
    <n v="0.18"/>
    <n v="865.1164"/>
    <s v="PayPal"/>
    <x v="1"/>
    <x v="0"/>
    <x v="0"/>
  </r>
  <r>
    <x v="14"/>
    <s v="SALE1817"/>
    <x v="99"/>
    <x v="614"/>
    <x v="116"/>
    <x v="99"/>
    <x v="2"/>
    <n v="2"/>
    <n v="823.36"/>
    <n v="0.23"/>
    <n v="1267.9744000000001"/>
    <s v="Credit Card"/>
    <x v="0"/>
    <x v="0"/>
    <x v="0"/>
  </r>
  <r>
    <x v="14"/>
    <s v="SALE984"/>
    <x v="99"/>
    <x v="188"/>
    <x v="255"/>
    <x v="99"/>
    <x v="2"/>
    <n v="4"/>
    <n v="465.42"/>
    <n v="0.26"/>
    <n v="1377.6432"/>
    <s v="COD"/>
    <x v="1"/>
    <x v="0"/>
    <x v="3"/>
  </r>
  <r>
    <x v="14"/>
    <s v="SALE1209"/>
    <x v="65"/>
    <x v="551"/>
    <x v="241"/>
    <x v="65"/>
    <x v="2"/>
    <n v="4"/>
    <n v="153.94999999999999"/>
    <n v="0.11"/>
    <n v="548.06200000000001"/>
    <s v="PayPal"/>
    <x v="0"/>
    <x v="0"/>
    <x v="1"/>
  </r>
  <r>
    <x v="14"/>
    <s v="SALE1045"/>
    <x v="65"/>
    <x v="615"/>
    <x v="450"/>
    <x v="65"/>
    <x v="2"/>
    <n v="3"/>
    <n v="272.27"/>
    <n v="0.01"/>
    <n v="808.64189999999996"/>
    <s v="Credit Card"/>
    <x v="1"/>
    <x v="0"/>
    <x v="1"/>
  </r>
  <r>
    <x v="14"/>
    <s v="SALE708"/>
    <x v="66"/>
    <x v="118"/>
    <x v="379"/>
    <x v="66"/>
    <x v="3"/>
    <n v="4"/>
    <n v="681.08"/>
    <n v="0"/>
    <n v="2724.32"/>
    <s v="PayPal"/>
    <x v="0"/>
    <x v="0"/>
    <x v="0"/>
  </r>
  <r>
    <x v="14"/>
    <s v="SALE320"/>
    <x v="67"/>
    <x v="344"/>
    <x v="296"/>
    <x v="67"/>
    <x v="1"/>
    <n v="3"/>
    <n v="601.92999999999995"/>
    <n v="0.14000000000000001"/>
    <n v="1552.9793999999999"/>
    <s v="Credit Card"/>
    <x v="1"/>
    <x v="0"/>
    <x v="2"/>
  </r>
  <r>
    <x v="14"/>
    <s v="SALE1263"/>
    <x v="67"/>
    <x v="386"/>
    <x v="417"/>
    <x v="67"/>
    <x v="1"/>
    <n v="3"/>
    <n v="918.76"/>
    <n v="0.2"/>
    <n v="2205.0239999999999"/>
    <s v="PayPal"/>
    <x v="1"/>
    <x v="0"/>
    <x v="3"/>
  </r>
  <r>
    <x v="14"/>
    <s v="SALE201"/>
    <x v="15"/>
    <x v="47"/>
    <x v="209"/>
    <x v="15"/>
    <x v="2"/>
    <n v="1"/>
    <n v="885.72"/>
    <n v="0.15"/>
    <n v="752.86199999999997"/>
    <s v="Credit Card"/>
    <x v="1"/>
    <x v="0"/>
    <x v="2"/>
  </r>
  <r>
    <x v="14"/>
    <s v="SALE103"/>
    <x v="16"/>
    <x v="616"/>
    <x v="361"/>
    <x v="16"/>
    <x v="0"/>
    <n v="4"/>
    <n v="925.19"/>
    <n v="0.19"/>
    <n v="2997.615600000001"/>
    <s v="PayPal"/>
    <x v="1"/>
    <x v="0"/>
    <x v="0"/>
  </r>
  <r>
    <x v="14"/>
    <s v="SALE382"/>
    <x v="16"/>
    <x v="181"/>
    <x v="358"/>
    <x v="16"/>
    <x v="0"/>
    <n v="2"/>
    <n v="56.91"/>
    <n v="0.08"/>
    <n v="104.7144"/>
    <s v="COD"/>
    <x v="0"/>
    <x v="0"/>
    <x v="1"/>
  </r>
  <r>
    <x v="14"/>
    <s v="SALE1308"/>
    <x v="16"/>
    <x v="617"/>
    <x v="428"/>
    <x v="16"/>
    <x v="0"/>
    <n v="2"/>
    <n v="511.7"/>
    <n v="0.12"/>
    <n v="900.59199999999998"/>
    <s v="COD"/>
    <x v="0"/>
    <x v="0"/>
    <x v="2"/>
  </r>
  <r>
    <x v="14"/>
    <s v="SALE1410"/>
    <x v="17"/>
    <x v="326"/>
    <x v="209"/>
    <x v="17"/>
    <x v="2"/>
    <n v="2"/>
    <n v="326.85000000000002"/>
    <n v="0.17"/>
    <n v="542.57100000000003"/>
    <s v="COD"/>
    <x v="1"/>
    <x v="0"/>
    <x v="2"/>
  </r>
  <r>
    <x v="14"/>
    <s v="SALE1589"/>
    <x v="18"/>
    <x v="134"/>
    <x v="365"/>
    <x v="18"/>
    <x v="4"/>
    <n v="3"/>
    <n v="811.45"/>
    <n v="0.26"/>
    <n v="1801.4190000000001"/>
    <s v="Credit Card"/>
    <x v="1"/>
    <x v="0"/>
    <x v="1"/>
  </r>
  <r>
    <x v="14"/>
    <s v="SALE332"/>
    <x v="18"/>
    <x v="618"/>
    <x v="180"/>
    <x v="18"/>
    <x v="4"/>
    <n v="3"/>
    <n v="399.42"/>
    <n v="0.02"/>
    <n v="1174.2947999999999"/>
    <s v="Credit Card"/>
    <x v="1"/>
    <x v="0"/>
    <x v="2"/>
  </r>
  <r>
    <x v="14"/>
    <s v="SALE18"/>
    <x v="21"/>
    <x v="619"/>
    <x v="129"/>
    <x v="21"/>
    <x v="0"/>
    <n v="2"/>
    <n v="559.23"/>
    <n v="0.25"/>
    <n v="838.84500000000003"/>
    <s v="COD"/>
    <x v="1"/>
    <x v="0"/>
    <x v="3"/>
  </r>
  <r>
    <x v="14"/>
    <s v="SALE1205"/>
    <x v="21"/>
    <x v="206"/>
    <x v="386"/>
    <x v="21"/>
    <x v="0"/>
    <n v="4"/>
    <n v="983.38"/>
    <n v="0.25"/>
    <n v="2950.14"/>
    <s v="COD"/>
    <x v="1"/>
    <x v="0"/>
    <x v="1"/>
  </r>
  <r>
    <x v="14"/>
    <s v="SALE1377"/>
    <x v="21"/>
    <x v="531"/>
    <x v="153"/>
    <x v="21"/>
    <x v="0"/>
    <n v="4"/>
    <n v="995.4"/>
    <n v="0.27"/>
    <n v="2906.5680000000002"/>
    <s v="Credit Card"/>
    <x v="1"/>
    <x v="0"/>
    <x v="3"/>
  </r>
  <r>
    <x v="14"/>
    <s v="SALE443"/>
    <x v="22"/>
    <x v="260"/>
    <x v="16"/>
    <x v="22"/>
    <x v="0"/>
    <n v="4"/>
    <n v="753.49"/>
    <n v="0.26"/>
    <n v="2230.3303999999998"/>
    <s v="COD"/>
    <x v="1"/>
    <x v="0"/>
    <x v="3"/>
  </r>
  <r>
    <x v="14"/>
    <s v="SALE856"/>
    <x v="23"/>
    <x v="620"/>
    <x v="470"/>
    <x v="23"/>
    <x v="0"/>
    <n v="1"/>
    <n v="913.98"/>
    <n v="0.27"/>
    <n v="667.20539999999994"/>
    <s v="PayPal"/>
    <x v="1"/>
    <x v="0"/>
    <x v="0"/>
  </r>
  <r>
    <x v="14"/>
    <s v="SALE712"/>
    <x v="68"/>
    <x v="556"/>
    <x v="13"/>
    <x v="68"/>
    <x v="0"/>
    <n v="1"/>
    <n v="651.30999999999995"/>
    <n v="0.24"/>
    <n v="494.99560000000002"/>
    <s v="PayPal"/>
    <x v="1"/>
    <x v="0"/>
    <x v="3"/>
  </r>
  <r>
    <x v="14"/>
    <s v="SALE1866"/>
    <x v="68"/>
    <x v="314"/>
    <x v="242"/>
    <x v="68"/>
    <x v="0"/>
    <n v="3"/>
    <n v="523.66"/>
    <n v="0.27"/>
    <n v="1146.8154"/>
    <s v="PayPal"/>
    <x v="1"/>
    <x v="0"/>
    <x v="3"/>
  </r>
  <r>
    <x v="14"/>
    <s v="SALE511"/>
    <x v="68"/>
    <x v="362"/>
    <x v="378"/>
    <x v="68"/>
    <x v="0"/>
    <n v="3"/>
    <n v="307.48"/>
    <n v="0.24"/>
    <n v="701.0544000000001"/>
    <s v="Credit Card"/>
    <x v="1"/>
    <x v="0"/>
    <x v="0"/>
  </r>
  <r>
    <x v="14"/>
    <s v="SALE1031"/>
    <x v="69"/>
    <x v="621"/>
    <x v="182"/>
    <x v="69"/>
    <x v="3"/>
    <n v="1"/>
    <n v="34.51"/>
    <n v="0.04"/>
    <n v="33.129600000000003"/>
    <s v="COD"/>
    <x v="0"/>
    <x v="0"/>
    <x v="0"/>
  </r>
  <r>
    <x v="14"/>
    <s v="SALE1019"/>
    <x v="24"/>
    <x v="398"/>
    <x v="418"/>
    <x v="24"/>
    <x v="3"/>
    <n v="2"/>
    <n v="825.04"/>
    <n v="0.2"/>
    <n v="1320.0640000000001"/>
    <s v="Credit Card"/>
    <x v="1"/>
    <x v="0"/>
    <x v="1"/>
  </r>
  <r>
    <x v="14"/>
    <s v="SALE117"/>
    <x v="25"/>
    <x v="423"/>
    <x v="199"/>
    <x v="25"/>
    <x v="4"/>
    <n v="3"/>
    <n v="479.63"/>
    <n v="0.3"/>
    <n v="1007.223"/>
    <s v="PayPal"/>
    <x v="0"/>
    <x v="0"/>
    <x v="0"/>
  </r>
  <r>
    <x v="14"/>
    <s v="SALE1464"/>
    <x v="25"/>
    <x v="135"/>
    <x v="151"/>
    <x v="25"/>
    <x v="4"/>
    <n v="1"/>
    <n v="695.26"/>
    <n v="0.23"/>
    <n v="535.35019999999997"/>
    <s v="PayPal"/>
    <x v="1"/>
    <x v="0"/>
    <x v="1"/>
  </r>
  <r>
    <x v="14"/>
    <s v="SALE1975"/>
    <x v="28"/>
    <x v="535"/>
    <x v="342"/>
    <x v="28"/>
    <x v="4"/>
    <n v="2"/>
    <n v="227.95"/>
    <n v="0.24"/>
    <n v="346.48399999999998"/>
    <s v="COD"/>
    <x v="0"/>
    <x v="0"/>
    <x v="0"/>
  </r>
  <r>
    <x v="14"/>
    <s v="SALE1853"/>
    <x v="28"/>
    <x v="280"/>
    <x v="76"/>
    <x v="28"/>
    <x v="4"/>
    <n v="1"/>
    <n v="47.47"/>
    <n v="0.28000000000000003"/>
    <n v="34.178400000000003"/>
    <s v="Credit Card"/>
    <x v="0"/>
    <x v="0"/>
    <x v="1"/>
  </r>
  <r>
    <x v="14"/>
    <s v="SALE1146"/>
    <x v="29"/>
    <x v="515"/>
    <x v="13"/>
    <x v="29"/>
    <x v="3"/>
    <n v="4"/>
    <n v="594.89"/>
    <n v="0.3"/>
    <n v="1665.692"/>
    <s v="PayPal"/>
    <x v="1"/>
    <x v="0"/>
    <x v="3"/>
  </r>
  <r>
    <x v="14"/>
    <s v="SALE1708"/>
    <x v="29"/>
    <x v="582"/>
    <x v="13"/>
    <x v="29"/>
    <x v="3"/>
    <n v="3"/>
    <n v="766.47"/>
    <n v="0.18"/>
    <n v="1885.5162"/>
    <s v="Credit Card"/>
    <x v="1"/>
    <x v="0"/>
    <x v="3"/>
  </r>
  <r>
    <x v="14"/>
    <s v="SALE1671"/>
    <x v="29"/>
    <x v="622"/>
    <x v="227"/>
    <x v="29"/>
    <x v="3"/>
    <n v="4"/>
    <n v="943.36"/>
    <n v="0.18"/>
    <n v="3094.2208000000001"/>
    <s v="PayPal"/>
    <x v="1"/>
    <x v="0"/>
    <x v="1"/>
  </r>
  <r>
    <x v="14"/>
    <s v="SALE1016"/>
    <x v="70"/>
    <x v="610"/>
    <x v="107"/>
    <x v="70"/>
    <x v="4"/>
    <n v="3"/>
    <n v="155.87"/>
    <n v="0.03"/>
    <n v="453.58170000000001"/>
    <s v="COD"/>
    <x v="1"/>
    <x v="0"/>
    <x v="3"/>
  </r>
  <r>
    <x v="14"/>
    <s v="SALE1663"/>
    <x v="30"/>
    <x v="623"/>
    <x v="41"/>
    <x v="30"/>
    <x v="3"/>
    <n v="1"/>
    <n v="62.26"/>
    <n v="0.03"/>
    <n v="60.392200000000003"/>
    <s v="COD"/>
    <x v="1"/>
    <x v="0"/>
    <x v="3"/>
  </r>
  <r>
    <x v="14"/>
    <s v="SALE6"/>
    <x v="32"/>
    <x v="308"/>
    <x v="405"/>
    <x v="32"/>
    <x v="2"/>
    <n v="2"/>
    <n v="785.31"/>
    <n v="0.15"/>
    <n v="1335.027"/>
    <s v="PayPal"/>
    <x v="1"/>
    <x v="0"/>
    <x v="2"/>
  </r>
  <r>
    <x v="14"/>
    <s v="SALE133"/>
    <x v="86"/>
    <x v="394"/>
    <x v="57"/>
    <x v="86"/>
    <x v="3"/>
    <n v="2"/>
    <n v="267.19"/>
    <n v="7.0000000000000007E-2"/>
    <n v="496.97340000000003"/>
    <s v="Credit Card"/>
    <x v="1"/>
    <x v="0"/>
    <x v="2"/>
  </r>
  <r>
    <x v="14"/>
    <s v="SALE1295"/>
    <x v="71"/>
    <x v="57"/>
    <x v="414"/>
    <x v="71"/>
    <x v="1"/>
    <n v="3"/>
    <n v="543.49"/>
    <n v="0.05"/>
    <n v="1548.9465"/>
    <s v="PayPal"/>
    <x v="0"/>
    <x v="0"/>
    <x v="1"/>
  </r>
  <r>
    <x v="14"/>
    <s v="SALE1737"/>
    <x v="71"/>
    <x v="587"/>
    <x v="132"/>
    <x v="71"/>
    <x v="1"/>
    <n v="1"/>
    <n v="88.78"/>
    <n v="0.18"/>
    <n v="72.799600000000012"/>
    <s v="Credit Card"/>
    <x v="0"/>
    <x v="0"/>
    <x v="3"/>
  </r>
  <r>
    <x v="14"/>
    <s v="SALE1514"/>
    <x v="87"/>
    <x v="312"/>
    <x v="24"/>
    <x v="87"/>
    <x v="3"/>
    <n v="1"/>
    <n v="994.18"/>
    <n v="0.05"/>
    <n v="944.47099999999989"/>
    <s v="PayPal"/>
    <x v="1"/>
    <x v="0"/>
    <x v="0"/>
  </r>
  <r>
    <x v="14"/>
    <s v="SALE1015"/>
    <x v="35"/>
    <x v="36"/>
    <x v="431"/>
    <x v="35"/>
    <x v="0"/>
    <n v="4"/>
    <n v="139.05000000000001"/>
    <n v="0.28999999999999998"/>
    <n v="394.90199999999999"/>
    <s v="COD"/>
    <x v="0"/>
    <x v="0"/>
    <x v="3"/>
  </r>
  <r>
    <x v="14"/>
    <s v="SALE626"/>
    <x v="35"/>
    <x v="347"/>
    <x v="24"/>
    <x v="35"/>
    <x v="0"/>
    <n v="3"/>
    <n v="392.65"/>
    <n v="0.17"/>
    <n v="977.69849999999985"/>
    <s v="PayPal"/>
    <x v="1"/>
    <x v="0"/>
    <x v="0"/>
  </r>
  <r>
    <x v="14"/>
    <s v="SALE266"/>
    <x v="37"/>
    <x v="557"/>
    <x v="85"/>
    <x v="37"/>
    <x v="1"/>
    <n v="4"/>
    <n v="779.25"/>
    <n v="0.25"/>
    <n v="2337.75"/>
    <s v="Credit Card"/>
    <x v="1"/>
    <x v="0"/>
    <x v="0"/>
  </r>
  <r>
    <x v="14"/>
    <s v="SALE826"/>
    <x v="72"/>
    <x v="474"/>
    <x v="46"/>
    <x v="72"/>
    <x v="3"/>
    <n v="4"/>
    <n v="277.58"/>
    <n v="0.22"/>
    <n v="866.04959999999994"/>
    <s v="PayPal"/>
    <x v="1"/>
    <x v="0"/>
    <x v="3"/>
  </r>
  <r>
    <x v="14"/>
    <s v="SALE670"/>
    <x v="39"/>
    <x v="369"/>
    <x v="121"/>
    <x v="39"/>
    <x v="0"/>
    <n v="2"/>
    <n v="132.77000000000001"/>
    <n v="0.13"/>
    <n v="231.0198"/>
    <s v="COD"/>
    <x v="0"/>
    <x v="0"/>
    <x v="1"/>
  </r>
  <r>
    <x v="14"/>
    <s v="SALE1460"/>
    <x v="88"/>
    <x v="387"/>
    <x v="381"/>
    <x v="88"/>
    <x v="2"/>
    <n v="2"/>
    <n v="821.35"/>
    <n v="0.11"/>
    <n v="1462.0029999999999"/>
    <s v="PayPal"/>
    <x v="1"/>
    <x v="0"/>
    <x v="1"/>
  </r>
  <r>
    <x v="14"/>
    <s v="SALE193"/>
    <x v="89"/>
    <x v="293"/>
    <x v="240"/>
    <x v="89"/>
    <x v="2"/>
    <n v="1"/>
    <n v="271.76"/>
    <n v="0.03"/>
    <n v="263.60719999999998"/>
    <s v="Credit Card"/>
    <x v="0"/>
    <x v="0"/>
    <x v="0"/>
  </r>
  <r>
    <x v="14"/>
    <s v="SALE429"/>
    <x v="89"/>
    <x v="45"/>
    <x v="31"/>
    <x v="89"/>
    <x v="2"/>
    <n v="4"/>
    <n v="149.83000000000001"/>
    <n v="0.02"/>
    <n v="587.33360000000005"/>
    <s v="Credit Card"/>
    <x v="0"/>
    <x v="0"/>
    <x v="1"/>
  </r>
  <r>
    <x v="14"/>
    <s v="SALE1746"/>
    <x v="41"/>
    <x v="323"/>
    <x v="265"/>
    <x v="41"/>
    <x v="2"/>
    <n v="4"/>
    <n v="640.91"/>
    <n v="0.06"/>
    <n v="2409.8216000000002"/>
    <s v="Credit Card"/>
    <x v="0"/>
    <x v="0"/>
    <x v="3"/>
  </r>
  <r>
    <x v="14"/>
    <s v="SALE1257"/>
    <x v="41"/>
    <x v="247"/>
    <x v="71"/>
    <x v="41"/>
    <x v="2"/>
    <n v="4"/>
    <n v="662.43"/>
    <n v="0.24"/>
    <n v="2013.7872"/>
    <s v="PayPal"/>
    <x v="0"/>
    <x v="0"/>
    <x v="0"/>
  </r>
  <r>
    <x v="14"/>
    <s v="SALE830"/>
    <x v="41"/>
    <x v="595"/>
    <x v="323"/>
    <x v="41"/>
    <x v="2"/>
    <n v="3"/>
    <n v="698.72"/>
    <n v="0.28000000000000003"/>
    <n v="1509.2352000000001"/>
    <s v="COD"/>
    <x v="1"/>
    <x v="0"/>
    <x v="0"/>
  </r>
  <r>
    <x v="14"/>
    <s v="SALE1213"/>
    <x v="42"/>
    <x v="8"/>
    <x v="157"/>
    <x v="42"/>
    <x v="3"/>
    <n v="1"/>
    <n v="41.39"/>
    <n v="0.01"/>
    <n v="40.976100000000002"/>
    <s v="Credit Card"/>
    <x v="1"/>
    <x v="0"/>
    <x v="3"/>
  </r>
  <r>
    <x v="14"/>
    <s v="SALE1863"/>
    <x v="43"/>
    <x v="330"/>
    <x v="402"/>
    <x v="43"/>
    <x v="3"/>
    <n v="4"/>
    <n v="834.7"/>
    <n v="0.14000000000000001"/>
    <n v="2871.3679999999999"/>
    <s v="Credit Card"/>
    <x v="1"/>
    <x v="0"/>
    <x v="0"/>
  </r>
  <r>
    <x v="14"/>
    <s v="SALE376"/>
    <x v="43"/>
    <x v="292"/>
    <x v="304"/>
    <x v="43"/>
    <x v="3"/>
    <n v="4"/>
    <n v="693.16"/>
    <n v="0.05"/>
    <n v="2634.0079999999998"/>
    <s v="PayPal"/>
    <x v="1"/>
    <x v="0"/>
    <x v="1"/>
  </r>
  <r>
    <x v="14"/>
    <s v="SALE788"/>
    <x v="43"/>
    <x v="184"/>
    <x v="471"/>
    <x v="43"/>
    <x v="3"/>
    <n v="4"/>
    <n v="753"/>
    <n v="0.28000000000000003"/>
    <n v="2168.64"/>
    <s v="COD"/>
    <x v="1"/>
    <x v="0"/>
    <x v="1"/>
  </r>
  <r>
    <x v="14"/>
    <s v="SALE292"/>
    <x v="44"/>
    <x v="347"/>
    <x v="75"/>
    <x v="44"/>
    <x v="0"/>
    <n v="1"/>
    <n v="702.53"/>
    <n v="0.3"/>
    <n v="491.77100000000002"/>
    <s v="Credit Card"/>
    <x v="0"/>
    <x v="0"/>
    <x v="2"/>
  </r>
  <r>
    <x v="14"/>
    <s v="SALE539"/>
    <x v="45"/>
    <x v="191"/>
    <x v="272"/>
    <x v="45"/>
    <x v="4"/>
    <n v="2"/>
    <n v="709.17"/>
    <n v="0.22"/>
    <n v="1106.3052"/>
    <s v="Credit Card"/>
    <x v="1"/>
    <x v="0"/>
    <x v="3"/>
  </r>
  <r>
    <x v="14"/>
    <s v="SALE727"/>
    <x v="90"/>
    <x v="445"/>
    <x v="472"/>
    <x v="90"/>
    <x v="0"/>
    <n v="1"/>
    <n v="106.07"/>
    <n v="0.23"/>
    <n v="81.673900000000003"/>
    <s v="COD"/>
    <x v="1"/>
    <x v="0"/>
    <x v="0"/>
  </r>
  <r>
    <x v="14"/>
    <s v="SALE1304"/>
    <x v="74"/>
    <x v="98"/>
    <x v="363"/>
    <x v="74"/>
    <x v="0"/>
    <n v="4"/>
    <n v="665.38"/>
    <n v="0.18"/>
    <n v="2182.4463999999998"/>
    <s v="Credit Card"/>
    <x v="0"/>
    <x v="0"/>
    <x v="0"/>
  </r>
  <r>
    <x v="14"/>
    <s v="SALE1738"/>
    <x v="75"/>
    <x v="74"/>
    <x v="93"/>
    <x v="75"/>
    <x v="2"/>
    <n v="4"/>
    <n v="507.22"/>
    <n v="0.14000000000000001"/>
    <n v="1744.8368"/>
    <s v="PayPal"/>
    <x v="1"/>
    <x v="0"/>
    <x v="2"/>
  </r>
  <r>
    <x v="14"/>
    <s v="SALE584"/>
    <x v="75"/>
    <x v="624"/>
    <x v="147"/>
    <x v="75"/>
    <x v="2"/>
    <n v="1"/>
    <n v="34.71"/>
    <n v="0.1"/>
    <n v="31.239000000000001"/>
    <s v="COD"/>
    <x v="1"/>
    <x v="0"/>
    <x v="3"/>
  </r>
  <r>
    <x v="14"/>
    <s v="SALE920"/>
    <x v="76"/>
    <x v="445"/>
    <x v="250"/>
    <x v="76"/>
    <x v="2"/>
    <n v="2"/>
    <n v="32.19"/>
    <n v="0.13"/>
    <n v="56.010599999999997"/>
    <s v="COD"/>
    <x v="1"/>
    <x v="0"/>
    <x v="0"/>
  </r>
  <r>
    <x v="14"/>
    <s v="SALE580"/>
    <x v="46"/>
    <x v="324"/>
    <x v="135"/>
    <x v="46"/>
    <x v="3"/>
    <n v="4"/>
    <n v="968.27"/>
    <n v="0.03"/>
    <n v="3756.8876"/>
    <s v="PayPal"/>
    <x v="1"/>
    <x v="0"/>
    <x v="0"/>
  </r>
  <r>
    <x v="14"/>
    <s v="SALE701"/>
    <x v="46"/>
    <x v="524"/>
    <x v="364"/>
    <x v="46"/>
    <x v="3"/>
    <n v="1"/>
    <n v="445.5"/>
    <n v="0.28000000000000003"/>
    <n v="320.76"/>
    <s v="Credit Card"/>
    <x v="1"/>
    <x v="0"/>
    <x v="0"/>
  </r>
  <r>
    <x v="14"/>
    <s v="SALE1619"/>
    <x v="48"/>
    <x v="271"/>
    <x v="473"/>
    <x v="48"/>
    <x v="1"/>
    <n v="2"/>
    <n v="898.81"/>
    <n v="0.25"/>
    <n v="1348.2149999999999"/>
    <s v="Credit Card"/>
    <x v="0"/>
    <x v="0"/>
    <x v="2"/>
  </r>
  <r>
    <x v="14"/>
    <s v="SALE367"/>
    <x v="78"/>
    <x v="153"/>
    <x v="441"/>
    <x v="78"/>
    <x v="2"/>
    <n v="3"/>
    <n v="944.64"/>
    <n v="0.26"/>
    <n v="2097.1008000000002"/>
    <s v="Credit Card"/>
    <x v="0"/>
    <x v="0"/>
    <x v="0"/>
  </r>
  <r>
    <x v="14"/>
    <s v="SALE458"/>
    <x v="78"/>
    <x v="504"/>
    <x v="453"/>
    <x v="78"/>
    <x v="2"/>
    <n v="3"/>
    <n v="505.01"/>
    <n v="0.02"/>
    <n v="1484.7293999999999"/>
    <s v="PayPal"/>
    <x v="1"/>
    <x v="0"/>
    <x v="3"/>
  </r>
  <r>
    <x v="14"/>
    <s v="SALE92"/>
    <x v="50"/>
    <x v="624"/>
    <x v="74"/>
    <x v="50"/>
    <x v="2"/>
    <n v="1"/>
    <n v="696.53"/>
    <n v="0.17"/>
    <n v="578.11989999999992"/>
    <s v="Credit Card"/>
    <x v="1"/>
    <x v="0"/>
    <x v="2"/>
  </r>
  <r>
    <x v="14"/>
    <s v="SALE687"/>
    <x v="51"/>
    <x v="126"/>
    <x v="276"/>
    <x v="51"/>
    <x v="2"/>
    <n v="1"/>
    <n v="979.28"/>
    <n v="0.2"/>
    <n v="783.42399999999998"/>
    <s v="PayPal"/>
    <x v="0"/>
    <x v="0"/>
    <x v="1"/>
  </r>
  <r>
    <x v="14"/>
    <s v="SALE12"/>
    <x v="52"/>
    <x v="625"/>
    <x v="443"/>
    <x v="52"/>
    <x v="3"/>
    <n v="4"/>
    <n v="644.58000000000004"/>
    <n v="0.01"/>
    <n v="2552.5367999999999"/>
    <s v="Credit Card"/>
    <x v="1"/>
    <x v="0"/>
    <x v="3"/>
  </r>
  <r>
    <x v="14"/>
    <s v="SALE1419"/>
    <x v="53"/>
    <x v="453"/>
    <x v="91"/>
    <x v="53"/>
    <x v="1"/>
    <n v="1"/>
    <n v="170.12"/>
    <n v="0.26"/>
    <n v="125.8888"/>
    <s v="PayPal"/>
    <x v="0"/>
    <x v="0"/>
    <x v="3"/>
  </r>
  <r>
    <x v="14"/>
    <s v="SALE737"/>
    <x v="92"/>
    <x v="50"/>
    <x v="306"/>
    <x v="92"/>
    <x v="3"/>
    <n v="2"/>
    <n v="492.5"/>
    <n v="0.3"/>
    <n v="689.5"/>
    <s v="PayPal"/>
    <x v="1"/>
    <x v="0"/>
    <x v="1"/>
  </r>
  <r>
    <x v="14"/>
    <s v="SALE702"/>
    <x v="54"/>
    <x v="516"/>
    <x v="121"/>
    <x v="54"/>
    <x v="0"/>
    <n v="1"/>
    <n v="900.94"/>
    <n v="0.1"/>
    <n v="810.84600000000012"/>
    <s v="Credit Card"/>
    <x v="0"/>
    <x v="0"/>
    <x v="1"/>
  </r>
  <r>
    <x v="14"/>
    <s v="SALE114"/>
    <x v="55"/>
    <x v="275"/>
    <x v="301"/>
    <x v="55"/>
    <x v="4"/>
    <n v="2"/>
    <n v="731.01"/>
    <n v="0.05"/>
    <n v="1388.9190000000001"/>
    <s v="PayPal"/>
    <x v="1"/>
    <x v="0"/>
    <x v="1"/>
  </r>
  <r>
    <x v="14"/>
    <s v="SALE659"/>
    <x v="56"/>
    <x v="626"/>
    <x v="352"/>
    <x v="56"/>
    <x v="2"/>
    <n v="3"/>
    <n v="718.23"/>
    <n v="0.19"/>
    <n v="1745.2989"/>
    <s v="PayPal"/>
    <x v="1"/>
    <x v="0"/>
    <x v="0"/>
  </r>
  <r>
    <x v="14"/>
    <s v="SALE414"/>
    <x v="93"/>
    <x v="360"/>
    <x v="406"/>
    <x v="93"/>
    <x v="0"/>
    <n v="2"/>
    <n v="772.24"/>
    <n v="0.22"/>
    <n v="1204.6944000000001"/>
    <s v="Credit Card"/>
    <x v="1"/>
    <x v="0"/>
    <x v="1"/>
  </r>
  <r>
    <x v="14"/>
    <s v="SALE1700"/>
    <x v="93"/>
    <x v="122"/>
    <x v="117"/>
    <x v="93"/>
    <x v="0"/>
    <n v="3"/>
    <n v="706.6"/>
    <n v="0.17"/>
    <n v="1759.434"/>
    <s v="PayPal"/>
    <x v="1"/>
    <x v="0"/>
    <x v="1"/>
  </r>
  <r>
    <x v="14"/>
    <s v="SALE624"/>
    <x v="57"/>
    <x v="22"/>
    <x v="98"/>
    <x v="57"/>
    <x v="1"/>
    <n v="1"/>
    <n v="647.86"/>
    <n v="0.05"/>
    <n v="615.46699999999998"/>
    <s v="COD"/>
    <x v="0"/>
    <x v="0"/>
    <x v="1"/>
  </r>
  <r>
    <x v="14"/>
    <s v="SALE1795"/>
    <x v="59"/>
    <x v="627"/>
    <x v="402"/>
    <x v="59"/>
    <x v="4"/>
    <n v="2"/>
    <n v="649.89"/>
    <n v="0.17"/>
    <n v="1078.8173999999999"/>
    <s v="COD"/>
    <x v="1"/>
    <x v="0"/>
    <x v="0"/>
  </r>
  <r>
    <x v="14"/>
    <s v="SALE1069"/>
    <x v="94"/>
    <x v="5"/>
    <x v="150"/>
    <x v="94"/>
    <x v="0"/>
    <n v="3"/>
    <n v="904.19"/>
    <n v="0.09"/>
    <n v="2468.4387000000002"/>
    <s v="Credit Card"/>
    <x v="0"/>
    <x v="0"/>
    <x v="2"/>
  </r>
  <r>
    <x v="15"/>
    <s v="SALE501"/>
    <x v="60"/>
    <x v="434"/>
    <x v="150"/>
    <x v="60"/>
    <x v="2"/>
    <n v="4"/>
    <n v="168.55"/>
    <n v="0.15"/>
    <n v="573.07000000000005"/>
    <s v="PayPal"/>
    <x v="0"/>
    <x v="0"/>
    <x v="2"/>
  </r>
  <r>
    <x v="15"/>
    <s v="SALE1828"/>
    <x v="0"/>
    <x v="67"/>
    <x v="279"/>
    <x v="0"/>
    <x v="0"/>
    <n v="3"/>
    <n v="596"/>
    <n v="0.28000000000000003"/>
    <n v="1287.3599999999999"/>
    <s v="COD"/>
    <x v="0"/>
    <x v="0"/>
    <x v="0"/>
  </r>
  <r>
    <x v="15"/>
    <s v="SALE1926"/>
    <x v="2"/>
    <x v="616"/>
    <x v="307"/>
    <x v="2"/>
    <x v="2"/>
    <n v="4"/>
    <n v="94.48"/>
    <n v="0.06"/>
    <n v="355.2448"/>
    <s v="COD"/>
    <x v="1"/>
    <x v="0"/>
    <x v="3"/>
  </r>
  <r>
    <x v="15"/>
    <s v="SALE1883"/>
    <x v="62"/>
    <x v="239"/>
    <x v="267"/>
    <x v="62"/>
    <x v="0"/>
    <n v="1"/>
    <n v="649.59"/>
    <n v="0.12"/>
    <n v="571.63920000000007"/>
    <s v="COD"/>
    <x v="0"/>
    <x v="0"/>
    <x v="1"/>
  </r>
  <r>
    <x v="15"/>
    <s v="SALE238"/>
    <x v="62"/>
    <x v="445"/>
    <x v="235"/>
    <x v="62"/>
    <x v="0"/>
    <n v="1"/>
    <n v="594.44000000000005"/>
    <n v="0.21"/>
    <n v="469.60759999999999"/>
    <s v="Credit Card"/>
    <x v="1"/>
    <x v="0"/>
    <x v="1"/>
  </r>
  <r>
    <x v="15"/>
    <s v="SALE1845"/>
    <x v="4"/>
    <x v="628"/>
    <x v="474"/>
    <x v="4"/>
    <x v="3"/>
    <n v="4"/>
    <n v="715.88"/>
    <n v="0.19"/>
    <n v="2319.4512"/>
    <s v="PayPal"/>
    <x v="1"/>
    <x v="0"/>
    <x v="1"/>
  </r>
  <r>
    <x v="15"/>
    <s v="SALE276"/>
    <x v="4"/>
    <x v="544"/>
    <x v="226"/>
    <x v="4"/>
    <x v="3"/>
    <n v="4"/>
    <n v="322.58"/>
    <n v="0.06"/>
    <n v="1212.9007999999999"/>
    <s v="Credit Card"/>
    <x v="0"/>
    <x v="0"/>
    <x v="2"/>
  </r>
  <r>
    <x v="15"/>
    <s v="SALE742"/>
    <x v="5"/>
    <x v="240"/>
    <x v="153"/>
    <x v="5"/>
    <x v="4"/>
    <n v="3"/>
    <n v="438.65"/>
    <n v="0.28999999999999998"/>
    <n v="934.32449999999983"/>
    <s v="PayPal"/>
    <x v="1"/>
    <x v="0"/>
    <x v="3"/>
  </r>
  <r>
    <x v="15"/>
    <s v="SALE1710"/>
    <x v="6"/>
    <x v="298"/>
    <x v="382"/>
    <x v="6"/>
    <x v="3"/>
    <n v="3"/>
    <n v="108.31"/>
    <n v="0.26"/>
    <n v="240.44820000000001"/>
    <s v="COD"/>
    <x v="1"/>
    <x v="0"/>
    <x v="1"/>
  </r>
  <r>
    <x v="15"/>
    <s v="SALE1818"/>
    <x v="11"/>
    <x v="232"/>
    <x v="384"/>
    <x v="11"/>
    <x v="0"/>
    <n v="4"/>
    <n v="282.18"/>
    <n v="0.13"/>
    <n v="981.9864"/>
    <s v="COD"/>
    <x v="1"/>
    <x v="0"/>
    <x v="1"/>
  </r>
  <r>
    <x v="15"/>
    <s v="SALE1189"/>
    <x v="11"/>
    <x v="59"/>
    <x v="377"/>
    <x v="11"/>
    <x v="0"/>
    <n v="1"/>
    <n v="429.25"/>
    <n v="0.28999999999999998"/>
    <n v="304.76749999999998"/>
    <s v="Credit Card"/>
    <x v="1"/>
    <x v="0"/>
    <x v="3"/>
  </r>
  <r>
    <x v="15"/>
    <s v="SALE1858"/>
    <x v="11"/>
    <x v="180"/>
    <x v="344"/>
    <x v="11"/>
    <x v="0"/>
    <n v="4"/>
    <n v="189.56"/>
    <n v="0"/>
    <n v="758.24"/>
    <s v="COD"/>
    <x v="0"/>
    <x v="0"/>
    <x v="1"/>
  </r>
  <r>
    <x v="15"/>
    <s v="SALE1240"/>
    <x v="12"/>
    <x v="202"/>
    <x v="209"/>
    <x v="12"/>
    <x v="2"/>
    <n v="2"/>
    <n v="437.84"/>
    <n v="0.24"/>
    <n v="665.51679999999999"/>
    <s v="Credit Card"/>
    <x v="1"/>
    <x v="0"/>
    <x v="2"/>
  </r>
  <r>
    <x v="15"/>
    <s v="SALE1983"/>
    <x v="65"/>
    <x v="168"/>
    <x v="4"/>
    <x v="65"/>
    <x v="2"/>
    <n v="1"/>
    <n v="563.01"/>
    <n v="0.1"/>
    <n v="506.709"/>
    <s v="Credit Card"/>
    <x v="0"/>
    <x v="0"/>
    <x v="1"/>
  </r>
  <r>
    <x v="15"/>
    <s v="SALE977"/>
    <x v="66"/>
    <x v="585"/>
    <x v="279"/>
    <x v="66"/>
    <x v="3"/>
    <n v="4"/>
    <n v="540.69000000000005"/>
    <n v="0.09"/>
    <n v="1968.1116"/>
    <s v="COD"/>
    <x v="0"/>
    <x v="0"/>
    <x v="0"/>
  </r>
  <r>
    <x v="15"/>
    <s v="SALE100"/>
    <x v="15"/>
    <x v="363"/>
    <x v="187"/>
    <x v="15"/>
    <x v="2"/>
    <n v="2"/>
    <n v="401.5"/>
    <n v="0.18"/>
    <n v="658.46"/>
    <s v="Credit Card"/>
    <x v="1"/>
    <x v="0"/>
    <x v="1"/>
  </r>
  <r>
    <x v="15"/>
    <s v="SALE611"/>
    <x v="16"/>
    <x v="463"/>
    <x v="445"/>
    <x v="16"/>
    <x v="0"/>
    <n v="4"/>
    <n v="745.51"/>
    <n v="0.05"/>
    <n v="2832.9380000000001"/>
    <s v="Credit Card"/>
    <x v="1"/>
    <x v="0"/>
    <x v="3"/>
  </r>
  <r>
    <x v="15"/>
    <s v="SALE1978"/>
    <x v="17"/>
    <x v="174"/>
    <x v="107"/>
    <x v="17"/>
    <x v="2"/>
    <n v="3"/>
    <n v="585.54999999999995"/>
    <n v="0.14000000000000001"/>
    <n v="1510.7190000000001"/>
    <s v="COD"/>
    <x v="1"/>
    <x v="0"/>
    <x v="3"/>
  </r>
  <r>
    <x v="15"/>
    <s v="SALE72"/>
    <x v="20"/>
    <x v="254"/>
    <x v="62"/>
    <x v="20"/>
    <x v="3"/>
    <n v="1"/>
    <n v="553.82000000000005"/>
    <n v="0.09"/>
    <n v="503.97620000000012"/>
    <s v="Credit Card"/>
    <x v="0"/>
    <x v="0"/>
    <x v="3"/>
  </r>
  <r>
    <x v="15"/>
    <s v="SALE1645"/>
    <x v="21"/>
    <x v="512"/>
    <x v="192"/>
    <x v="21"/>
    <x v="0"/>
    <n v="1"/>
    <n v="702.27"/>
    <n v="0.17"/>
    <n v="582.88409999999999"/>
    <s v="COD"/>
    <x v="0"/>
    <x v="0"/>
    <x v="2"/>
  </r>
  <r>
    <x v="15"/>
    <s v="SALE882"/>
    <x v="22"/>
    <x v="56"/>
    <x v="223"/>
    <x v="22"/>
    <x v="0"/>
    <n v="3"/>
    <n v="174.57"/>
    <n v="0"/>
    <n v="523.71"/>
    <s v="PayPal"/>
    <x v="1"/>
    <x v="0"/>
    <x v="1"/>
  </r>
  <r>
    <x v="15"/>
    <s v="SALE1155"/>
    <x v="96"/>
    <x v="144"/>
    <x v="475"/>
    <x v="96"/>
    <x v="3"/>
    <n v="2"/>
    <n v="20.47"/>
    <n v="0.12"/>
    <n v="36.027200000000001"/>
    <s v="COD"/>
    <x v="0"/>
    <x v="0"/>
    <x v="2"/>
  </r>
  <r>
    <x v="15"/>
    <s v="SALE1844"/>
    <x v="68"/>
    <x v="124"/>
    <x v="166"/>
    <x v="68"/>
    <x v="0"/>
    <n v="2"/>
    <n v="549.91999999999996"/>
    <n v="0.28000000000000003"/>
    <n v="791.88479999999993"/>
    <s v="Credit Card"/>
    <x v="1"/>
    <x v="0"/>
    <x v="2"/>
  </r>
  <r>
    <x v="15"/>
    <s v="SALE1834"/>
    <x v="68"/>
    <x v="155"/>
    <x v="271"/>
    <x v="68"/>
    <x v="0"/>
    <n v="3"/>
    <n v="56.17"/>
    <n v="0.01"/>
    <n v="166.82490000000001"/>
    <s v="COD"/>
    <x v="0"/>
    <x v="0"/>
    <x v="1"/>
  </r>
  <r>
    <x v="15"/>
    <s v="SALE1928"/>
    <x v="24"/>
    <x v="287"/>
    <x v="170"/>
    <x v="24"/>
    <x v="3"/>
    <n v="2"/>
    <n v="336.97"/>
    <n v="0.14000000000000001"/>
    <n v="579.58840000000009"/>
    <s v="PayPal"/>
    <x v="1"/>
    <x v="0"/>
    <x v="0"/>
  </r>
  <r>
    <x v="15"/>
    <s v="SALE1311"/>
    <x v="83"/>
    <x v="432"/>
    <x v="303"/>
    <x v="83"/>
    <x v="0"/>
    <n v="1"/>
    <n v="340.9"/>
    <n v="0.28999999999999998"/>
    <n v="242.03899999999999"/>
    <s v="Credit Card"/>
    <x v="0"/>
    <x v="0"/>
    <x v="2"/>
  </r>
  <r>
    <x v="15"/>
    <s v="SALE821"/>
    <x v="27"/>
    <x v="476"/>
    <x v="272"/>
    <x v="27"/>
    <x v="1"/>
    <n v="1"/>
    <n v="678.9"/>
    <n v="0.17"/>
    <n v="563.48699999999997"/>
    <s v="Credit Card"/>
    <x v="1"/>
    <x v="0"/>
    <x v="3"/>
  </r>
  <r>
    <x v="15"/>
    <s v="SALE434"/>
    <x v="28"/>
    <x v="629"/>
    <x v="181"/>
    <x v="28"/>
    <x v="4"/>
    <n v="3"/>
    <n v="589.83000000000004"/>
    <n v="0.26"/>
    <n v="1309.4226000000001"/>
    <s v="Credit Card"/>
    <x v="1"/>
    <x v="0"/>
    <x v="2"/>
  </r>
  <r>
    <x v="15"/>
    <s v="SALE1929"/>
    <x v="28"/>
    <x v="246"/>
    <x v="158"/>
    <x v="28"/>
    <x v="4"/>
    <n v="2"/>
    <n v="344.16"/>
    <n v="0.09"/>
    <n v="626.37120000000004"/>
    <s v="PayPal"/>
    <x v="0"/>
    <x v="0"/>
    <x v="0"/>
  </r>
  <r>
    <x v="15"/>
    <s v="SALE789"/>
    <x v="28"/>
    <x v="354"/>
    <x v="396"/>
    <x v="28"/>
    <x v="4"/>
    <n v="2"/>
    <n v="788.05"/>
    <n v="0.21"/>
    <n v="1245.1189999999999"/>
    <s v="Credit Card"/>
    <x v="0"/>
    <x v="0"/>
    <x v="0"/>
  </r>
  <r>
    <x v="15"/>
    <s v="SALE681"/>
    <x v="29"/>
    <x v="298"/>
    <x v="274"/>
    <x v="29"/>
    <x v="3"/>
    <n v="2"/>
    <n v="42.04"/>
    <n v="7.0000000000000007E-2"/>
    <n v="78.194399999999987"/>
    <s v="Credit Card"/>
    <x v="0"/>
    <x v="0"/>
    <x v="3"/>
  </r>
  <r>
    <x v="15"/>
    <s v="SALE334"/>
    <x v="29"/>
    <x v="630"/>
    <x v="226"/>
    <x v="29"/>
    <x v="3"/>
    <n v="2"/>
    <n v="613.23"/>
    <n v="0.15"/>
    <n v="1042.491"/>
    <s v="PayPal"/>
    <x v="0"/>
    <x v="0"/>
    <x v="2"/>
  </r>
  <r>
    <x v="15"/>
    <s v="SALE150"/>
    <x v="85"/>
    <x v="64"/>
    <x v="341"/>
    <x v="85"/>
    <x v="3"/>
    <n v="4"/>
    <n v="355.64"/>
    <n v="0.16"/>
    <n v="1194.9503999999999"/>
    <s v="COD"/>
    <x v="1"/>
    <x v="0"/>
    <x v="0"/>
  </r>
  <r>
    <x v="15"/>
    <s v="SALE930"/>
    <x v="85"/>
    <x v="201"/>
    <x v="428"/>
    <x v="85"/>
    <x v="3"/>
    <n v="2"/>
    <n v="576.83000000000004"/>
    <n v="0.19"/>
    <n v="934.46460000000013"/>
    <s v="PayPal"/>
    <x v="0"/>
    <x v="0"/>
    <x v="2"/>
  </r>
  <r>
    <x v="15"/>
    <s v="SALE916"/>
    <x v="70"/>
    <x v="537"/>
    <x v="232"/>
    <x v="70"/>
    <x v="4"/>
    <n v="3"/>
    <n v="214.94"/>
    <n v="0.22"/>
    <n v="502.95960000000002"/>
    <s v="COD"/>
    <x v="0"/>
    <x v="0"/>
    <x v="1"/>
  </r>
  <r>
    <x v="15"/>
    <s v="SALE135"/>
    <x v="70"/>
    <x v="469"/>
    <x v="417"/>
    <x v="70"/>
    <x v="4"/>
    <n v="3"/>
    <n v="576.52"/>
    <n v="0.22"/>
    <n v="1349.0568000000001"/>
    <s v="COD"/>
    <x v="1"/>
    <x v="0"/>
    <x v="3"/>
  </r>
  <r>
    <x v="15"/>
    <s v="SALE689"/>
    <x v="30"/>
    <x v="178"/>
    <x v="422"/>
    <x v="30"/>
    <x v="3"/>
    <n v="1"/>
    <n v="692.75"/>
    <n v="0.11"/>
    <n v="616.54750000000001"/>
    <s v="COD"/>
    <x v="1"/>
    <x v="0"/>
    <x v="1"/>
  </r>
  <r>
    <x v="15"/>
    <s v="SALE1403"/>
    <x v="30"/>
    <x v="499"/>
    <x v="476"/>
    <x v="30"/>
    <x v="3"/>
    <n v="2"/>
    <n v="628.83000000000004"/>
    <n v="7.0000000000000007E-2"/>
    <n v="1169.6238000000001"/>
    <s v="PayPal"/>
    <x v="0"/>
    <x v="0"/>
    <x v="1"/>
  </r>
  <r>
    <x v="15"/>
    <s v="SALE157"/>
    <x v="31"/>
    <x v="172"/>
    <x v="290"/>
    <x v="31"/>
    <x v="2"/>
    <n v="1"/>
    <n v="83.1"/>
    <n v="0.04"/>
    <n v="79.775999999999996"/>
    <s v="PayPal"/>
    <x v="0"/>
    <x v="0"/>
    <x v="0"/>
  </r>
  <r>
    <x v="15"/>
    <s v="SALE1086"/>
    <x v="86"/>
    <x v="213"/>
    <x v="315"/>
    <x v="86"/>
    <x v="3"/>
    <n v="3"/>
    <n v="404.5"/>
    <n v="0.22"/>
    <n v="946.53000000000009"/>
    <s v="PayPal"/>
    <x v="1"/>
    <x v="0"/>
    <x v="0"/>
  </r>
  <r>
    <x v="15"/>
    <s v="SALE1592"/>
    <x v="97"/>
    <x v="631"/>
    <x v="345"/>
    <x v="97"/>
    <x v="1"/>
    <n v="3"/>
    <n v="630.28"/>
    <n v="7.0000000000000007E-2"/>
    <n v="1758.4811999999999"/>
    <s v="COD"/>
    <x v="0"/>
    <x v="0"/>
    <x v="0"/>
  </r>
  <r>
    <x v="15"/>
    <s v="SALE4"/>
    <x v="97"/>
    <x v="580"/>
    <x v="28"/>
    <x v="97"/>
    <x v="1"/>
    <n v="3"/>
    <n v="745.3"/>
    <n v="0.18"/>
    <n v="1833.4380000000001"/>
    <s v="Credit Card"/>
    <x v="0"/>
    <x v="0"/>
    <x v="0"/>
  </r>
  <r>
    <x v="15"/>
    <s v="SALE70"/>
    <x v="71"/>
    <x v="115"/>
    <x v="61"/>
    <x v="71"/>
    <x v="1"/>
    <n v="3"/>
    <n v="92.24"/>
    <n v="0.28000000000000003"/>
    <n v="276.44"/>
    <s v="COD"/>
    <x v="0"/>
    <x v="0"/>
    <x v="1"/>
  </r>
  <r>
    <x v="15"/>
    <s v="SALE1307"/>
    <x v="87"/>
    <x v="632"/>
    <x v="249"/>
    <x v="87"/>
    <x v="3"/>
    <n v="3"/>
    <n v="38.07"/>
    <n v="0.09"/>
    <n v="103.9311"/>
    <s v="PayPal"/>
    <x v="1"/>
    <x v="0"/>
    <x v="1"/>
  </r>
  <r>
    <x v="15"/>
    <s v="SALE950"/>
    <x v="87"/>
    <x v="633"/>
    <x v="313"/>
    <x v="87"/>
    <x v="3"/>
    <n v="4"/>
    <n v="372.42"/>
    <n v="0.19"/>
    <n v="1206.6407999999999"/>
    <s v="Credit Card"/>
    <x v="1"/>
    <x v="0"/>
    <x v="2"/>
  </r>
  <r>
    <x v="15"/>
    <s v="SALE1259"/>
    <x v="87"/>
    <x v="609"/>
    <x v="158"/>
    <x v="87"/>
    <x v="3"/>
    <n v="1"/>
    <n v="85.58"/>
    <n v="0.1"/>
    <n v="77.022000000000006"/>
    <s v="COD"/>
    <x v="0"/>
    <x v="0"/>
    <x v="0"/>
  </r>
  <r>
    <x v="15"/>
    <s v="SALE439"/>
    <x v="35"/>
    <x v="634"/>
    <x v="283"/>
    <x v="35"/>
    <x v="0"/>
    <n v="4"/>
    <n v="875.41"/>
    <n v="0.27"/>
    <n v="2556.1972000000001"/>
    <s v="Credit Card"/>
    <x v="0"/>
    <x v="0"/>
    <x v="3"/>
  </r>
  <r>
    <x v="15"/>
    <s v="SALE1726"/>
    <x v="36"/>
    <x v="35"/>
    <x v="65"/>
    <x v="36"/>
    <x v="1"/>
    <n v="4"/>
    <n v="688.86"/>
    <n v="0.02"/>
    <n v="2700.3312000000001"/>
    <s v="COD"/>
    <x v="0"/>
    <x v="0"/>
    <x v="2"/>
  </r>
  <r>
    <x v="15"/>
    <s v="SALE536"/>
    <x v="37"/>
    <x v="101"/>
    <x v="210"/>
    <x v="37"/>
    <x v="1"/>
    <n v="4"/>
    <n v="839.65"/>
    <n v="0.26"/>
    <n v="2485.364"/>
    <s v="COD"/>
    <x v="1"/>
    <x v="0"/>
    <x v="0"/>
  </r>
  <r>
    <x v="15"/>
    <s v="SALE199"/>
    <x v="38"/>
    <x v="37"/>
    <x v="477"/>
    <x v="38"/>
    <x v="1"/>
    <n v="2"/>
    <n v="397.63"/>
    <n v="0.26"/>
    <n v="588.49239999999998"/>
    <s v="Credit Card"/>
    <x v="1"/>
    <x v="0"/>
    <x v="2"/>
  </r>
  <r>
    <x v="15"/>
    <s v="SALE1090"/>
    <x v="38"/>
    <x v="374"/>
    <x v="399"/>
    <x v="38"/>
    <x v="1"/>
    <n v="2"/>
    <n v="769.48"/>
    <n v="0.11"/>
    <n v="1369.6744000000001"/>
    <s v="PayPal"/>
    <x v="0"/>
    <x v="0"/>
    <x v="2"/>
  </r>
  <r>
    <x v="15"/>
    <s v="SALE910"/>
    <x v="39"/>
    <x v="135"/>
    <x v="273"/>
    <x v="39"/>
    <x v="0"/>
    <n v="2"/>
    <n v="491.26"/>
    <n v="0.14000000000000001"/>
    <n v="844.96719999999993"/>
    <s v="COD"/>
    <x v="1"/>
    <x v="0"/>
    <x v="0"/>
  </r>
  <r>
    <x v="15"/>
    <s v="SALE1964"/>
    <x v="88"/>
    <x v="221"/>
    <x v="340"/>
    <x v="88"/>
    <x v="2"/>
    <n v="3"/>
    <n v="120.97"/>
    <n v="0.11"/>
    <n v="322.98989999999998"/>
    <s v="Credit Card"/>
    <x v="1"/>
    <x v="0"/>
    <x v="3"/>
  </r>
  <r>
    <x v="15"/>
    <s v="SALE423"/>
    <x v="40"/>
    <x v="176"/>
    <x v="211"/>
    <x v="40"/>
    <x v="4"/>
    <n v="1"/>
    <n v="815.53"/>
    <n v="0.3"/>
    <n v="570.87099999999998"/>
    <s v="PayPal"/>
    <x v="0"/>
    <x v="0"/>
    <x v="1"/>
  </r>
  <r>
    <x v="15"/>
    <s v="SALE1283"/>
    <x v="73"/>
    <x v="241"/>
    <x v="61"/>
    <x v="73"/>
    <x v="1"/>
    <n v="2"/>
    <n v="504.98"/>
    <n v="0.08"/>
    <n v="929.16320000000007"/>
    <s v="COD"/>
    <x v="0"/>
    <x v="0"/>
    <x v="1"/>
  </r>
  <r>
    <x v="15"/>
    <s v="SALE1112"/>
    <x v="43"/>
    <x v="87"/>
    <x v="429"/>
    <x v="43"/>
    <x v="3"/>
    <n v="2"/>
    <n v="644"/>
    <n v="0.04"/>
    <n v="1236.48"/>
    <s v="PayPal"/>
    <x v="1"/>
    <x v="0"/>
    <x v="3"/>
  </r>
  <r>
    <x v="15"/>
    <s v="SALE759"/>
    <x v="44"/>
    <x v="576"/>
    <x v="314"/>
    <x v="44"/>
    <x v="0"/>
    <n v="1"/>
    <n v="370.66"/>
    <n v="0.01"/>
    <n v="366.95339999999999"/>
    <s v="PayPal"/>
    <x v="0"/>
    <x v="0"/>
    <x v="1"/>
  </r>
  <r>
    <x v="15"/>
    <s v="SALE1859"/>
    <x v="45"/>
    <x v="233"/>
    <x v="358"/>
    <x v="45"/>
    <x v="4"/>
    <n v="1"/>
    <n v="805.24"/>
    <n v="0.04"/>
    <n v="773.03039999999999"/>
    <s v="PayPal"/>
    <x v="0"/>
    <x v="0"/>
    <x v="1"/>
  </r>
  <r>
    <x v="15"/>
    <s v="SALE302"/>
    <x v="45"/>
    <x v="329"/>
    <x v="139"/>
    <x v="45"/>
    <x v="4"/>
    <n v="2"/>
    <n v="865.14"/>
    <n v="0.2"/>
    <n v="1384.2239999999999"/>
    <s v="PayPal"/>
    <x v="0"/>
    <x v="0"/>
    <x v="2"/>
  </r>
  <r>
    <x v="15"/>
    <s v="SALE1584"/>
    <x v="75"/>
    <x v="617"/>
    <x v="478"/>
    <x v="75"/>
    <x v="2"/>
    <n v="2"/>
    <n v="479.77"/>
    <n v="0.21"/>
    <n v="758.03660000000002"/>
    <s v="PayPal"/>
    <x v="0"/>
    <x v="0"/>
    <x v="1"/>
  </r>
  <r>
    <x v="15"/>
    <s v="SALE233"/>
    <x v="76"/>
    <x v="307"/>
    <x v="430"/>
    <x v="76"/>
    <x v="2"/>
    <n v="1"/>
    <n v="989.63"/>
    <n v="0.05"/>
    <n v="940.1484999999999"/>
    <s v="PayPal"/>
    <x v="0"/>
    <x v="0"/>
    <x v="2"/>
  </r>
  <r>
    <x v="15"/>
    <s v="SALE441"/>
    <x v="76"/>
    <x v="263"/>
    <x v="7"/>
    <x v="76"/>
    <x v="2"/>
    <n v="2"/>
    <n v="285.39"/>
    <n v="0.1"/>
    <n v="513.702"/>
    <s v="Credit Card"/>
    <x v="0"/>
    <x v="0"/>
    <x v="0"/>
  </r>
  <r>
    <x v="15"/>
    <s v="SALE495"/>
    <x v="77"/>
    <x v="365"/>
    <x v="479"/>
    <x v="77"/>
    <x v="0"/>
    <n v="2"/>
    <n v="406.46"/>
    <n v="0.3"/>
    <n v="569.04399999999998"/>
    <s v="PayPal"/>
    <x v="0"/>
    <x v="0"/>
    <x v="2"/>
  </r>
  <r>
    <x v="15"/>
    <s v="SALE322"/>
    <x v="91"/>
    <x v="364"/>
    <x v="142"/>
    <x v="91"/>
    <x v="2"/>
    <n v="1"/>
    <n v="516.62"/>
    <n v="0.18"/>
    <n v="423.62840000000011"/>
    <s v="Credit Card"/>
    <x v="1"/>
    <x v="0"/>
    <x v="1"/>
  </r>
  <r>
    <x v="15"/>
    <s v="SALE1011"/>
    <x v="46"/>
    <x v="192"/>
    <x v="402"/>
    <x v="46"/>
    <x v="3"/>
    <n v="2"/>
    <n v="358.36"/>
    <n v="0.05"/>
    <n v="680.88400000000001"/>
    <s v="PayPal"/>
    <x v="1"/>
    <x v="0"/>
    <x v="0"/>
  </r>
  <r>
    <x v="15"/>
    <s v="SALE1587"/>
    <x v="48"/>
    <x v="523"/>
    <x v="423"/>
    <x v="48"/>
    <x v="1"/>
    <n v="3"/>
    <n v="107.8"/>
    <n v="0.28999999999999998"/>
    <n v="229.614"/>
    <s v="PayPal"/>
    <x v="0"/>
    <x v="0"/>
    <x v="1"/>
  </r>
  <r>
    <x v="15"/>
    <s v="SALE1423"/>
    <x v="48"/>
    <x v="529"/>
    <x v="174"/>
    <x v="48"/>
    <x v="1"/>
    <n v="2"/>
    <n v="879.93"/>
    <n v="0.28999999999999998"/>
    <n v="1249.5006000000001"/>
    <s v="COD"/>
    <x v="0"/>
    <x v="0"/>
    <x v="1"/>
  </r>
  <r>
    <x v="15"/>
    <s v="SALE1371"/>
    <x v="78"/>
    <x v="134"/>
    <x v="250"/>
    <x v="78"/>
    <x v="2"/>
    <n v="3"/>
    <n v="923.38"/>
    <n v="7.0000000000000007E-2"/>
    <n v="2576.2302"/>
    <s v="COD"/>
    <x v="1"/>
    <x v="0"/>
    <x v="0"/>
  </r>
  <r>
    <x v="15"/>
    <s v="SALE694"/>
    <x v="49"/>
    <x v="225"/>
    <x v="380"/>
    <x v="49"/>
    <x v="4"/>
    <n v="2"/>
    <n v="701.49"/>
    <n v="0.09"/>
    <n v="1276.7118"/>
    <s v="PayPal"/>
    <x v="0"/>
    <x v="0"/>
    <x v="3"/>
  </r>
  <r>
    <x v="15"/>
    <s v="SALE581"/>
    <x v="52"/>
    <x v="243"/>
    <x v="325"/>
    <x v="52"/>
    <x v="3"/>
    <n v="4"/>
    <n v="510.33"/>
    <n v="0.2"/>
    <n v="1633.056"/>
    <s v="PayPal"/>
    <x v="1"/>
    <x v="0"/>
    <x v="1"/>
  </r>
  <r>
    <x v="15"/>
    <s v="SALE205"/>
    <x v="52"/>
    <x v="172"/>
    <x v="190"/>
    <x v="52"/>
    <x v="3"/>
    <n v="1"/>
    <n v="479.93"/>
    <n v="0.22"/>
    <n v="374.34539999999998"/>
    <s v="Credit Card"/>
    <x v="1"/>
    <x v="0"/>
    <x v="1"/>
  </r>
  <r>
    <x v="15"/>
    <s v="SALE283"/>
    <x v="92"/>
    <x v="69"/>
    <x v="455"/>
    <x v="92"/>
    <x v="3"/>
    <n v="3"/>
    <n v="134.30000000000001"/>
    <n v="0.14000000000000001"/>
    <n v="346.49400000000003"/>
    <s v="Credit Card"/>
    <x v="1"/>
    <x v="0"/>
    <x v="0"/>
  </r>
  <r>
    <x v="15"/>
    <s v="SALE1537"/>
    <x v="92"/>
    <x v="242"/>
    <x v="172"/>
    <x v="92"/>
    <x v="3"/>
    <n v="2"/>
    <n v="753.1"/>
    <n v="0.19"/>
    <n v="1220.0219999999999"/>
    <s v="PayPal"/>
    <x v="1"/>
    <x v="0"/>
    <x v="1"/>
  </r>
  <r>
    <x v="15"/>
    <s v="SALE622"/>
    <x v="54"/>
    <x v="635"/>
    <x v="111"/>
    <x v="54"/>
    <x v="0"/>
    <n v="2"/>
    <n v="678.98"/>
    <n v="0.23"/>
    <n v="1045.6292000000001"/>
    <s v="Credit Card"/>
    <x v="1"/>
    <x v="0"/>
    <x v="3"/>
  </r>
  <r>
    <x v="15"/>
    <s v="SALE140"/>
    <x v="54"/>
    <x v="107"/>
    <x v="196"/>
    <x v="54"/>
    <x v="0"/>
    <n v="2"/>
    <n v="478.85"/>
    <n v="0.01"/>
    <n v="948.12300000000005"/>
    <s v="COD"/>
    <x v="1"/>
    <x v="0"/>
    <x v="1"/>
  </r>
  <r>
    <x v="15"/>
    <s v="SALE941"/>
    <x v="55"/>
    <x v="636"/>
    <x v="39"/>
    <x v="55"/>
    <x v="4"/>
    <n v="3"/>
    <n v="219.96"/>
    <n v="0.18"/>
    <n v="541.10160000000008"/>
    <s v="PayPal"/>
    <x v="1"/>
    <x v="0"/>
    <x v="1"/>
  </r>
  <r>
    <x v="15"/>
    <s v="SALE1113"/>
    <x v="55"/>
    <x v="637"/>
    <x v="129"/>
    <x v="55"/>
    <x v="4"/>
    <n v="3"/>
    <n v="629.58000000000004"/>
    <n v="0.05"/>
    <n v="1794.3030000000001"/>
    <s v="Credit Card"/>
    <x v="1"/>
    <x v="0"/>
    <x v="3"/>
  </r>
  <r>
    <x v="15"/>
    <s v="SALE476"/>
    <x v="55"/>
    <x v="628"/>
    <x v="400"/>
    <x v="55"/>
    <x v="4"/>
    <n v="4"/>
    <n v="940.77"/>
    <n v="0.24"/>
    <n v="2859.9407999999999"/>
    <s v="COD"/>
    <x v="0"/>
    <x v="0"/>
    <x v="1"/>
  </r>
  <r>
    <x v="15"/>
    <s v="SALE178"/>
    <x v="57"/>
    <x v="479"/>
    <x v="200"/>
    <x v="57"/>
    <x v="1"/>
    <n v="4"/>
    <n v="638.91"/>
    <n v="0"/>
    <n v="2555.64"/>
    <s v="COD"/>
    <x v="1"/>
    <x v="0"/>
    <x v="0"/>
  </r>
  <r>
    <x v="15"/>
    <s v="SALE1266"/>
    <x v="57"/>
    <x v="447"/>
    <x v="281"/>
    <x v="57"/>
    <x v="1"/>
    <n v="1"/>
    <n v="252.18"/>
    <n v="0.23"/>
    <n v="194.17859999999999"/>
    <s v="PayPal"/>
    <x v="1"/>
    <x v="0"/>
    <x v="2"/>
  </r>
  <r>
    <x v="15"/>
    <s v="SALE589"/>
    <x v="59"/>
    <x v="287"/>
    <x v="399"/>
    <x v="59"/>
    <x v="4"/>
    <n v="3"/>
    <n v="882.84"/>
    <n v="0.1"/>
    <n v="2383.6680000000001"/>
    <s v="Credit Card"/>
    <x v="0"/>
    <x v="0"/>
    <x v="2"/>
  </r>
  <r>
    <x v="15"/>
    <s v="SALE463"/>
    <x v="79"/>
    <x v="638"/>
    <x v="150"/>
    <x v="79"/>
    <x v="3"/>
    <n v="2"/>
    <n v="261.48"/>
    <n v="0.17"/>
    <n v="434.05680000000001"/>
    <s v="Credit Card"/>
    <x v="0"/>
    <x v="0"/>
    <x v="2"/>
  </r>
  <r>
    <x v="15"/>
    <s v="SALE8"/>
    <x v="80"/>
    <x v="437"/>
    <x v="87"/>
    <x v="80"/>
    <x v="2"/>
    <n v="2.7904357624168861"/>
    <n v="448.25"/>
    <n v="7.0000000000000007E-2"/>
    <n v="1250.6175000000001"/>
    <s v="PayPal"/>
    <x v="1"/>
    <x v="0"/>
    <x v="1"/>
  </r>
  <r>
    <x v="16"/>
    <s v="SALE675"/>
    <x v="81"/>
    <x v="639"/>
    <x v="257"/>
    <x v="81"/>
    <x v="4"/>
    <n v="4"/>
    <n v="845.58"/>
    <n v="0.06"/>
    <n v="3179.3807999999999"/>
    <s v="PayPal"/>
    <x v="1"/>
    <x v="0"/>
    <x v="1"/>
  </r>
  <r>
    <x v="16"/>
    <s v="SALE546"/>
    <x v="60"/>
    <x v="17"/>
    <x v="184"/>
    <x v="60"/>
    <x v="2"/>
    <n v="3"/>
    <n v="370.93"/>
    <n v="0"/>
    <n v="1112.79"/>
    <s v="Credit Card"/>
    <x v="1"/>
    <x v="0"/>
    <x v="2"/>
  </r>
  <r>
    <x v="16"/>
    <s v="SALE974"/>
    <x v="60"/>
    <x v="531"/>
    <x v="460"/>
    <x v="60"/>
    <x v="2"/>
    <n v="4"/>
    <n v="599.85"/>
    <n v="0.25"/>
    <n v="1799.55"/>
    <s v="Credit Card"/>
    <x v="0"/>
    <x v="0"/>
    <x v="3"/>
  </r>
  <r>
    <x v="16"/>
    <s v="SALE1376"/>
    <x v="0"/>
    <x v="30"/>
    <x v="97"/>
    <x v="0"/>
    <x v="0"/>
    <n v="1"/>
    <n v="56.59"/>
    <n v="0.15"/>
    <n v="48.101500000000001"/>
    <s v="PayPal"/>
    <x v="1"/>
    <x v="0"/>
    <x v="2"/>
  </r>
  <r>
    <x v="16"/>
    <s v="SALE625"/>
    <x v="1"/>
    <x v="619"/>
    <x v="235"/>
    <x v="1"/>
    <x v="1"/>
    <n v="2"/>
    <n v="179.64"/>
    <n v="0.1"/>
    <n v="323.35199999999998"/>
    <s v="PayPal"/>
    <x v="1"/>
    <x v="0"/>
    <x v="1"/>
  </r>
  <r>
    <x v="16"/>
    <s v="SALE33"/>
    <x v="1"/>
    <x v="43"/>
    <x v="338"/>
    <x v="1"/>
    <x v="1"/>
    <n v="2"/>
    <n v="717.31"/>
    <n v="0.15"/>
    <n v="1219.4269999999999"/>
    <s v="Credit Card"/>
    <x v="1"/>
    <x v="0"/>
    <x v="1"/>
  </r>
  <r>
    <x v="16"/>
    <s v="SALE1358"/>
    <x v="2"/>
    <x v="589"/>
    <x v="363"/>
    <x v="2"/>
    <x v="2"/>
    <n v="2"/>
    <n v="629.73"/>
    <n v="7.0000000000000007E-2"/>
    <n v="1171.2978000000001"/>
    <s v="PayPal"/>
    <x v="0"/>
    <x v="0"/>
    <x v="0"/>
  </r>
  <r>
    <x v="16"/>
    <s v="SALE658"/>
    <x v="62"/>
    <x v="418"/>
    <x v="215"/>
    <x v="62"/>
    <x v="0"/>
    <n v="2"/>
    <n v="884.48"/>
    <n v="0"/>
    <n v="1768.96"/>
    <s v="COD"/>
    <x v="1"/>
    <x v="0"/>
    <x v="2"/>
  </r>
  <r>
    <x v="16"/>
    <s v="SALE1148"/>
    <x v="62"/>
    <x v="117"/>
    <x v="134"/>
    <x v="62"/>
    <x v="0"/>
    <n v="4"/>
    <n v="101.33"/>
    <n v="0"/>
    <n v="405.32"/>
    <s v="Credit Card"/>
    <x v="0"/>
    <x v="0"/>
    <x v="3"/>
  </r>
  <r>
    <x v="16"/>
    <s v="SALE1333"/>
    <x v="4"/>
    <x v="640"/>
    <x v="460"/>
    <x v="4"/>
    <x v="3"/>
    <n v="1"/>
    <n v="55.04"/>
    <n v="0.01"/>
    <n v="54.489600000000003"/>
    <s v="COD"/>
    <x v="0"/>
    <x v="0"/>
    <x v="3"/>
  </r>
  <r>
    <x v="16"/>
    <s v="SALE765"/>
    <x v="5"/>
    <x v="40"/>
    <x v="191"/>
    <x v="5"/>
    <x v="4"/>
    <n v="4"/>
    <n v="186.24"/>
    <n v="0.23"/>
    <n v="573.61920000000009"/>
    <s v="Credit Card"/>
    <x v="1"/>
    <x v="0"/>
    <x v="3"/>
  </r>
  <r>
    <x v="16"/>
    <s v="SALE1586"/>
    <x v="6"/>
    <x v="622"/>
    <x v="253"/>
    <x v="6"/>
    <x v="3"/>
    <n v="2"/>
    <n v="764.25"/>
    <n v="0.23"/>
    <n v="1176.9449999999999"/>
    <s v="PayPal"/>
    <x v="0"/>
    <x v="0"/>
    <x v="4"/>
  </r>
  <r>
    <x v="16"/>
    <s v="SALE993"/>
    <x v="6"/>
    <x v="379"/>
    <x v="50"/>
    <x v="6"/>
    <x v="3"/>
    <n v="2"/>
    <n v="957.54"/>
    <n v="0.1"/>
    <n v="1723.5719999999999"/>
    <s v="COD"/>
    <x v="0"/>
    <x v="0"/>
    <x v="2"/>
  </r>
  <r>
    <x v="16"/>
    <s v="SALE568"/>
    <x v="7"/>
    <x v="34"/>
    <x v="45"/>
    <x v="7"/>
    <x v="3"/>
    <n v="2"/>
    <n v="740.68"/>
    <n v="0.02"/>
    <n v="1451.7328"/>
    <s v="PayPal"/>
    <x v="0"/>
    <x v="0"/>
    <x v="1"/>
  </r>
  <r>
    <x v="16"/>
    <s v="SALE1596"/>
    <x v="8"/>
    <x v="300"/>
    <x v="142"/>
    <x v="8"/>
    <x v="2"/>
    <n v="1"/>
    <n v="388.35"/>
    <n v="0.01"/>
    <n v="384.4665"/>
    <s v="PayPal"/>
    <x v="1"/>
    <x v="0"/>
    <x v="1"/>
  </r>
  <r>
    <x v="16"/>
    <s v="SALE265"/>
    <x v="8"/>
    <x v="641"/>
    <x v="330"/>
    <x v="8"/>
    <x v="2"/>
    <n v="1"/>
    <n v="518"/>
    <n v="0.25"/>
    <n v="388.5"/>
    <s v="Credit Card"/>
    <x v="0"/>
    <x v="0"/>
    <x v="2"/>
  </r>
  <r>
    <x v="16"/>
    <s v="SALE663"/>
    <x v="9"/>
    <x v="37"/>
    <x v="363"/>
    <x v="9"/>
    <x v="3"/>
    <n v="1"/>
    <n v="747.03"/>
    <n v="0.01"/>
    <n v="739.55970000000002"/>
    <s v="Credit Card"/>
    <x v="0"/>
    <x v="0"/>
    <x v="0"/>
  </r>
  <r>
    <x v="16"/>
    <s v="SALE1768"/>
    <x v="9"/>
    <x v="251"/>
    <x v="28"/>
    <x v="9"/>
    <x v="3"/>
    <n v="2"/>
    <n v="616.42999999999995"/>
    <n v="0.02"/>
    <n v="1208.2028"/>
    <s v="COD"/>
    <x v="0"/>
    <x v="0"/>
    <x v="0"/>
  </r>
  <r>
    <x v="16"/>
    <s v="SALE1911"/>
    <x v="64"/>
    <x v="247"/>
    <x v="325"/>
    <x v="64"/>
    <x v="3"/>
    <n v="4"/>
    <n v="73.55"/>
    <n v="0.24"/>
    <n v="223.59200000000001"/>
    <s v="COD"/>
    <x v="1"/>
    <x v="0"/>
    <x v="1"/>
  </r>
  <r>
    <x v="16"/>
    <s v="SALE1933"/>
    <x v="64"/>
    <x v="88"/>
    <x v="333"/>
    <x v="64"/>
    <x v="3"/>
    <n v="3"/>
    <n v="447.38"/>
    <n v="0.03"/>
    <n v="1301.8758"/>
    <s v="Credit Card"/>
    <x v="1"/>
    <x v="0"/>
    <x v="2"/>
  </r>
  <r>
    <x v="16"/>
    <s v="SALE995"/>
    <x v="64"/>
    <x v="342"/>
    <x v="371"/>
    <x v="64"/>
    <x v="3"/>
    <n v="3"/>
    <n v="480.11"/>
    <n v="0.11"/>
    <n v="1281.8937000000001"/>
    <s v="PayPal"/>
    <x v="1"/>
    <x v="0"/>
    <x v="2"/>
  </r>
  <r>
    <x v="16"/>
    <s v="SALE680"/>
    <x v="10"/>
    <x v="595"/>
    <x v="367"/>
    <x v="10"/>
    <x v="4"/>
    <n v="4"/>
    <n v="484.92"/>
    <n v="0.28000000000000003"/>
    <n v="1396.5696"/>
    <s v="PayPal"/>
    <x v="1"/>
    <x v="0"/>
    <x v="3"/>
  </r>
  <r>
    <x v="16"/>
    <s v="SALE1465"/>
    <x v="99"/>
    <x v="83"/>
    <x v="253"/>
    <x v="99"/>
    <x v="2"/>
    <n v="2"/>
    <n v="408.8"/>
    <n v="0.17"/>
    <n v="678.60799999999995"/>
    <s v="COD"/>
    <x v="0"/>
    <x v="0"/>
    <x v="4"/>
  </r>
  <r>
    <x v="16"/>
    <s v="SALE713"/>
    <x v="14"/>
    <x v="122"/>
    <x v="88"/>
    <x v="14"/>
    <x v="4"/>
    <n v="2"/>
    <n v="635.14"/>
    <n v="0.1"/>
    <n v="1143.252"/>
    <s v="COD"/>
    <x v="0"/>
    <x v="0"/>
    <x v="1"/>
  </r>
  <r>
    <x v="16"/>
    <s v="SALE863"/>
    <x v="65"/>
    <x v="642"/>
    <x v="276"/>
    <x v="65"/>
    <x v="2"/>
    <n v="1"/>
    <n v="649.22"/>
    <n v="0.03"/>
    <n v="629.74340000000007"/>
    <s v="COD"/>
    <x v="0"/>
    <x v="0"/>
    <x v="1"/>
  </r>
  <r>
    <x v="16"/>
    <s v="SALE1555"/>
    <x v="65"/>
    <x v="638"/>
    <x v="44"/>
    <x v="65"/>
    <x v="2"/>
    <n v="4"/>
    <n v="998.2"/>
    <n v="0.15"/>
    <n v="3393.88"/>
    <s v="Credit Card"/>
    <x v="0"/>
    <x v="0"/>
    <x v="1"/>
  </r>
  <r>
    <x v="16"/>
    <s v="SALE1359"/>
    <x v="15"/>
    <x v="601"/>
    <x v="317"/>
    <x v="15"/>
    <x v="2"/>
    <n v="2"/>
    <n v="159.93"/>
    <n v="0.2"/>
    <n v="255.88800000000001"/>
    <s v="COD"/>
    <x v="1"/>
    <x v="0"/>
    <x v="1"/>
  </r>
  <r>
    <x v="16"/>
    <s v="SALE1564"/>
    <x v="15"/>
    <x v="543"/>
    <x v="185"/>
    <x v="15"/>
    <x v="2"/>
    <n v="1"/>
    <n v="718.99"/>
    <n v="0.08"/>
    <n v="661.47080000000005"/>
    <s v="PayPal"/>
    <x v="0"/>
    <x v="0"/>
    <x v="1"/>
  </r>
  <r>
    <x v="16"/>
    <s v="SALE56"/>
    <x v="16"/>
    <x v="436"/>
    <x v="311"/>
    <x v="16"/>
    <x v="0"/>
    <n v="2"/>
    <n v="833.7"/>
    <n v="0.06"/>
    <n v="1567.356"/>
    <s v="PayPal"/>
    <x v="1"/>
    <x v="0"/>
    <x v="2"/>
  </r>
  <r>
    <x v="16"/>
    <s v="SALE170"/>
    <x v="16"/>
    <x v="535"/>
    <x v="469"/>
    <x v="16"/>
    <x v="0"/>
    <n v="1"/>
    <n v="152.16999999999999"/>
    <n v="0.28000000000000003"/>
    <n v="109.5624"/>
    <s v="COD"/>
    <x v="0"/>
    <x v="0"/>
    <x v="1"/>
  </r>
  <r>
    <x v="16"/>
    <s v="SALE1211"/>
    <x v="17"/>
    <x v="171"/>
    <x v="335"/>
    <x v="17"/>
    <x v="2"/>
    <n v="4"/>
    <n v="328.27"/>
    <n v="0.09"/>
    <n v="1194.9028000000001"/>
    <s v="PayPal"/>
    <x v="1"/>
    <x v="0"/>
    <x v="1"/>
  </r>
  <r>
    <x v="16"/>
    <s v="SALE543"/>
    <x v="17"/>
    <x v="153"/>
    <x v="464"/>
    <x v="17"/>
    <x v="2"/>
    <n v="1"/>
    <n v="763.34"/>
    <n v="0.11"/>
    <n v="679.37260000000003"/>
    <s v="COD"/>
    <x v="1"/>
    <x v="0"/>
    <x v="3"/>
  </r>
  <r>
    <x v="16"/>
    <s v="SALE489"/>
    <x v="18"/>
    <x v="22"/>
    <x v="286"/>
    <x v="18"/>
    <x v="4"/>
    <n v="2"/>
    <n v="992.55"/>
    <n v="0.28000000000000003"/>
    <n v="1429.2719999999999"/>
    <s v="Credit Card"/>
    <x v="0"/>
    <x v="0"/>
    <x v="3"/>
  </r>
  <r>
    <x v="16"/>
    <s v="SALE769"/>
    <x v="19"/>
    <x v="617"/>
    <x v="115"/>
    <x v="19"/>
    <x v="4"/>
    <n v="2"/>
    <n v="365.91"/>
    <n v="0.14000000000000001"/>
    <n v="629.36520000000007"/>
    <s v="COD"/>
    <x v="0"/>
    <x v="0"/>
    <x v="0"/>
  </r>
  <r>
    <x v="16"/>
    <s v="SALE385"/>
    <x v="20"/>
    <x v="616"/>
    <x v="273"/>
    <x v="20"/>
    <x v="3"/>
    <n v="4"/>
    <n v="960.38"/>
    <n v="0.15"/>
    <n v="3265.2919999999999"/>
    <s v="COD"/>
    <x v="1"/>
    <x v="0"/>
    <x v="0"/>
  </r>
  <r>
    <x v="16"/>
    <s v="SALE287"/>
    <x v="20"/>
    <x v="121"/>
    <x v="47"/>
    <x v="20"/>
    <x v="3"/>
    <n v="4"/>
    <n v="766.03"/>
    <n v="0.28999999999999998"/>
    <n v="2175.5252"/>
    <s v="PayPal"/>
    <x v="0"/>
    <x v="0"/>
    <x v="1"/>
  </r>
  <r>
    <x v="16"/>
    <s v="SALE1541"/>
    <x v="22"/>
    <x v="323"/>
    <x v="196"/>
    <x v="22"/>
    <x v="0"/>
    <n v="1"/>
    <n v="312.81"/>
    <n v="0.14000000000000001"/>
    <n v="269.01659999999998"/>
    <s v="PayPal"/>
    <x v="1"/>
    <x v="0"/>
    <x v="1"/>
  </r>
  <r>
    <x v="16"/>
    <s v="SALE733"/>
    <x v="23"/>
    <x v="21"/>
    <x v="106"/>
    <x v="23"/>
    <x v="0"/>
    <n v="4"/>
    <n v="758.27"/>
    <n v="0.05"/>
    <n v="2881.4259999999999"/>
    <s v="PayPal"/>
    <x v="0"/>
    <x v="0"/>
    <x v="1"/>
  </r>
  <r>
    <x v="16"/>
    <s v="SALE963"/>
    <x v="68"/>
    <x v="167"/>
    <x v="211"/>
    <x v="68"/>
    <x v="0"/>
    <n v="1"/>
    <n v="824.32"/>
    <n v="0.18"/>
    <n v="675.94240000000013"/>
    <s v="Credit Card"/>
    <x v="0"/>
    <x v="0"/>
    <x v="1"/>
  </r>
  <r>
    <x v="16"/>
    <s v="SALE1617"/>
    <x v="69"/>
    <x v="120"/>
    <x v="439"/>
    <x v="69"/>
    <x v="3"/>
    <n v="1"/>
    <n v="62.38"/>
    <n v="0.08"/>
    <n v="57.389600000000002"/>
    <s v="COD"/>
    <x v="0"/>
    <x v="0"/>
    <x v="2"/>
  </r>
  <r>
    <x v="16"/>
    <s v="SALE339"/>
    <x v="25"/>
    <x v="643"/>
    <x v="423"/>
    <x v="25"/>
    <x v="4"/>
    <n v="4"/>
    <n v="344.12"/>
    <n v="0.25"/>
    <n v="1032.3599999999999"/>
    <s v="PayPal"/>
    <x v="0"/>
    <x v="0"/>
    <x v="1"/>
  </r>
  <r>
    <x v="16"/>
    <s v="SALE996"/>
    <x v="83"/>
    <x v="54"/>
    <x v="127"/>
    <x v="83"/>
    <x v="0"/>
    <n v="4"/>
    <n v="826.55"/>
    <n v="0.28000000000000003"/>
    <n v="2380.4639999999999"/>
    <s v="Credit Card"/>
    <x v="0"/>
    <x v="0"/>
    <x v="1"/>
  </r>
  <r>
    <x v="16"/>
    <s v="SALE137"/>
    <x v="29"/>
    <x v="336"/>
    <x v="416"/>
    <x v="29"/>
    <x v="3"/>
    <n v="1"/>
    <n v="245.85"/>
    <n v="0.18"/>
    <n v="201.59700000000001"/>
    <s v="COD"/>
    <x v="0"/>
    <x v="0"/>
    <x v="2"/>
  </r>
  <r>
    <x v="16"/>
    <s v="SALE1138"/>
    <x v="84"/>
    <x v="44"/>
    <x v="88"/>
    <x v="84"/>
    <x v="0"/>
    <n v="1"/>
    <n v="629.09"/>
    <n v="0.02"/>
    <n v="616.50819999999999"/>
    <s v="Credit Card"/>
    <x v="0"/>
    <x v="0"/>
    <x v="1"/>
  </r>
  <r>
    <x v="16"/>
    <s v="SALE428"/>
    <x v="84"/>
    <x v="385"/>
    <x v="297"/>
    <x v="84"/>
    <x v="0"/>
    <n v="2"/>
    <n v="573.09"/>
    <n v="0.03"/>
    <n v="1111.7945999999999"/>
    <s v="COD"/>
    <x v="1"/>
    <x v="0"/>
    <x v="1"/>
  </r>
  <r>
    <x v="16"/>
    <s v="SALE1634"/>
    <x v="84"/>
    <x v="322"/>
    <x v="115"/>
    <x v="84"/>
    <x v="0"/>
    <n v="4"/>
    <n v="194.39"/>
    <n v="0.25"/>
    <n v="583.16999999999996"/>
    <s v="Credit Card"/>
    <x v="0"/>
    <x v="0"/>
    <x v="0"/>
  </r>
  <r>
    <x v="16"/>
    <s v="SALE1018"/>
    <x v="85"/>
    <x v="89"/>
    <x v="149"/>
    <x v="85"/>
    <x v="3"/>
    <n v="3"/>
    <n v="593.62"/>
    <n v="0.08"/>
    <n v="1638.3912"/>
    <s v="Credit Card"/>
    <x v="0"/>
    <x v="0"/>
    <x v="1"/>
  </r>
  <r>
    <x v="16"/>
    <s v="SALE1796"/>
    <x v="70"/>
    <x v="449"/>
    <x v="302"/>
    <x v="70"/>
    <x v="4"/>
    <n v="1"/>
    <n v="952.73"/>
    <n v="0.17"/>
    <n v="790.76589999999999"/>
    <s v="Credit Card"/>
    <x v="0"/>
    <x v="0"/>
    <x v="1"/>
  </r>
  <r>
    <x v="16"/>
    <s v="SALE1406"/>
    <x v="30"/>
    <x v="528"/>
    <x v="56"/>
    <x v="30"/>
    <x v="3"/>
    <n v="3"/>
    <n v="676.77"/>
    <n v="0.17"/>
    <n v="1685.1573000000001"/>
    <s v="PayPal"/>
    <x v="0"/>
    <x v="0"/>
    <x v="2"/>
  </r>
  <r>
    <x v="16"/>
    <s v="SALE682"/>
    <x v="31"/>
    <x v="68"/>
    <x v="438"/>
    <x v="31"/>
    <x v="2"/>
    <n v="3"/>
    <n v="599.48"/>
    <n v="0.22"/>
    <n v="1402.7832000000001"/>
    <s v="PayPal"/>
    <x v="0"/>
    <x v="0"/>
    <x v="1"/>
  </r>
  <r>
    <x v="16"/>
    <s v="SALE1021"/>
    <x v="31"/>
    <x v="378"/>
    <x v="259"/>
    <x v="31"/>
    <x v="2"/>
    <n v="1"/>
    <n v="238.24"/>
    <n v="0.12"/>
    <n v="209.65119999999999"/>
    <s v="PayPal"/>
    <x v="0"/>
    <x v="0"/>
    <x v="0"/>
  </r>
  <r>
    <x v="16"/>
    <s v="SALE922"/>
    <x v="33"/>
    <x v="501"/>
    <x v="268"/>
    <x v="33"/>
    <x v="4"/>
    <n v="1"/>
    <n v="127.47"/>
    <n v="0.16"/>
    <n v="107.0748"/>
    <s v="COD"/>
    <x v="0"/>
    <x v="0"/>
    <x v="0"/>
  </r>
  <r>
    <x v="16"/>
    <s v="SALE752"/>
    <x v="97"/>
    <x v="472"/>
    <x v="109"/>
    <x v="97"/>
    <x v="1"/>
    <n v="4"/>
    <n v="867.94"/>
    <n v="0.26"/>
    <n v="2569.1024000000002"/>
    <s v="PayPal"/>
    <x v="0"/>
    <x v="0"/>
    <x v="1"/>
  </r>
  <r>
    <x v="16"/>
    <s v="SALE1136"/>
    <x v="97"/>
    <x v="285"/>
    <x v="143"/>
    <x v="97"/>
    <x v="1"/>
    <n v="3"/>
    <n v="180.84"/>
    <n v="0.03"/>
    <n v="526.24439999999993"/>
    <s v="PayPal"/>
    <x v="0"/>
    <x v="0"/>
    <x v="0"/>
  </r>
  <r>
    <x v="16"/>
    <s v="SALE1904"/>
    <x v="87"/>
    <x v="644"/>
    <x v="446"/>
    <x v="87"/>
    <x v="3"/>
    <n v="1"/>
    <n v="546.47"/>
    <n v="0.08"/>
    <n v="502.75240000000002"/>
    <s v="COD"/>
    <x v="0"/>
    <x v="0"/>
    <x v="0"/>
  </r>
  <r>
    <x v="16"/>
    <s v="SALE736"/>
    <x v="87"/>
    <x v="74"/>
    <x v="203"/>
    <x v="87"/>
    <x v="3"/>
    <n v="2"/>
    <n v="985.43"/>
    <n v="0.28000000000000003"/>
    <n v="1419.0192"/>
    <s v="COD"/>
    <x v="1"/>
    <x v="0"/>
    <x v="2"/>
  </r>
  <r>
    <x v="16"/>
    <s v="SALE662"/>
    <x v="87"/>
    <x v="633"/>
    <x v="353"/>
    <x v="87"/>
    <x v="3"/>
    <n v="3"/>
    <n v="260.45999999999998"/>
    <n v="0.09"/>
    <n v="711.05579999999986"/>
    <s v="Credit Card"/>
    <x v="0"/>
    <x v="0"/>
    <x v="0"/>
  </r>
  <r>
    <x v="16"/>
    <s v="SALE1769"/>
    <x v="36"/>
    <x v="231"/>
    <x v="428"/>
    <x v="36"/>
    <x v="1"/>
    <n v="3"/>
    <n v="195.89"/>
    <n v="0.16"/>
    <n v="493.64280000000002"/>
    <s v="PayPal"/>
    <x v="0"/>
    <x v="0"/>
    <x v="2"/>
  </r>
  <r>
    <x v="16"/>
    <s v="SALE224"/>
    <x v="72"/>
    <x v="376"/>
    <x v="123"/>
    <x v="72"/>
    <x v="3"/>
    <n v="3"/>
    <n v="548.19000000000005"/>
    <n v="0.12"/>
    <n v="1447.2216000000001"/>
    <s v="Credit Card"/>
    <x v="1"/>
    <x v="0"/>
    <x v="1"/>
  </r>
  <r>
    <x v="16"/>
    <s v="SALE1862"/>
    <x v="38"/>
    <x v="494"/>
    <x v="75"/>
    <x v="38"/>
    <x v="1"/>
    <n v="1"/>
    <n v="126.92"/>
    <n v="0.24"/>
    <n v="96.459199999999996"/>
    <s v="COD"/>
    <x v="0"/>
    <x v="0"/>
    <x v="2"/>
  </r>
  <r>
    <x v="16"/>
    <s v="SALE431"/>
    <x v="39"/>
    <x v="48"/>
    <x v="129"/>
    <x v="39"/>
    <x v="0"/>
    <n v="2"/>
    <n v="849.8"/>
    <n v="0.06"/>
    <n v="1597.624"/>
    <s v="COD"/>
    <x v="1"/>
    <x v="0"/>
    <x v="3"/>
  </r>
  <r>
    <x v="16"/>
    <s v="SALE24"/>
    <x v="39"/>
    <x v="645"/>
    <x v="447"/>
    <x v="39"/>
    <x v="0"/>
    <n v="3"/>
    <n v="77.599999999999994"/>
    <n v="7.0000000000000007E-2"/>
    <n v="216.50399999999999"/>
    <s v="Credit Card"/>
    <x v="0"/>
    <x v="0"/>
    <x v="0"/>
  </r>
  <r>
    <x v="16"/>
    <s v="SALE915"/>
    <x v="40"/>
    <x v="23"/>
    <x v="105"/>
    <x v="40"/>
    <x v="4"/>
    <n v="2"/>
    <n v="354.09"/>
    <n v="0.12"/>
    <n v="623.19839999999999"/>
    <s v="COD"/>
    <x v="1"/>
    <x v="0"/>
    <x v="2"/>
  </r>
  <r>
    <x v="16"/>
    <s v="SALE1296"/>
    <x v="89"/>
    <x v="646"/>
    <x v="479"/>
    <x v="89"/>
    <x v="2"/>
    <n v="4"/>
    <n v="547.21"/>
    <n v="0.1"/>
    <n v="1969.9559999999999"/>
    <s v="COD"/>
    <x v="0"/>
    <x v="0"/>
    <x v="2"/>
  </r>
  <r>
    <x v="16"/>
    <s v="SALE1576"/>
    <x v="89"/>
    <x v="421"/>
    <x v="217"/>
    <x v="89"/>
    <x v="2"/>
    <n v="3"/>
    <n v="598.82000000000005"/>
    <n v="0.19"/>
    <n v="1455.1325999999999"/>
    <s v="COD"/>
    <x v="0"/>
    <x v="0"/>
    <x v="3"/>
  </r>
  <r>
    <x v="16"/>
    <s v="SALE1984"/>
    <x v="41"/>
    <x v="142"/>
    <x v="224"/>
    <x v="41"/>
    <x v="2"/>
    <n v="4"/>
    <n v="167.25"/>
    <n v="0.11"/>
    <n v="595.41"/>
    <s v="Credit Card"/>
    <x v="0"/>
    <x v="0"/>
    <x v="2"/>
  </r>
  <r>
    <x v="16"/>
    <s v="SALE1231"/>
    <x v="73"/>
    <x v="198"/>
    <x v="85"/>
    <x v="73"/>
    <x v="1"/>
    <n v="3"/>
    <n v="664.75"/>
    <n v="0.12"/>
    <n v="1754.94"/>
    <s v="Credit Card"/>
    <x v="1"/>
    <x v="0"/>
    <x v="0"/>
  </r>
  <r>
    <x v="16"/>
    <s v="SALE162"/>
    <x v="43"/>
    <x v="454"/>
    <x v="305"/>
    <x v="43"/>
    <x v="3"/>
    <n v="3"/>
    <n v="369.32"/>
    <n v="0.14000000000000001"/>
    <n v="952.84559999999999"/>
    <s v="PayPal"/>
    <x v="0"/>
    <x v="0"/>
    <x v="1"/>
  </r>
  <r>
    <x v="16"/>
    <s v="SALE467"/>
    <x v="43"/>
    <x v="640"/>
    <x v="421"/>
    <x v="43"/>
    <x v="3"/>
    <n v="4"/>
    <n v="934.96"/>
    <n v="0.18"/>
    <n v="3066.6687999999999"/>
    <s v="PayPal"/>
    <x v="1"/>
    <x v="0"/>
    <x v="1"/>
  </r>
  <r>
    <x v="16"/>
    <s v="SALE643"/>
    <x v="90"/>
    <x v="461"/>
    <x v="126"/>
    <x v="90"/>
    <x v="0"/>
    <n v="3"/>
    <n v="89.78"/>
    <n v="0.2"/>
    <n v="215.47200000000001"/>
    <s v="COD"/>
    <x v="0"/>
    <x v="0"/>
    <x v="1"/>
  </r>
  <r>
    <x v="16"/>
    <s v="SALE1224"/>
    <x v="90"/>
    <x v="307"/>
    <x v="175"/>
    <x v="90"/>
    <x v="0"/>
    <n v="4"/>
    <n v="218.01"/>
    <n v="0.06"/>
    <n v="819.71759999999995"/>
    <s v="Credit Card"/>
    <x v="0"/>
    <x v="0"/>
    <x v="2"/>
  </r>
  <r>
    <x v="16"/>
    <s v="SALE383"/>
    <x v="90"/>
    <x v="629"/>
    <x v="179"/>
    <x v="90"/>
    <x v="0"/>
    <n v="1"/>
    <n v="141.79"/>
    <n v="0.1"/>
    <n v="127.611"/>
    <s v="Credit Card"/>
    <x v="1"/>
    <x v="0"/>
    <x v="0"/>
  </r>
  <r>
    <x v="16"/>
    <s v="SALE872"/>
    <x v="90"/>
    <x v="483"/>
    <x v="12"/>
    <x v="90"/>
    <x v="0"/>
    <n v="4"/>
    <n v="282.45"/>
    <n v="0.28999999999999998"/>
    <n v="802.1579999999999"/>
    <s v="COD"/>
    <x v="1"/>
    <x v="0"/>
    <x v="3"/>
  </r>
  <r>
    <x v="16"/>
    <s v="SALE1966"/>
    <x v="74"/>
    <x v="509"/>
    <x v="267"/>
    <x v="74"/>
    <x v="0"/>
    <n v="1"/>
    <n v="918.87"/>
    <n v="0.11"/>
    <n v="817.79430000000002"/>
    <s v="PayPal"/>
    <x v="0"/>
    <x v="0"/>
    <x v="1"/>
  </r>
  <r>
    <x v="16"/>
    <s v="SALE1956"/>
    <x v="74"/>
    <x v="647"/>
    <x v="170"/>
    <x v="74"/>
    <x v="0"/>
    <n v="3"/>
    <n v="998.58"/>
    <n v="0.02"/>
    <n v="2935.8252000000002"/>
    <s v="Credit Card"/>
    <x v="1"/>
    <x v="0"/>
    <x v="0"/>
  </r>
  <r>
    <x v="16"/>
    <s v="SALE328"/>
    <x v="74"/>
    <x v="431"/>
    <x v="284"/>
    <x v="74"/>
    <x v="0"/>
    <n v="3"/>
    <n v="573.1"/>
    <n v="0.16"/>
    <n v="1444.212"/>
    <s v="COD"/>
    <x v="1"/>
    <x v="0"/>
    <x v="1"/>
  </r>
  <r>
    <x v="16"/>
    <s v="SALE392"/>
    <x v="75"/>
    <x v="195"/>
    <x v="146"/>
    <x v="75"/>
    <x v="2"/>
    <n v="3"/>
    <n v="362.11"/>
    <n v="0.23"/>
    <n v="836.47409999999991"/>
    <s v="COD"/>
    <x v="0"/>
    <x v="0"/>
    <x v="2"/>
  </r>
  <r>
    <x v="16"/>
    <s v="SALE520"/>
    <x v="75"/>
    <x v="556"/>
    <x v="316"/>
    <x v="75"/>
    <x v="2"/>
    <n v="3"/>
    <n v="679.22"/>
    <n v="0.11"/>
    <n v="1813.5174"/>
    <s v="PayPal"/>
    <x v="0"/>
    <x v="0"/>
    <x v="2"/>
  </r>
  <r>
    <x v="16"/>
    <s v="SALE527"/>
    <x v="75"/>
    <x v="648"/>
    <x v="338"/>
    <x v="75"/>
    <x v="2"/>
    <n v="4"/>
    <n v="467.24"/>
    <n v="0.08"/>
    <n v="1719.4431999999999"/>
    <s v="PayPal"/>
    <x v="1"/>
    <x v="0"/>
    <x v="1"/>
  </r>
  <r>
    <x v="16"/>
    <s v="SALE1711"/>
    <x v="76"/>
    <x v="87"/>
    <x v="437"/>
    <x v="76"/>
    <x v="2"/>
    <n v="1"/>
    <n v="502.53"/>
    <n v="0"/>
    <n v="502.53"/>
    <s v="PayPal"/>
    <x v="0"/>
    <x v="0"/>
    <x v="1"/>
  </r>
  <r>
    <x v="16"/>
    <s v="SALE125"/>
    <x v="77"/>
    <x v="472"/>
    <x v="264"/>
    <x v="77"/>
    <x v="0"/>
    <n v="1"/>
    <n v="846.31"/>
    <n v="0.05"/>
    <n v="803.9944999999999"/>
    <s v="PayPal"/>
    <x v="0"/>
    <x v="0"/>
    <x v="0"/>
  </r>
  <r>
    <x v="16"/>
    <s v="SALE1303"/>
    <x v="46"/>
    <x v="387"/>
    <x v="238"/>
    <x v="46"/>
    <x v="3"/>
    <n v="3"/>
    <n v="438.92"/>
    <n v="0.21"/>
    <n v="1040.2403999999999"/>
    <s v="Credit Card"/>
    <x v="0"/>
    <x v="0"/>
    <x v="0"/>
  </r>
  <r>
    <x v="16"/>
    <s v="SALE1029"/>
    <x v="46"/>
    <x v="19"/>
    <x v="252"/>
    <x v="46"/>
    <x v="3"/>
    <n v="4"/>
    <n v="762.43"/>
    <n v="0.05"/>
    <n v="2897.233999999999"/>
    <s v="Credit Card"/>
    <x v="1"/>
    <x v="0"/>
    <x v="0"/>
  </r>
  <r>
    <x v="16"/>
    <s v="SALE187"/>
    <x v="46"/>
    <x v="315"/>
    <x v="445"/>
    <x v="46"/>
    <x v="3"/>
    <n v="2"/>
    <n v="549.33000000000004"/>
    <n v="0.01"/>
    <n v="1087.6733999999999"/>
    <s v="COD"/>
    <x v="1"/>
    <x v="0"/>
    <x v="3"/>
  </r>
  <r>
    <x v="16"/>
    <s v="SALE198"/>
    <x v="46"/>
    <x v="111"/>
    <x v="461"/>
    <x v="46"/>
    <x v="3"/>
    <n v="1"/>
    <n v="454.71"/>
    <n v="0.16"/>
    <n v="381.95639999999997"/>
    <s v="PayPal"/>
    <x v="1"/>
    <x v="0"/>
    <x v="2"/>
  </r>
  <r>
    <x v="16"/>
    <s v="SALE1749"/>
    <x v="47"/>
    <x v="155"/>
    <x v="66"/>
    <x v="47"/>
    <x v="3"/>
    <n v="4"/>
    <n v="389.22"/>
    <n v="0.18"/>
    <n v="1276.6415999999999"/>
    <s v="Credit Card"/>
    <x v="1"/>
    <x v="0"/>
    <x v="3"/>
  </r>
  <r>
    <x v="16"/>
    <s v="SALE1154"/>
    <x v="48"/>
    <x v="604"/>
    <x v="455"/>
    <x v="48"/>
    <x v="1"/>
    <n v="2"/>
    <n v="472.18"/>
    <n v="0.27"/>
    <n v="689.38279999999997"/>
    <s v="PayPal"/>
    <x v="1"/>
    <x v="0"/>
    <x v="0"/>
  </r>
  <r>
    <x v="16"/>
    <s v="SALE1412"/>
    <x v="48"/>
    <x v="175"/>
    <x v="150"/>
    <x v="48"/>
    <x v="1"/>
    <n v="1"/>
    <n v="254.47"/>
    <n v="0.1"/>
    <n v="229.023"/>
    <s v="Credit Card"/>
    <x v="0"/>
    <x v="0"/>
    <x v="2"/>
  </r>
  <r>
    <x v="16"/>
    <s v="SALE200"/>
    <x v="48"/>
    <x v="36"/>
    <x v="369"/>
    <x v="48"/>
    <x v="1"/>
    <n v="3"/>
    <n v="748.56"/>
    <n v="0.26"/>
    <n v="1661.8032000000001"/>
    <s v="PayPal"/>
    <x v="0"/>
    <x v="0"/>
    <x v="3"/>
  </r>
  <r>
    <x v="16"/>
    <s v="SALE421"/>
    <x v="49"/>
    <x v="258"/>
    <x v="198"/>
    <x v="49"/>
    <x v="4"/>
    <n v="3"/>
    <n v="522.78"/>
    <n v="0.25"/>
    <n v="1176.2550000000001"/>
    <s v="PayPal"/>
    <x v="0"/>
    <x v="0"/>
    <x v="1"/>
  </r>
  <r>
    <x v="16"/>
    <s v="SALE899"/>
    <x v="50"/>
    <x v="595"/>
    <x v="194"/>
    <x v="50"/>
    <x v="2"/>
    <n v="3"/>
    <n v="619.80999999999995"/>
    <n v="0.16"/>
    <n v="1561.9212"/>
    <s v="COD"/>
    <x v="0"/>
    <x v="0"/>
    <x v="2"/>
  </r>
  <r>
    <x v="16"/>
    <s v="SALE1897"/>
    <x v="51"/>
    <x v="75"/>
    <x v="370"/>
    <x v="51"/>
    <x v="2"/>
    <n v="2"/>
    <n v="152.91"/>
    <n v="0.24"/>
    <n v="232.42320000000001"/>
    <s v="PayPal"/>
    <x v="1"/>
    <x v="0"/>
    <x v="1"/>
  </r>
  <r>
    <x v="16"/>
    <s v="SALE828"/>
    <x v="52"/>
    <x v="8"/>
    <x v="282"/>
    <x v="52"/>
    <x v="3"/>
    <n v="1"/>
    <n v="539.37"/>
    <n v="0.14000000000000001"/>
    <n v="463.85820000000001"/>
    <s v="Credit Card"/>
    <x v="0"/>
    <x v="0"/>
    <x v="2"/>
  </r>
  <r>
    <x v="16"/>
    <s v="SALE956"/>
    <x v="52"/>
    <x v="70"/>
    <x v="94"/>
    <x v="52"/>
    <x v="3"/>
    <n v="3"/>
    <n v="23.37"/>
    <n v="0.15"/>
    <n v="59.593499999999999"/>
    <s v="PayPal"/>
    <x v="0"/>
    <x v="0"/>
    <x v="3"/>
  </r>
  <r>
    <x v="16"/>
    <s v="SALE52"/>
    <x v="53"/>
    <x v="475"/>
    <x v="181"/>
    <x v="53"/>
    <x v="1"/>
    <n v="3"/>
    <n v="162.02110000000002"/>
    <n v="0"/>
    <n v="486.06330000000003"/>
    <s v="Credit Card"/>
    <x v="1"/>
    <x v="0"/>
    <x v="2"/>
  </r>
  <r>
    <x v="16"/>
    <s v="SALE1135"/>
    <x v="53"/>
    <x v="397"/>
    <x v="197"/>
    <x v="53"/>
    <x v="1"/>
    <n v="4"/>
    <n v="630.21"/>
    <n v="0.14000000000000001"/>
    <n v="2167.9223999999999"/>
    <s v="COD"/>
    <x v="0"/>
    <x v="0"/>
    <x v="2"/>
  </r>
  <r>
    <x v="16"/>
    <s v="SALE1193"/>
    <x v="55"/>
    <x v="382"/>
    <x v="160"/>
    <x v="55"/>
    <x v="4"/>
    <n v="3"/>
    <n v="242.58"/>
    <n v="0.25"/>
    <n v="545.80500000000006"/>
    <s v="Credit Card"/>
    <x v="1"/>
    <x v="0"/>
    <x v="0"/>
  </r>
  <r>
    <x v="16"/>
    <s v="SALE254"/>
    <x v="56"/>
    <x v="0"/>
    <x v="55"/>
    <x v="56"/>
    <x v="2"/>
    <n v="2"/>
    <n v="878.05"/>
    <n v="0.11"/>
    <n v="1562.9290000000001"/>
    <s v="PayPal"/>
    <x v="0"/>
    <x v="0"/>
    <x v="2"/>
  </r>
  <r>
    <x v="16"/>
    <s v="SALE600"/>
    <x v="56"/>
    <x v="584"/>
    <x v="164"/>
    <x v="56"/>
    <x v="2"/>
    <n v="1"/>
    <n v="117.37"/>
    <n v="0.21"/>
    <n v="92.722300000000004"/>
    <s v="Credit Card"/>
    <x v="0"/>
    <x v="0"/>
    <x v="3"/>
  </r>
  <r>
    <x v="16"/>
    <s v="SALE1912"/>
    <x v="56"/>
    <x v="447"/>
    <x v="99"/>
    <x v="56"/>
    <x v="2"/>
    <n v="1"/>
    <n v="882.03"/>
    <n v="0.04"/>
    <n v="846.74879999999996"/>
    <s v="COD"/>
    <x v="1"/>
    <x v="0"/>
    <x v="1"/>
  </r>
  <r>
    <x v="16"/>
    <s v="SALE127"/>
    <x v="93"/>
    <x v="27"/>
    <x v="382"/>
    <x v="93"/>
    <x v="0"/>
    <n v="3"/>
    <n v="949.19"/>
    <n v="0.03"/>
    <n v="2762.1428999999998"/>
    <s v="COD"/>
    <x v="1"/>
    <x v="0"/>
    <x v="1"/>
  </r>
  <r>
    <x v="16"/>
    <s v="SALE235"/>
    <x v="57"/>
    <x v="276"/>
    <x v="222"/>
    <x v="57"/>
    <x v="1"/>
    <n v="1"/>
    <n v="946.9"/>
    <n v="0.28999999999999998"/>
    <n v="672.29899999999998"/>
    <s v="COD"/>
    <x v="1"/>
    <x v="0"/>
    <x v="3"/>
  </r>
  <r>
    <x v="16"/>
    <s v="SALE1519"/>
    <x v="57"/>
    <x v="400"/>
    <x v="196"/>
    <x v="57"/>
    <x v="1"/>
    <n v="2"/>
    <n v="859.74"/>
    <n v="0.25"/>
    <n v="1289.6099999999999"/>
    <s v="COD"/>
    <x v="1"/>
    <x v="0"/>
    <x v="1"/>
  </r>
  <r>
    <x v="16"/>
    <s v="SALE1794"/>
    <x v="58"/>
    <x v="84"/>
    <x v="247"/>
    <x v="58"/>
    <x v="3"/>
    <n v="1"/>
    <n v="779.84"/>
    <n v="0.28999999999999998"/>
    <n v="553.68640000000005"/>
    <s v="PayPal"/>
    <x v="0"/>
    <x v="0"/>
    <x v="2"/>
  </r>
  <r>
    <x v="16"/>
    <s v="SALE1344"/>
    <x v="79"/>
    <x v="648"/>
    <x v="305"/>
    <x v="79"/>
    <x v="3"/>
    <n v="3"/>
    <n v="612.53"/>
    <n v="0.21"/>
    <n v="1451.6960999999999"/>
    <s v="COD"/>
    <x v="0"/>
    <x v="0"/>
    <x v="1"/>
  </r>
  <r>
    <x v="16"/>
    <s v="SALE95"/>
    <x v="80"/>
    <x v="144"/>
    <x v="440"/>
    <x v="80"/>
    <x v="2"/>
    <n v="2"/>
    <n v="68.290000000000006"/>
    <n v="0.14000000000000001"/>
    <n v="117.4588"/>
    <s v="COD"/>
    <x v="1"/>
    <x v="0"/>
    <x v="2"/>
  </r>
  <r>
    <x v="17"/>
    <s v="SALE514"/>
    <x v="98"/>
    <x v="94"/>
    <x v="252"/>
    <x v="98"/>
    <x v="0"/>
    <n v="4"/>
    <n v="191.65"/>
    <n v="0.19"/>
    <n v="620.94600000000003"/>
    <s v="PayPal"/>
    <x v="1"/>
    <x v="0"/>
    <x v="0"/>
  </r>
  <r>
    <x v="17"/>
    <s v="SALE1695"/>
    <x v="60"/>
    <x v="308"/>
    <x v="480"/>
    <x v="60"/>
    <x v="2"/>
    <n v="1"/>
    <n v="66.86"/>
    <n v="0.22"/>
    <n v="52.150799999999997"/>
    <s v="COD"/>
    <x v="1"/>
    <x v="0"/>
    <x v="2"/>
  </r>
  <r>
    <x v="17"/>
    <s v="SALE1223"/>
    <x v="60"/>
    <x v="649"/>
    <x v="324"/>
    <x v="60"/>
    <x v="2"/>
    <n v="1"/>
    <n v="457.33"/>
    <n v="0.27"/>
    <n v="333.85090000000002"/>
    <s v="Credit Card"/>
    <x v="1"/>
    <x v="0"/>
    <x v="1"/>
  </r>
  <r>
    <x v="17"/>
    <s v="SALE1449"/>
    <x v="60"/>
    <x v="42"/>
    <x v="121"/>
    <x v="60"/>
    <x v="2"/>
    <n v="2"/>
    <n v="164.23"/>
    <n v="0.17"/>
    <n v="272.62180000000001"/>
    <s v="Credit Card"/>
    <x v="0"/>
    <x v="0"/>
    <x v="1"/>
  </r>
  <r>
    <x v="17"/>
    <s v="SALE1779"/>
    <x v="60"/>
    <x v="62"/>
    <x v="66"/>
    <x v="60"/>
    <x v="2"/>
    <n v="4"/>
    <n v="499.02"/>
    <n v="0.06"/>
    <n v="1876.3152"/>
    <s v="Credit Card"/>
    <x v="1"/>
    <x v="0"/>
    <x v="3"/>
  </r>
  <r>
    <x v="17"/>
    <s v="SALE1694"/>
    <x v="0"/>
    <x v="520"/>
    <x v="85"/>
    <x v="0"/>
    <x v="0"/>
    <n v="3"/>
    <n v="110.99"/>
    <n v="0.21"/>
    <n v="263.04629999999997"/>
    <s v="Credit Card"/>
    <x v="1"/>
    <x v="0"/>
    <x v="0"/>
  </r>
  <r>
    <x v="17"/>
    <s v="SALE1640"/>
    <x v="2"/>
    <x v="631"/>
    <x v="260"/>
    <x v="2"/>
    <x v="2"/>
    <n v="2"/>
    <n v="44.65"/>
    <n v="0.03"/>
    <n v="86.620999999999995"/>
    <s v="PayPal"/>
    <x v="1"/>
    <x v="0"/>
    <x v="1"/>
  </r>
  <r>
    <x v="17"/>
    <s v="SALE5"/>
    <x v="62"/>
    <x v="548"/>
    <x v="410"/>
    <x v="62"/>
    <x v="0"/>
    <n v="3"/>
    <n v="147.01"/>
    <n v="0.19"/>
    <n v="357.23430000000002"/>
    <s v="COD"/>
    <x v="1"/>
    <x v="0"/>
    <x v="1"/>
  </r>
  <r>
    <x v="17"/>
    <s v="SALE1625"/>
    <x v="62"/>
    <x v="117"/>
    <x v="157"/>
    <x v="62"/>
    <x v="0"/>
    <n v="3"/>
    <n v="326.66000000000003"/>
    <n v="0.28000000000000003"/>
    <n v="705.5856"/>
    <s v="COD"/>
    <x v="1"/>
    <x v="0"/>
    <x v="3"/>
  </r>
  <r>
    <x v="17"/>
    <s v="SALE1618"/>
    <x v="62"/>
    <x v="388"/>
    <x v="353"/>
    <x v="62"/>
    <x v="0"/>
    <n v="1"/>
    <n v="977.02"/>
    <n v="0.2"/>
    <n v="781.61599999999999"/>
    <s v="COD"/>
    <x v="0"/>
    <x v="0"/>
    <x v="0"/>
  </r>
  <r>
    <x v="17"/>
    <s v="SALE58"/>
    <x v="62"/>
    <x v="136"/>
    <x v="393"/>
    <x v="62"/>
    <x v="0"/>
    <n v="4"/>
    <n v="733.42"/>
    <n v="0.87"/>
    <n v="2552.3015999999998"/>
    <s v="PayPal"/>
    <x v="1"/>
    <x v="0"/>
    <x v="0"/>
  </r>
  <r>
    <x v="17"/>
    <s v="SALE285"/>
    <x v="6"/>
    <x v="131"/>
    <x v="456"/>
    <x v="6"/>
    <x v="3"/>
    <n v="2"/>
    <n v="350.12"/>
    <n v="0.21"/>
    <n v="553.18960000000004"/>
    <s v="COD"/>
    <x v="1"/>
    <x v="0"/>
    <x v="1"/>
  </r>
  <r>
    <x v="17"/>
    <s v="SALE61"/>
    <x v="6"/>
    <x v="124"/>
    <x v="81"/>
    <x v="6"/>
    <x v="3"/>
    <n v="1"/>
    <n v="374.92"/>
    <n v="0.18"/>
    <n v="307.43439999999998"/>
    <s v="PayPal"/>
    <x v="1"/>
    <x v="0"/>
    <x v="1"/>
  </r>
  <r>
    <x v="17"/>
    <s v="SALE595"/>
    <x v="7"/>
    <x v="539"/>
    <x v="260"/>
    <x v="7"/>
    <x v="3"/>
    <n v="4"/>
    <n v="894.93"/>
    <n v="0.05"/>
    <n v="3400.733999999999"/>
    <s v="COD"/>
    <x v="1"/>
    <x v="0"/>
    <x v="1"/>
  </r>
  <r>
    <x v="17"/>
    <s v="SALE174"/>
    <x v="7"/>
    <x v="224"/>
    <x v="462"/>
    <x v="7"/>
    <x v="3"/>
    <n v="4"/>
    <n v="756.28"/>
    <n v="0.05"/>
    <n v="2873.864"/>
    <s v="COD"/>
    <x v="1"/>
    <x v="0"/>
    <x v="1"/>
  </r>
  <r>
    <x v="17"/>
    <s v="SALE1156"/>
    <x v="9"/>
    <x v="583"/>
    <x v="1"/>
    <x v="9"/>
    <x v="3"/>
    <n v="3"/>
    <n v="235.41"/>
    <n v="0.15"/>
    <n v="600.29549999999995"/>
    <s v="PayPal"/>
    <x v="1"/>
    <x v="0"/>
    <x v="0"/>
  </r>
  <r>
    <x v="17"/>
    <s v="SALE1373"/>
    <x v="63"/>
    <x v="18"/>
    <x v="18"/>
    <x v="63"/>
    <x v="4"/>
    <n v="2"/>
    <n v="608.46"/>
    <n v="0.16"/>
    <n v="1022.2128"/>
    <s v="Credit Card"/>
    <x v="0"/>
    <x v="0"/>
    <x v="0"/>
  </r>
  <r>
    <x v="17"/>
    <s v="SALE746"/>
    <x v="64"/>
    <x v="647"/>
    <x v="279"/>
    <x v="64"/>
    <x v="3"/>
    <n v="1"/>
    <n v="412.11"/>
    <n v="0.23"/>
    <n v="317.32470000000001"/>
    <s v="PayPal"/>
    <x v="0"/>
    <x v="0"/>
    <x v="0"/>
  </r>
  <r>
    <x v="17"/>
    <s v="SALE278"/>
    <x v="10"/>
    <x v="410"/>
    <x v="67"/>
    <x v="10"/>
    <x v="4"/>
    <n v="4"/>
    <n v="285.82"/>
    <n v="0.18"/>
    <n v="937.4896"/>
    <s v="PayPal"/>
    <x v="0"/>
    <x v="0"/>
    <x v="3"/>
  </r>
  <r>
    <x v="17"/>
    <s v="SALE648"/>
    <x v="11"/>
    <x v="198"/>
    <x v="136"/>
    <x v="11"/>
    <x v="0"/>
    <n v="1"/>
    <n v="566.5"/>
    <n v="0.25"/>
    <n v="424.875"/>
    <s v="COD"/>
    <x v="0"/>
    <x v="0"/>
    <x v="0"/>
  </r>
  <r>
    <x v="17"/>
    <s v="SALE336"/>
    <x v="13"/>
    <x v="650"/>
    <x v="365"/>
    <x v="13"/>
    <x v="3"/>
    <n v="3"/>
    <n v="884.92"/>
    <n v="0.06"/>
    <n v="2495.4744000000001"/>
    <s v="PayPal"/>
    <x v="1"/>
    <x v="0"/>
    <x v="1"/>
  </r>
  <r>
    <x v="17"/>
    <s v="SALE1272"/>
    <x v="99"/>
    <x v="178"/>
    <x v="280"/>
    <x v="99"/>
    <x v="2"/>
    <n v="3"/>
    <n v="310.36"/>
    <n v="0.14000000000000001"/>
    <n v="800.72879999999998"/>
    <s v="COD"/>
    <x v="1"/>
    <x v="0"/>
    <x v="3"/>
  </r>
  <r>
    <x v="17"/>
    <s v="SALE1878"/>
    <x v="14"/>
    <x v="651"/>
    <x v="120"/>
    <x v="14"/>
    <x v="4"/>
    <n v="3"/>
    <n v="604.66"/>
    <n v="0.18"/>
    <n v="1487.4636"/>
    <s v="COD"/>
    <x v="0"/>
    <x v="0"/>
    <x v="2"/>
  </r>
  <r>
    <x v="17"/>
    <s v="SALE1690"/>
    <x v="65"/>
    <x v="414"/>
    <x v="262"/>
    <x v="65"/>
    <x v="2"/>
    <n v="1"/>
    <n v="637.39"/>
    <n v="0.22"/>
    <n v="497.16419999999999"/>
    <s v="PayPal"/>
    <x v="1"/>
    <x v="0"/>
    <x v="3"/>
  </r>
  <r>
    <x v="17"/>
    <s v="SALE1063"/>
    <x v="16"/>
    <x v="465"/>
    <x v="121"/>
    <x v="16"/>
    <x v="0"/>
    <n v="4"/>
    <n v="36.72"/>
    <n v="7.0000000000000007E-2"/>
    <n v="136.5984"/>
    <s v="COD"/>
    <x v="0"/>
    <x v="0"/>
    <x v="1"/>
  </r>
  <r>
    <x v="17"/>
    <s v="SALE1168"/>
    <x v="16"/>
    <x v="411"/>
    <x v="329"/>
    <x v="16"/>
    <x v="0"/>
    <n v="1"/>
    <n v="168.29"/>
    <n v="0.05"/>
    <n v="159.87549999999999"/>
    <s v="PayPal"/>
    <x v="1"/>
    <x v="0"/>
    <x v="2"/>
  </r>
  <r>
    <x v="17"/>
    <s v="SALE1369"/>
    <x v="17"/>
    <x v="410"/>
    <x v="52"/>
    <x v="17"/>
    <x v="2"/>
    <n v="4"/>
    <n v="185.67"/>
    <n v="0.21"/>
    <n v="586.71719999999993"/>
    <s v="PayPal"/>
    <x v="0"/>
    <x v="0"/>
    <x v="2"/>
  </r>
  <r>
    <x v="17"/>
    <s v="SALE1810"/>
    <x v="17"/>
    <x v="385"/>
    <x v="174"/>
    <x v="17"/>
    <x v="2"/>
    <n v="1"/>
    <n v="617.4"/>
    <n v="0.21"/>
    <n v="487.74599999999998"/>
    <s v="Credit Card"/>
    <x v="0"/>
    <x v="0"/>
    <x v="1"/>
  </r>
  <r>
    <x v="17"/>
    <s v="SALE1981"/>
    <x v="18"/>
    <x v="240"/>
    <x v="162"/>
    <x v="18"/>
    <x v="4"/>
    <n v="1"/>
    <n v="377.52"/>
    <n v="0.15"/>
    <n v="320.892"/>
    <s v="Credit Card"/>
    <x v="0"/>
    <x v="0"/>
    <x v="3"/>
  </r>
  <r>
    <x v="17"/>
    <s v="SALE1182"/>
    <x v="18"/>
    <x v="652"/>
    <x v="338"/>
    <x v="18"/>
    <x v="4"/>
    <n v="1"/>
    <n v="514.65"/>
    <n v="0.18"/>
    <n v="422.01299999999998"/>
    <s v="Credit Card"/>
    <x v="1"/>
    <x v="0"/>
    <x v="1"/>
  </r>
  <r>
    <x v="17"/>
    <s v="SALE698"/>
    <x v="19"/>
    <x v="386"/>
    <x v="388"/>
    <x v="19"/>
    <x v="4"/>
    <n v="3"/>
    <n v="346.77"/>
    <n v="0.18"/>
    <n v="853.05420000000004"/>
    <s v="PayPal"/>
    <x v="1"/>
    <x v="0"/>
    <x v="3"/>
  </r>
  <r>
    <x v="17"/>
    <s v="SALE1068"/>
    <x v="19"/>
    <x v="636"/>
    <x v="228"/>
    <x v="19"/>
    <x v="4"/>
    <n v="2"/>
    <n v="606.35"/>
    <n v="0.16"/>
    <n v="1018.668"/>
    <s v="COD"/>
    <x v="0"/>
    <x v="0"/>
    <x v="2"/>
  </r>
  <r>
    <x v="17"/>
    <s v="SALE1683"/>
    <x v="19"/>
    <x v="7"/>
    <x v="258"/>
    <x v="19"/>
    <x v="4"/>
    <n v="2"/>
    <n v="78.27"/>
    <n v="0.28999999999999998"/>
    <n v="111.1434"/>
    <s v="COD"/>
    <x v="1"/>
    <x v="0"/>
    <x v="2"/>
  </r>
  <r>
    <x v="17"/>
    <s v="SALE1702"/>
    <x v="19"/>
    <x v="182"/>
    <x v="442"/>
    <x v="19"/>
    <x v="4"/>
    <n v="2"/>
    <n v="985.79"/>
    <n v="0.04"/>
    <n v="1892.7167999999999"/>
    <s v="PayPal"/>
    <x v="0"/>
    <x v="0"/>
    <x v="0"/>
  </r>
  <r>
    <x v="17"/>
    <s v="SALE389"/>
    <x v="19"/>
    <x v="435"/>
    <x v="392"/>
    <x v="19"/>
    <x v="4"/>
    <n v="4"/>
    <n v="482.06"/>
    <n v="7.0000000000000007E-2"/>
    <n v="1793.2632000000001"/>
    <s v="PayPal"/>
    <x v="1"/>
    <x v="0"/>
    <x v="3"/>
  </r>
  <r>
    <x v="17"/>
    <s v="SALE707"/>
    <x v="20"/>
    <x v="224"/>
    <x v="16"/>
    <x v="20"/>
    <x v="3"/>
    <n v="3"/>
    <n v="179.7"/>
    <n v="0.17"/>
    <n v="447.45299999999992"/>
    <s v="COD"/>
    <x v="1"/>
    <x v="0"/>
    <x v="3"/>
  </r>
  <r>
    <x v="17"/>
    <s v="SALE533"/>
    <x v="20"/>
    <x v="350"/>
    <x v="399"/>
    <x v="20"/>
    <x v="3"/>
    <n v="2"/>
    <n v="358.45"/>
    <n v="7.0000000000000007E-2"/>
    <n v="666.71699999999998"/>
    <s v="COD"/>
    <x v="0"/>
    <x v="0"/>
    <x v="2"/>
  </r>
  <r>
    <x v="17"/>
    <s v="SALE579"/>
    <x v="21"/>
    <x v="49"/>
    <x v="372"/>
    <x v="21"/>
    <x v="0"/>
    <n v="2"/>
    <n v="507.66"/>
    <n v="0"/>
    <n v="1015.32"/>
    <s v="COD"/>
    <x v="0"/>
    <x v="0"/>
    <x v="0"/>
  </r>
  <r>
    <x v="17"/>
    <s v="SALE487"/>
    <x v="21"/>
    <x v="425"/>
    <x v="169"/>
    <x v="21"/>
    <x v="0"/>
    <n v="4"/>
    <n v="284.44"/>
    <n v="0.02"/>
    <n v="1115.0047999999999"/>
    <s v="Credit Card"/>
    <x v="0"/>
    <x v="0"/>
    <x v="0"/>
  </r>
  <r>
    <x v="17"/>
    <s v="SALE709"/>
    <x v="95"/>
    <x v="638"/>
    <x v="428"/>
    <x v="95"/>
    <x v="4"/>
    <n v="4"/>
    <n v="723.44"/>
    <n v="0.14000000000000001"/>
    <n v="2488.6336000000001"/>
    <s v="PayPal"/>
    <x v="0"/>
    <x v="0"/>
    <x v="2"/>
  </r>
  <r>
    <x v="17"/>
    <s v="SALE992"/>
    <x v="22"/>
    <x v="285"/>
    <x v="401"/>
    <x v="22"/>
    <x v="0"/>
    <n v="3"/>
    <n v="490.02"/>
    <n v="0.26"/>
    <n v="1087.8444"/>
    <s v="Credit Card"/>
    <x v="0"/>
    <x v="0"/>
    <x v="4"/>
  </r>
  <r>
    <x v="17"/>
    <s v="SALE913"/>
    <x v="23"/>
    <x v="105"/>
    <x v="195"/>
    <x v="23"/>
    <x v="0"/>
    <n v="3"/>
    <n v="94.55"/>
    <n v="0.13"/>
    <n v="246.77549999999999"/>
    <s v="COD"/>
    <x v="0"/>
    <x v="0"/>
    <x v="0"/>
  </r>
  <r>
    <x v="17"/>
    <s v="SALE262"/>
    <x v="23"/>
    <x v="507"/>
    <x v="376"/>
    <x v="23"/>
    <x v="0"/>
    <n v="3"/>
    <n v="553.12"/>
    <n v="0.28000000000000003"/>
    <n v="1194.7392"/>
    <s v="COD"/>
    <x v="1"/>
    <x v="0"/>
    <x v="1"/>
  </r>
  <r>
    <x v="17"/>
    <s v="SALE1721"/>
    <x v="68"/>
    <x v="73"/>
    <x v="481"/>
    <x v="68"/>
    <x v="0"/>
    <n v="2"/>
    <n v="536.61"/>
    <n v="0.14000000000000001"/>
    <n v="922.9692"/>
    <s v="Credit Card"/>
    <x v="0"/>
    <x v="0"/>
    <x v="2"/>
  </r>
  <r>
    <x v="17"/>
    <s v="SALE1141"/>
    <x v="25"/>
    <x v="649"/>
    <x v="66"/>
    <x v="25"/>
    <x v="4"/>
    <n v="2"/>
    <n v="143.79"/>
    <n v="0.1"/>
    <n v="258.822"/>
    <s v="PayPal"/>
    <x v="1"/>
    <x v="0"/>
    <x v="3"/>
  </r>
  <r>
    <x v="17"/>
    <s v="SALE715"/>
    <x v="26"/>
    <x v="264"/>
    <x v="182"/>
    <x v="26"/>
    <x v="1"/>
    <n v="3"/>
    <n v="79.77"/>
    <n v="0.09"/>
    <n v="217.77209999999999"/>
    <s v="Credit Card"/>
    <x v="0"/>
    <x v="0"/>
    <x v="0"/>
  </r>
  <r>
    <x v="17"/>
    <s v="SALE1542"/>
    <x v="83"/>
    <x v="526"/>
    <x v="157"/>
    <x v="83"/>
    <x v="0"/>
    <n v="3"/>
    <n v="855.96"/>
    <n v="0.28999999999999998"/>
    <n v="1823.1948"/>
    <s v="COD"/>
    <x v="1"/>
    <x v="0"/>
    <x v="3"/>
  </r>
  <r>
    <x v="17"/>
    <s v="SALE1318"/>
    <x v="83"/>
    <x v="653"/>
    <x v="469"/>
    <x v="83"/>
    <x v="0"/>
    <n v="2"/>
    <n v="271.39999999999998"/>
    <n v="0.17"/>
    <n v="450.52399999999989"/>
    <s v="PayPal"/>
    <x v="0"/>
    <x v="0"/>
    <x v="1"/>
  </r>
  <r>
    <x v="17"/>
    <s v="SALE1392"/>
    <x v="27"/>
    <x v="654"/>
    <x v="2"/>
    <x v="27"/>
    <x v="1"/>
    <n v="3"/>
    <n v="847.44"/>
    <n v="0.17"/>
    <n v="2110.1255999999998"/>
    <s v="Credit Card"/>
    <x v="1"/>
    <x v="0"/>
    <x v="1"/>
  </r>
  <r>
    <x v="17"/>
    <s v="SALE492"/>
    <x v="27"/>
    <x v="655"/>
    <x v="56"/>
    <x v="27"/>
    <x v="1"/>
    <n v="2"/>
    <n v="955.66"/>
    <n v="0.28999999999999998"/>
    <n v="1357.0372"/>
    <s v="COD"/>
    <x v="0"/>
    <x v="0"/>
    <x v="2"/>
  </r>
  <r>
    <x v="17"/>
    <s v="SALE36"/>
    <x v="28"/>
    <x v="393"/>
    <x v="482"/>
    <x v="28"/>
    <x v="4"/>
    <n v="3"/>
    <n v="559.52"/>
    <n v="0.16"/>
    <n v="1409.9903999999999"/>
    <s v="PayPal"/>
    <x v="1"/>
    <x v="0"/>
    <x v="3"/>
  </r>
  <r>
    <x v="17"/>
    <s v="SALE122"/>
    <x v="29"/>
    <x v="459"/>
    <x v="364"/>
    <x v="29"/>
    <x v="3"/>
    <n v="2"/>
    <n v="197.76"/>
    <n v="0.04"/>
    <n v="379.69920000000002"/>
    <s v="Credit Card"/>
    <x v="1"/>
    <x v="0"/>
    <x v="0"/>
  </r>
  <r>
    <x v="17"/>
    <s v="SALE1935"/>
    <x v="84"/>
    <x v="589"/>
    <x v="434"/>
    <x v="84"/>
    <x v="0"/>
    <n v="4"/>
    <n v="581.34"/>
    <n v="0.08"/>
    <n v="2139.3312000000001"/>
    <s v="Credit Card"/>
    <x v="0"/>
    <x v="0"/>
    <x v="3"/>
  </r>
  <r>
    <x v="17"/>
    <s v="SALE587"/>
    <x v="85"/>
    <x v="366"/>
    <x v="117"/>
    <x v="85"/>
    <x v="3"/>
    <n v="4"/>
    <n v="915.17"/>
    <n v="0.19"/>
    <n v="2965.1507999999999"/>
    <s v="COD"/>
    <x v="1"/>
    <x v="0"/>
    <x v="1"/>
  </r>
  <r>
    <x v="17"/>
    <s v="SALE1038"/>
    <x v="70"/>
    <x v="416"/>
    <x v="224"/>
    <x v="70"/>
    <x v="4"/>
    <n v="2"/>
    <n v="314.29000000000002"/>
    <n v="0.19"/>
    <n v="509.14980000000008"/>
    <s v="COD"/>
    <x v="0"/>
    <x v="0"/>
    <x v="2"/>
  </r>
  <r>
    <x v="17"/>
    <s v="SALE1974"/>
    <x v="70"/>
    <x v="459"/>
    <x v="235"/>
    <x v="70"/>
    <x v="4"/>
    <n v="2"/>
    <n v="842.89"/>
    <n v="0.25"/>
    <n v="1264.335"/>
    <s v="COD"/>
    <x v="1"/>
    <x v="0"/>
    <x v="1"/>
  </r>
  <r>
    <x v="17"/>
    <s v="SALE549"/>
    <x v="31"/>
    <x v="656"/>
    <x v="476"/>
    <x v="31"/>
    <x v="2"/>
    <n v="1"/>
    <n v="522.85"/>
    <n v="0.12"/>
    <n v="460.108"/>
    <s v="PayPal"/>
    <x v="0"/>
    <x v="0"/>
    <x v="1"/>
  </r>
  <r>
    <x v="17"/>
    <s v="SALE574"/>
    <x v="31"/>
    <x v="657"/>
    <x v="192"/>
    <x v="31"/>
    <x v="2"/>
    <n v="2"/>
    <n v="778.56"/>
    <n v="0.11"/>
    <n v="1385.8368"/>
    <s v="COD"/>
    <x v="0"/>
    <x v="0"/>
    <x v="2"/>
  </r>
  <r>
    <x v="17"/>
    <s v="SALE1487"/>
    <x v="31"/>
    <x v="658"/>
    <x v="204"/>
    <x v="31"/>
    <x v="2"/>
    <n v="1"/>
    <n v="917.26"/>
    <n v="0.05"/>
    <n v="871.39699999999993"/>
    <s v="PayPal"/>
    <x v="1"/>
    <x v="0"/>
    <x v="0"/>
  </r>
  <r>
    <x v="17"/>
    <s v="SALE98"/>
    <x v="32"/>
    <x v="176"/>
    <x v="11"/>
    <x v="32"/>
    <x v="2"/>
    <n v="4"/>
    <n v="476.28"/>
    <n v="0.17"/>
    <n v="1581.2496000000001"/>
    <s v="Credit Card"/>
    <x v="1"/>
    <x v="0"/>
    <x v="2"/>
  </r>
  <r>
    <x v="17"/>
    <s v="SALE688"/>
    <x v="32"/>
    <x v="523"/>
    <x v="23"/>
    <x v="32"/>
    <x v="2"/>
    <n v="4"/>
    <n v="263.58999999999997"/>
    <n v="0.04"/>
    <n v="1012.1856"/>
    <s v="Credit Card"/>
    <x v="1"/>
    <x v="0"/>
    <x v="1"/>
  </r>
  <r>
    <x v="17"/>
    <s v="SALE1167"/>
    <x v="33"/>
    <x v="633"/>
    <x v="229"/>
    <x v="33"/>
    <x v="4"/>
    <n v="1"/>
    <n v="458.69"/>
    <n v="0.16"/>
    <n v="385.2996"/>
    <s v="PayPal"/>
    <x v="1"/>
    <x v="0"/>
    <x v="0"/>
  </r>
  <r>
    <x v="17"/>
    <s v="SALE1270"/>
    <x v="33"/>
    <x v="630"/>
    <x v="381"/>
    <x v="33"/>
    <x v="4"/>
    <n v="3"/>
    <n v="742.45"/>
    <n v="0.23"/>
    <n v="1715.0595000000001"/>
    <s v="COD"/>
    <x v="1"/>
    <x v="0"/>
    <x v="1"/>
  </r>
  <r>
    <x v="17"/>
    <s v="SALE1498"/>
    <x v="97"/>
    <x v="407"/>
    <x v="358"/>
    <x v="97"/>
    <x v="1"/>
    <n v="2"/>
    <n v="958.64"/>
    <n v="0.2"/>
    <n v="1533.8240000000001"/>
    <s v="PayPal"/>
    <x v="0"/>
    <x v="0"/>
    <x v="1"/>
  </r>
  <r>
    <x v="17"/>
    <s v="SALE564"/>
    <x v="97"/>
    <x v="570"/>
    <x v="451"/>
    <x v="97"/>
    <x v="1"/>
    <n v="3"/>
    <n v="836.4"/>
    <n v="0"/>
    <n v="2509.1999999999998"/>
    <s v="Credit Card"/>
    <x v="1"/>
    <x v="0"/>
    <x v="2"/>
  </r>
  <r>
    <x v="17"/>
    <s v="SALE756"/>
    <x v="34"/>
    <x v="482"/>
    <x v="298"/>
    <x v="34"/>
    <x v="1"/>
    <n v="2"/>
    <n v="257.95999999999998"/>
    <n v="0.21"/>
    <n v="407.57679999999999"/>
    <s v="PayPal"/>
    <x v="1"/>
    <x v="0"/>
    <x v="0"/>
  </r>
  <r>
    <x v="17"/>
    <s v="SALE1061"/>
    <x v="87"/>
    <x v="423"/>
    <x v="320"/>
    <x v="87"/>
    <x v="3"/>
    <n v="2"/>
    <n v="654.12"/>
    <n v="0.27"/>
    <n v="955.01519999999994"/>
    <s v="PayPal"/>
    <x v="0"/>
    <x v="0"/>
    <x v="3"/>
  </r>
  <r>
    <x v="17"/>
    <s v="SALE900"/>
    <x v="35"/>
    <x v="507"/>
    <x v="120"/>
    <x v="35"/>
    <x v="0"/>
    <n v="4"/>
    <n v="46.97"/>
    <n v="0.26"/>
    <n v="139.03120000000001"/>
    <s v="PayPal"/>
    <x v="0"/>
    <x v="0"/>
    <x v="2"/>
  </r>
  <r>
    <x v="17"/>
    <s v="SALE668"/>
    <x v="36"/>
    <x v="577"/>
    <x v="257"/>
    <x v="36"/>
    <x v="1"/>
    <n v="1"/>
    <n v="536.67999999999995"/>
    <n v="0.27"/>
    <n v="391.77640000000002"/>
    <s v="Credit Card"/>
    <x v="1"/>
    <x v="0"/>
    <x v="1"/>
  </r>
  <r>
    <x v="17"/>
    <s v="SALE912"/>
    <x v="37"/>
    <x v="327"/>
    <x v="448"/>
    <x v="37"/>
    <x v="1"/>
    <n v="2"/>
    <n v="747.65"/>
    <n v="0.08"/>
    <n v="1375.6759999999999"/>
    <s v="Credit Card"/>
    <x v="0"/>
    <x v="0"/>
    <x v="3"/>
  </r>
  <r>
    <x v="17"/>
    <s v="SALE289"/>
    <x v="72"/>
    <x v="204"/>
    <x v="427"/>
    <x v="72"/>
    <x v="3"/>
    <n v="1"/>
    <n v="203.61"/>
    <n v="0.24"/>
    <n v="154.74359999999999"/>
    <s v="COD"/>
    <x v="0"/>
    <x v="0"/>
    <x v="2"/>
  </r>
  <r>
    <x v="17"/>
    <s v="SALE969"/>
    <x v="72"/>
    <x v="301"/>
    <x v="172"/>
    <x v="72"/>
    <x v="3"/>
    <n v="1"/>
    <n v="370.04"/>
    <n v="0.04"/>
    <n v="355.23840000000001"/>
    <s v="COD"/>
    <x v="1"/>
    <x v="0"/>
    <x v="1"/>
  </r>
  <r>
    <x v="17"/>
    <s v="SALE51"/>
    <x v="40"/>
    <x v="633"/>
    <x v="214"/>
    <x v="40"/>
    <x v="4"/>
    <n v="3"/>
    <n v="76.569999999999993"/>
    <n v="0.26"/>
    <n v="169.9854"/>
    <s v="Credit Card"/>
    <x v="0"/>
    <x v="0"/>
    <x v="2"/>
  </r>
  <r>
    <x v="17"/>
    <s v="SALE1631"/>
    <x v="89"/>
    <x v="340"/>
    <x v="327"/>
    <x v="89"/>
    <x v="2"/>
    <n v="2"/>
    <n v="784.26"/>
    <n v="0.23"/>
    <n v="1207.7603999999999"/>
    <s v="PayPal"/>
    <x v="1"/>
    <x v="0"/>
    <x v="3"/>
  </r>
  <r>
    <x v="17"/>
    <s v="SALE1614"/>
    <x v="41"/>
    <x v="501"/>
    <x v="225"/>
    <x v="41"/>
    <x v="2"/>
    <n v="3"/>
    <n v="687.66"/>
    <n v="0.06"/>
    <n v="1939.2012"/>
    <s v="PayPal"/>
    <x v="1"/>
    <x v="0"/>
    <x v="3"/>
  </r>
  <r>
    <x v="17"/>
    <s v="SALE1616"/>
    <x v="73"/>
    <x v="595"/>
    <x v="199"/>
    <x v="73"/>
    <x v="1"/>
    <n v="1"/>
    <n v="475.15"/>
    <n v="0.04"/>
    <n v="456.14399999999989"/>
    <s v="COD"/>
    <x v="0"/>
    <x v="0"/>
    <x v="0"/>
  </r>
  <r>
    <x v="17"/>
    <s v="SALE169"/>
    <x v="42"/>
    <x v="57"/>
    <x v="66"/>
    <x v="42"/>
    <x v="3"/>
    <n v="2"/>
    <n v="343.42"/>
    <n v="0.12"/>
    <n v="604.41920000000005"/>
    <s v="COD"/>
    <x v="1"/>
    <x v="0"/>
    <x v="3"/>
  </r>
  <r>
    <x v="17"/>
    <s v="SALE1405"/>
    <x v="42"/>
    <x v="659"/>
    <x v="394"/>
    <x v="42"/>
    <x v="3"/>
    <n v="4"/>
    <n v="282.07"/>
    <n v="0.18"/>
    <n v="925.18960000000004"/>
    <s v="PayPal"/>
    <x v="1"/>
    <x v="0"/>
    <x v="0"/>
  </r>
  <r>
    <x v="17"/>
    <s v="SALE801"/>
    <x v="43"/>
    <x v="660"/>
    <x v="392"/>
    <x v="43"/>
    <x v="3"/>
    <n v="3"/>
    <n v="405.13"/>
    <n v="0.14000000000000001"/>
    <n v="1045.2354"/>
    <s v="COD"/>
    <x v="1"/>
    <x v="0"/>
    <x v="3"/>
  </r>
  <r>
    <x v="17"/>
    <s v="SALE246"/>
    <x v="44"/>
    <x v="661"/>
    <x v="132"/>
    <x v="44"/>
    <x v="0"/>
    <n v="2"/>
    <n v="130.47999999999999"/>
    <n v="0.23"/>
    <n v="200.9392"/>
    <s v="PayPal"/>
    <x v="0"/>
    <x v="0"/>
    <x v="3"/>
  </r>
  <r>
    <x v="17"/>
    <s v="SALE1469"/>
    <x v="45"/>
    <x v="40"/>
    <x v="143"/>
    <x v="45"/>
    <x v="4"/>
    <n v="3"/>
    <n v="582.1"/>
    <n v="0.12"/>
    <n v="1536.7439999999999"/>
    <s v="PayPal"/>
    <x v="0"/>
    <x v="0"/>
    <x v="0"/>
  </r>
  <r>
    <x v="17"/>
    <s v="SALE1157"/>
    <x v="75"/>
    <x v="425"/>
    <x v="247"/>
    <x v="75"/>
    <x v="2"/>
    <n v="3"/>
    <n v="744.9"/>
    <n v="0.27"/>
    <n v="1631.3309999999999"/>
    <s v="PayPal"/>
    <x v="0"/>
    <x v="0"/>
    <x v="2"/>
  </r>
  <r>
    <x v="17"/>
    <s v="SALE1771"/>
    <x v="76"/>
    <x v="321"/>
    <x v="393"/>
    <x v="76"/>
    <x v="2"/>
    <n v="1"/>
    <n v="224.49"/>
    <n v="0.11"/>
    <n v="199.7961"/>
    <s v="PayPal"/>
    <x v="1"/>
    <x v="0"/>
    <x v="0"/>
  </r>
  <r>
    <x v="17"/>
    <s v="SALE167"/>
    <x v="76"/>
    <x v="662"/>
    <x v="470"/>
    <x v="76"/>
    <x v="2"/>
    <n v="4"/>
    <n v="422.09"/>
    <n v="0.04"/>
    <n v="1620.8255999999999"/>
    <s v="Credit Card"/>
    <x v="1"/>
    <x v="0"/>
    <x v="0"/>
  </r>
  <r>
    <x v="17"/>
    <s v="SALE245"/>
    <x v="77"/>
    <x v="431"/>
    <x v="332"/>
    <x v="77"/>
    <x v="0"/>
    <n v="2"/>
    <n v="377.3"/>
    <n v="0.15"/>
    <n v="641.41"/>
    <s v="PayPal"/>
    <x v="1"/>
    <x v="0"/>
    <x v="2"/>
  </r>
  <r>
    <x v="17"/>
    <s v="SALE924"/>
    <x v="46"/>
    <x v="663"/>
    <x v="54"/>
    <x v="46"/>
    <x v="3"/>
    <n v="1"/>
    <n v="26.37"/>
    <n v="0.3"/>
    <n v="18.459"/>
    <s v="COD"/>
    <x v="0"/>
    <x v="0"/>
    <x v="2"/>
  </r>
  <r>
    <x v="17"/>
    <s v="SALE603"/>
    <x v="46"/>
    <x v="186"/>
    <x v="462"/>
    <x v="46"/>
    <x v="3"/>
    <n v="4"/>
    <n v="262.05"/>
    <n v="0.24"/>
    <n v="796.63200000000006"/>
    <s v="PayPal"/>
    <x v="1"/>
    <x v="0"/>
    <x v="1"/>
  </r>
  <r>
    <x v="17"/>
    <s v="SALE1299"/>
    <x v="47"/>
    <x v="466"/>
    <x v="133"/>
    <x v="47"/>
    <x v="3"/>
    <n v="1"/>
    <n v="162.13999999999999"/>
    <n v="7.0000000000000007E-2"/>
    <n v="150.7902"/>
    <s v="PayPal"/>
    <x v="1"/>
    <x v="0"/>
    <x v="3"/>
  </r>
  <r>
    <x v="17"/>
    <s v="SALE267"/>
    <x v="48"/>
    <x v="154"/>
    <x v="400"/>
    <x v="48"/>
    <x v="1"/>
    <n v="2"/>
    <n v="467.75"/>
    <n v="0.26"/>
    <n v="692.27"/>
    <s v="Credit Card"/>
    <x v="0"/>
    <x v="0"/>
    <x v="1"/>
  </r>
  <r>
    <x v="17"/>
    <s v="SALE1220"/>
    <x v="78"/>
    <x v="487"/>
    <x v="483"/>
    <x v="78"/>
    <x v="2"/>
    <n v="4"/>
    <n v="450.83"/>
    <n v="0.24"/>
    <n v="1370.5232000000001"/>
    <s v="Credit Card"/>
    <x v="0"/>
    <x v="0"/>
    <x v="1"/>
  </r>
  <r>
    <x v="17"/>
    <s v="SALE115"/>
    <x v="49"/>
    <x v="488"/>
    <x v="21"/>
    <x v="49"/>
    <x v="4"/>
    <n v="4"/>
    <n v="930.85"/>
    <n v="0.13"/>
    <n v="3239.3580000000002"/>
    <s v="PayPal"/>
    <x v="0"/>
    <x v="0"/>
    <x v="0"/>
  </r>
  <r>
    <x v="17"/>
    <s v="SALE1236"/>
    <x v="50"/>
    <x v="645"/>
    <x v="81"/>
    <x v="50"/>
    <x v="2"/>
    <n v="1"/>
    <n v="729.05"/>
    <n v="0.06"/>
    <n v="685.3069999999999"/>
    <s v="COD"/>
    <x v="1"/>
    <x v="0"/>
    <x v="1"/>
  </r>
  <r>
    <x v="17"/>
    <s v="SALE107"/>
    <x v="50"/>
    <x v="102"/>
    <x v="364"/>
    <x v="50"/>
    <x v="2"/>
    <n v="4"/>
    <n v="525.61"/>
    <n v="0.02"/>
    <n v="2060.3912"/>
    <s v="PayPal"/>
    <x v="1"/>
    <x v="0"/>
    <x v="0"/>
  </r>
  <r>
    <x v="17"/>
    <s v="SALE873"/>
    <x v="51"/>
    <x v="243"/>
    <x v="103"/>
    <x v="51"/>
    <x v="2"/>
    <n v="2"/>
    <n v="386.46"/>
    <n v="0.23"/>
    <n v="595.14840000000004"/>
    <s v="COD"/>
    <x v="0"/>
    <x v="0"/>
    <x v="3"/>
  </r>
  <r>
    <x v="17"/>
    <s v="SALE85"/>
    <x v="52"/>
    <x v="436"/>
    <x v="241"/>
    <x v="52"/>
    <x v="3"/>
    <n v="4"/>
    <n v="127.1"/>
    <n v="0.24"/>
    <n v="386.38400000000001"/>
    <s v="COD"/>
    <x v="0"/>
    <x v="0"/>
    <x v="1"/>
  </r>
  <r>
    <x v="17"/>
    <s v="SALE1450"/>
    <x v="92"/>
    <x v="664"/>
    <x v="451"/>
    <x v="92"/>
    <x v="3"/>
    <n v="1"/>
    <n v="484.23"/>
    <n v="0.12"/>
    <n v="426.12240000000003"/>
    <s v="COD"/>
    <x v="1"/>
    <x v="0"/>
    <x v="2"/>
  </r>
  <r>
    <x v="17"/>
    <s v="SALE960"/>
    <x v="54"/>
    <x v="259"/>
    <x v="74"/>
    <x v="54"/>
    <x v="0"/>
    <n v="1"/>
    <n v="537.26"/>
    <n v="0.09"/>
    <n v="488.90660000000003"/>
    <s v="Credit Card"/>
    <x v="1"/>
    <x v="0"/>
    <x v="2"/>
  </r>
  <r>
    <x v="17"/>
    <s v="SALE540"/>
    <x v="55"/>
    <x v="26"/>
    <x v="201"/>
    <x v="55"/>
    <x v="4"/>
    <n v="2"/>
    <n v="533.91999999999996"/>
    <n v="0.13"/>
    <n v="929.02079999999989"/>
    <s v="Credit Card"/>
    <x v="1"/>
    <x v="0"/>
    <x v="2"/>
  </r>
  <r>
    <x v="17"/>
    <s v="SALE1023"/>
    <x v="93"/>
    <x v="371"/>
    <x v="119"/>
    <x v="93"/>
    <x v="0"/>
    <n v="3"/>
    <n v="159.76"/>
    <n v="0.22"/>
    <n v="373.83839999999998"/>
    <s v="Credit Card"/>
    <x v="1"/>
    <x v="0"/>
    <x v="1"/>
  </r>
  <r>
    <x v="17"/>
    <s v="SALE1385"/>
    <x v="93"/>
    <x v="133"/>
    <x v="484"/>
    <x v="93"/>
    <x v="0"/>
    <n v="2"/>
    <n v="224.69"/>
    <n v="0.2"/>
    <n v="359.50400000000002"/>
    <s v="COD"/>
    <x v="1"/>
    <x v="0"/>
    <x v="3"/>
  </r>
  <r>
    <x v="17"/>
    <s v="SALE1439"/>
    <x v="93"/>
    <x v="181"/>
    <x v="485"/>
    <x v="93"/>
    <x v="0"/>
    <n v="2"/>
    <n v="846.18"/>
    <n v="0.1"/>
    <n v="1523.124"/>
    <s v="COD"/>
    <x v="1"/>
    <x v="0"/>
    <x v="2"/>
  </r>
  <r>
    <x v="17"/>
    <s v="SALE1341"/>
    <x v="93"/>
    <x v="481"/>
    <x v="20"/>
    <x v="93"/>
    <x v="0"/>
    <n v="4"/>
    <n v="763.34"/>
    <n v="7.0000000000000007E-2"/>
    <n v="2839.6248000000001"/>
    <s v="PayPal"/>
    <x v="0"/>
    <x v="0"/>
    <x v="0"/>
  </r>
  <r>
    <x v="17"/>
    <s v="SALE1548"/>
    <x v="57"/>
    <x v="578"/>
    <x v="120"/>
    <x v="57"/>
    <x v="1"/>
    <n v="3"/>
    <n v="99.67"/>
    <n v="0.17"/>
    <n v="248.17830000000001"/>
    <s v="Credit Card"/>
    <x v="0"/>
    <x v="0"/>
    <x v="2"/>
  </r>
  <r>
    <x v="17"/>
    <s v="SALE518"/>
    <x v="58"/>
    <x v="472"/>
    <x v="73"/>
    <x v="58"/>
    <x v="3"/>
    <n v="3"/>
    <n v="268.76"/>
    <n v="0.01"/>
    <n v="798.21719999999993"/>
    <s v="PayPal"/>
    <x v="0"/>
    <x v="0"/>
    <x v="3"/>
  </r>
  <r>
    <x v="17"/>
    <s v="SALE620"/>
    <x v="79"/>
    <x v="500"/>
    <x v="452"/>
    <x v="79"/>
    <x v="3"/>
    <n v="3"/>
    <n v="411.25"/>
    <n v="0.05"/>
    <n v="1172.0625"/>
    <s v="Credit Card"/>
    <x v="1"/>
    <x v="0"/>
    <x v="1"/>
  </r>
  <r>
    <x v="17"/>
    <s v="SALE1248"/>
    <x v="79"/>
    <x v="224"/>
    <x v="151"/>
    <x v="79"/>
    <x v="3"/>
    <n v="4"/>
    <n v="938.21"/>
    <n v="0.04"/>
    <n v="3602.7264"/>
    <s v="PayPal"/>
    <x v="1"/>
    <x v="0"/>
    <x v="1"/>
  </r>
  <r>
    <x v="17"/>
    <s v="SALE324"/>
    <x v="94"/>
    <x v="396"/>
    <x v="334"/>
    <x v="94"/>
    <x v="0"/>
    <n v="4"/>
    <n v="548.44000000000005"/>
    <n v="0.05"/>
    <n v="2084.0720000000001"/>
    <s v="PayPal"/>
    <x v="1"/>
    <x v="0"/>
    <x v="3"/>
  </r>
  <r>
    <x v="17"/>
    <s v="SALE782"/>
    <x v="94"/>
    <x v="311"/>
    <x v="185"/>
    <x v="94"/>
    <x v="0"/>
    <n v="4"/>
    <n v="107.08"/>
    <n v="0.27"/>
    <n v="312.67360000000002"/>
    <s v="COD"/>
    <x v="0"/>
    <x v="0"/>
    <x v="1"/>
  </r>
  <r>
    <x v="18"/>
    <s v="SALE261"/>
    <x v="98"/>
    <x v="47"/>
    <x v="464"/>
    <x v="98"/>
    <x v="0"/>
    <n v="4"/>
    <n v="849.21"/>
    <n v="7.0000000000000007E-2"/>
    <n v="3159.0612000000001"/>
    <s v="Credit Card"/>
    <x v="1"/>
    <x v="0"/>
    <x v="3"/>
  </r>
  <r>
    <x v="18"/>
    <s v="SALE1287"/>
    <x v="1"/>
    <x v="658"/>
    <x v="266"/>
    <x v="1"/>
    <x v="1"/>
    <n v="3"/>
    <n v="906.99"/>
    <n v="0.26"/>
    <n v="2013.5178000000001"/>
    <s v="COD"/>
    <x v="1"/>
    <x v="0"/>
    <x v="2"/>
  </r>
  <r>
    <x v="18"/>
    <s v="SALE23"/>
    <x v="1"/>
    <x v="246"/>
    <x v="336"/>
    <x v="1"/>
    <x v="1"/>
    <n v="1"/>
    <n v="719.28"/>
    <n v="0.08"/>
    <n v="661.73760000000004"/>
    <s v="Credit Card"/>
    <x v="1"/>
    <x v="0"/>
    <x v="1"/>
  </r>
  <r>
    <x v="18"/>
    <s v="SALE151"/>
    <x v="61"/>
    <x v="13"/>
    <x v="455"/>
    <x v="61"/>
    <x v="0"/>
    <n v="4"/>
    <n v="535.4"/>
    <n v="0.26"/>
    <n v="1584.7840000000001"/>
    <s v="PayPal"/>
    <x v="1"/>
    <x v="0"/>
    <x v="0"/>
  </r>
  <r>
    <x v="18"/>
    <s v="SALE1116"/>
    <x v="61"/>
    <x v="566"/>
    <x v="107"/>
    <x v="61"/>
    <x v="0"/>
    <n v="3"/>
    <n v="278.38"/>
    <n v="0.03"/>
    <n v="810.08579999999995"/>
    <s v="Credit Card"/>
    <x v="1"/>
    <x v="0"/>
    <x v="3"/>
  </r>
  <r>
    <x v="18"/>
    <s v="SALE869"/>
    <x v="61"/>
    <x v="656"/>
    <x v="248"/>
    <x v="61"/>
    <x v="0"/>
    <n v="1"/>
    <n v="139.29"/>
    <n v="0"/>
    <n v="139.29"/>
    <s v="Credit Card"/>
    <x v="1"/>
    <x v="0"/>
    <x v="2"/>
  </r>
  <r>
    <x v="18"/>
    <s v="SALE1896"/>
    <x v="61"/>
    <x v="4"/>
    <x v="449"/>
    <x v="61"/>
    <x v="0"/>
    <n v="4"/>
    <n v="729.31"/>
    <n v="0.03"/>
    <n v="2829.7228"/>
    <s v="Credit Card"/>
    <x v="1"/>
    <x v="0"/>
    <x v="3"/>
  </r>
  <r>
    <x v="18"/>
    <s v="SALE870"/>
    <x v="3"/>
    <x v="274"/>
    <x v="267"/>
    <x v="3"/>
    <x v="1"/>
    <n v="3"/>
    <n v="459.57"/>
    <n v="0.1"/>
    <n v="1240.8389999999999"/>
    <s v="COD"/>
    <x v="0"/>
    <x v="0"/>
    <x v="1"/>
  </r>
  <r>
    <x v="18"/>
    <s v="SALE664"/>
    <x v="3"/>
    <x v="7"/>
    <x v="393"/>
    <x v="3"/>
    <x v="1"/>
    <n v="4"/>
    <n v="700.88"/>
    <n v="0.23"/>
    <n v="2158.7103999999999"/>
    <s v="PayPal"/>
    <x v="1"/>
    <x v="0"/>
    <x v="0"/>
  </r>
  <r>
    <x v="18"/>
    <s v="SALE1025"/>
    <x v="4"/>
    <x v="88"/>
    <x v="229"/>
    <x v="4"/>
    <x v="3"/>
    <n v="1"/>
    <n v="234.06"/>
    <n v="0.11"/>
    <n v="208.3134"/>
    <s v="PayPal"/>
    <x v="1"/>
    <x v="0"/>
    <x v="0"/>
  </r>
  <r>
    <x v="18"/>
    <s v="SALE1041"/>
    <x v="4"/>
    <x v="437"/>
    <x v="158"/>
    <x v="4"/>
    <x v="3"/>
    <n v="2"/>
    <n v="485.25"/>
    <n v="0.28000000000000003"/>
    <n v="698.76"/>
    <s v="Credit Card"/>
    <x v="0"/>
    <x v="0"/>
    <x v="0"/>
  </r>
  <r>
    <x v="18"/>
    <s v="SALE1247"/>
    <x v="5"/>
    <x v="600"/>
    <x v="395"/>
    <x v="5"/>
    <x v="4"/>
    <n v="3"/>
    <n v="550.26"/>
    <n v="0.22"/>
    <n v="1287.6084000000001"/>
    <s v="Credit Card"/>
    <x v="1"/>
    <x v="0"/>
    <x v="1"/>
  </r>
  <r>
    <x v="18"/>
    <s v="SALE1704"/>
    <x v="6"/>
    <x v="166"/>
    <x v="142"/>
    <x v="6"/>
    <x v="3"/>
    <n v="1"/>
    <n v="153.57"/>
    <n v="0.01"/>
    <n v="152.0343"/>
    <s v="PayPal"/>
    <x v="1"/>
    <x v="0"/>
    <x v="1"/>
  </r>
  <r>
    <x v="18"/>
    <s v="SALE119"/>
    <x v="6"/>
    <x v="560"/>
    <x v="486"/>
    <x v="6"/>
    <x v="3"/>
    <n v="2"/>
    <n v="151.51"/>
    <n v="0.28999999999999998"/>
    <n v="215.14420000000001"/>
    <s v="COD"/>
    <x v="0"/>
    <x v="0"/>
    <x v="2"/>
  </r>
  <r>
    <x v="18"/>
    <s v="SALE294"/>
    <x v="6"/>
    <x v="251"/>
    <x v="382"/>
    <x v="6"/>
    <x v="3"/>
    <n v="2"/>
    <n v="230.85"/>
    <n v="0.18"/>
    <n v="378.59399999999999"/>
    <s v="Credit Card"/>
    <x v="1"/>
    <x v="0"/>
    <x v="1"/>
  </r>
  <r>
    <x v="18"/>
    <s v="SALE1766"/>
    <x v="6"/>
    <x v="503"/>
    <x v="434"/>
    <x v="6"/>
    <x v="3"/>
    <n v="4"/>
    <n v="466.24"/>
    <n v="0.16"/>
    <n v="1566.5663999999999"/>
    <s v="Credit Card"/>
    <x v="0"/>
    <x v="0"/>
    <x v="3"/>
  </r>
  <r>
    <x v="18"/>
    <s v="SALE1782"/>
    <x v="82"/>
    <x v="316"/>
    <x v="265"/>
    <x v="82"/>
    <x v="4"/>
    <n v="1"/>
    <n v="213.74"/>
    <n v="7.0000000000000007E-2"/>
    <n v="198.7782"/>
    <s v="COD"/>
    <x v="0"/>
    <x v="0"/>
    <x v="3"/>
  </r>
  <r>
    <x v="18"/>
    <s v="SALE1846"/>
    <x v="82"/>
    <x v="438"/>
    <x v="151"/>
    <x v="82"/>
    <x v="4"/>
    <n v="3"/>
    <n v="591.9"/>
    <n v="0.27"/>
    <n v="1296.261"/>
    <s v="Credit Card"/>
    <x v="1"/>
    <x v="0"/>
    <x v="1"/>
  </r>
  <r>
    <x v="18"/>
    <s v="SALE739"/>
    <x v="7"/>
    <x v="124"/>
    <x v="95"/>
    <x v="7"/>
    <x v="3"/>
    <n v="4"/>
    <n v="618.83000000000004"/>
    <n v="0.08"/>
    <n v="2277.2944000000002"/>
    <s v="PayPal"/>
    <x v="1"/>
    <x v="0"/>
    <x v="0"/>
  </r>
  <r>
    <x v="18"/>
    <s v="SALE74"/>
    <x v="7"/>
    <x v="420"/>
    <x v="167"/>
    <x v="7"/>
    <x v="3"/>
    <n v="1"/>
    <n v="184.98"/>
    <n v="0.1"/>
    <n v="166.482"/>
    <s v="COD"/>
    <x v="0"/>
    <x v="0"/>
    <x v="2"/>
  </r>
  <r>
    <x v="18"/>
    <s v="SALE53"/>
    <x v="7"/>
    <x v="363"/>
    <x v="479"/>
    <x v="7"/>
    <x v="3"/>
    <n v="1"/>
    <n v="900.35"/>
    <n v="0.13"/>
    <n v="783.30449999999996"/>
    <s v="COD"/>
    <x v="0"/>
    <x v="0"/>
    <x v="2"/>
  </r>
  <r>
    <x v="18"/>
    <s v="SALE1072"/>
    <x v="8"/>
    <x v="483"/>
    <x v="29"/>
    <x v="8"/>
    <x v="2"/>
    <n v="1"/>
    <n v="66.22"/>
    <n v="0.02"/>
    <n v="64.895600000000002"/>
    <s v="Credit Card"/>
    <x v="1"/>
    <x v="0"/>
    <x v="1"/>
  </r>
  <r>
    <x v="18"/>
    <s v="SALE1588"/>
    <x v="9"/>
    <x v="227"/>
    <x v="117"/>
    <x v="9"/>
    <x v="3"/>
    <n v="4"/>
    <n v="565.37"/>
    <n v="7.0000000000000007E-2"/>
    <n v="2103.1763999999998"/>
    <s v="PayPal"/>
    <x v="1"/>
    <x v="0"/>
    <x v="1"/>
  </r>
  <r>
    <x v="18"/>
    <s v="SALE41"/>
    <x v="63"/>
    <x v="421"/>
    <x v="487"/>
    <x v="63"/>
    <x v="4"/>
    <n v="3"/>
    <n v="342.47"/>
    <n v="0.08"/>
    <n v="945.21720000000016"/>
    <s v="PayPal"/>
    <x v="0"/>
    <x v="0"/>
    <x v="3"/>
  </r>
  <r>
    <x v="18"/>
    <s v="SALE1901"/>
    <x v="10"/>
    <x v="243"/>
    <x v="407"/>
    <x v="10"/>
    <x v="4"/>
    <n v="1"/>
    <n v="52.06"/>
    <n v="0.27"/>
    <n v="38.003799999999998"/>
    <s v="COD"/>
    <x v="0"/>
    <x v="0"/>
    <x v="1"/>
  </r>
  <r>
    <x v="18"/>
    <s v="SALE1149"/>
    <x v="11"/>
    <x v="374"/>
    <x v="11"/>
    <x v="11"/>
    <x v="0"/>
    <n v="3"/>
    <n v="922.56"/>
    <n v="0.18"/>
    <n v="2269.4976000000001"/>
    <s v="PayPal"/>
    <x v="1"/>
    <x v="0"/>
    <x v="2"/>
  </r>
  <r>
    <x v="18"/>
    <s v="SALE1793"/>
    <x v="11"/>
    <x v="61"/>
    <x v="392"/>
    <x v="11"/>
    <x v="0"/>
    <n v="1"/>
    <n v="361.8"/>
    <n v="0.02"/>
    <n v="354.56400000000002"/>
    <s v="COD"/>
    <x v="1"/>
    <x v="0"/>
    <x v="3"/>
  </r>
  <r>
    <x v="18"/>
    <s v="SALE1298"/>
    <x v="11"/>
    <x v="606"/>
    <x v="472"/>
    <x v="11"/>
    <x v="0"/>
    <n v="2"/>
    <n v="853.41"/>
    <n v="0.25"/>
    <n v="1280.115"/>
    <s v="Credit Card"/>
    <x v="1"/>
    <x v="0"/>
    <x v="0"/>
  </r>
  <r>
    <x v="18"/>
    <s v="SALE211"/>
    <x v="12"/>
    <x v="154"/>
    <x v="317"/>
    <x v="12"/>
    <x v="2"/>
    <n v="3"/>
    <n v="681.01"/>
    <n v="0.27"/>
    <n v="1491.4119000000001"/>
    <s v="COD"/>
    <x v="1"/>
    <x v="0"/>
    <x v="1"/>
  </r>
  <r>
    <x v="18"/>
    <s v="SALE606"/>
    <x v="12"/>
    <x v="309"/>
    <x v="250"/>
    <x v="12"/>
    <x v="2"/>
    <n v="3"/>
    <n v="827.88"/>
    <n v="0.19"/>
    <n v="2011.7483999999999"/>
    <s v="PayPal"/>
    <x v="1"/>
    <x v="0"/>
    <x v="0"/>
  </r>
  <r>
    <x v="18"/>
    <s v="SALE482"/>
    <x v="99"/>
    <x v="109"/>
    <x v="488"/>
    <x v="99"/>
    <x v="2"/>
    <n v="2"/>
    <n v="756.8"/>
    <n v="0.15"/>
    <n v="1286.56"/>
    <s v="Credit Card"/>
    <x v="0"/>
    <x v="0"/>
    <x v="3"/>
  </r>
  <r>
    <x v="18"/>
    <s v="SALE1888"/>
    <x v="14"/>
    <x v="280"/>
    <x v="485"/>
    <x v="14"/>
    <x v="4"/>
    <n v="4"/>
    <n v="625.13"/>
    <n v="0.06"/>
    <n v="2350.4888000000001"/>
    <s v="Credit Card"/>
    <x v="1"/>
    <x v="0"/>
    <x v="2"/>
  </r>
  <r>
    <x v="18"/>
    <s v="SALE116"/>
    <x v="14"/>
    <x v="524"/>
    <x v="488"/>
    <x v="14"/>
    <x v="4"/>
    <n v="4"/>
    <n v="770.77"/>
    <n v="0.22"/>
    <n v="2404.8024"/>
    <s v="Credit Card"/>
    <x v="0"/>
    <x v="0"/>
    <x v="3"/>
  </r>
  <r>
    <x v="18"/>
    <s v="SALE560"/>
    <x v="65"/>
    <x v="237"/>
    <x v="193"/>
    <x v="65"/>
    <x v="2"/>
    <n v="3"/>
    <n v="330.04"/>
    <n v="0.2"/>
    <n v="792.09600000000012"/>
    <s v="Credit Card"/>
    <x v="0"/>
    <x v="0"/>
    <x v="0"/>
  </r>
  <r>
    <x v="18"/>
    <s v="SALE982"/>
    <x v="66"/>
    <x v="601"/>
    <x v="19"/>
    <x v="66"/>
    <x v="3"/>
    <n v="4"/>
    <n v="538.73"/>
    <n v="0.03"/>
    <n v="2090.2723999999998"/>
    <s v="Credit Card"/>
    <x v="1"/>
    <x v="0"/>
    <x v="1"/>
  </r>
  <r>
    <x v="18"/>
    <s v="SALE1312"/>
    <x v="66"/>
    <x v="325"/>
    <x v="40"/>
    <x v="66"/>
    <x v="3"/>
    <n v="3"/>
    <n v="653.59"/>
    <n v="0.17"/>
    <n v="1627.4391000000001"/>
    <s v="COD"/>
    <x v="1"/>
    <x v="0"/>
    <x v="1"/>
  </r>
  <r>
    <x v="18"/>
    <s v="SALE1919"/>
    <x v="16"/>
    <x v="632"/>
    <x v="279"/>
    <x v="16"/>
    <x v="0"/>
    <n v="3"/>
    <n v="570.12"/>
    <n v="0.12"/>
    <n v="1505.1168"/>
    <s v="PayPal"/>
    <x v="0"/>
    <x v="0"/>
    <x v="0"/>
  </r>
  <r>
    <x v="18"/>
    <s v="SALE1301"/>
    <x v="16"/>
    <x v="625"/>
    <x v="102"/>
    <x v="16"/>
    <x v="0"/>
    <n v="4"/>
    <n v="349.07"/>
    <n v="0.28000000000000003"/>
    <n v="1005.3216"/>
    <s v="Credit Card"/>
    <x v="0"/>
    <x v="0"/>
    <x v="2"/>
  </r>
  <r>
    <x v="18"/>
    <s v="SALE1996"/>
    <x v="17"/>
    <x v="105"/>
    <x v="170"/>
    <x v="17"/>
    <x v="2"/>
    <n v="3"/>
    <n v="875.99"/>
    <n v="0.09"/>
    <n v="2391.4526999999998"/>
    <s v="PayPal"/>
    <x v="1"/>
    <x v="0"/>
    <x v="0"/>
  </r>
  <r>
    <x v="18"/>
    <s v="SALE1506"/>
    <x v="17"/>
    <x v="208"/>
    <x v="375"/>
    <x v="17"/>
    <x v="2"/>
    <n v="4"/>
    <n v="480.75"/>
    <n v="0.02"/>
    <n v="1884.54"/>
    <s v="Credit Card"/>
    <x v="0"/>
    <x v="0"/>
    <x v="3"/>
  </r>
  <r>
    <x v="18"/>
    <s v="SALE1210"/>
    <x v="18"/>
    <x v="386"/>
    <x v="39"/>
    <x v="18"/>
    <x v="4"/>
    <n v="4"/>
    <n v="271.04000000000002"/>
    <n v="0.12"/>
    <n v="954.06080000000009"/>
    <s v="COD"/>
    <x v="1"/>
    <x v="0"/>
    <x v="1"/>
  </r>
  <r>
    <x v="18"/>
    <s v="SALE957"/>
    <x v="18"/>
    <x v="356"/>
    <x v="87"/>
    <x v="18"/>
    <x v="4"/>
    <n v="1"/>
    <n v="579.69000000000005"/>
    <n v="0.02"/>
    <n v="568.09620000000007"/>
    <s v="Credit Card"/>
    <x v="1"/>
    <x v="0"/>
    <x v="1"/>
  </r>
  <r>
    <x v="18"/>
    <s v="SALE144"/>
    <x v="18"/>
    <x v="197"/>
    <x v="299"/>
    <x v="18"/>
    <x v="4"/>
    <n v="3"/>
    <n v="237.24"/>
    <n v="0.24"/>
    <n v="540.90719999999999"/>
    <s v="PayPal"/>
    <x v="1"/>
    <x v="0"/>
    <x v="0"/>
  </r>
  <r>
    <x v="18"/>
    <s v="SALE1821"/>
    <x v="19"/>
    <x v="423"/>
    <x v="117"/>
    <x v="19"/>
    <x v="4"/>
    <n v="3"/>
    <n v="204.17"/>
    <n v="0.1"/>
    <n v="551.25900000000001"/>
    <s v="PayPal"/>
    <x v="1"/>
    <x v="0"/>
    <x v="1"/>
  </r>
  <r>
    <x v="18"/>
    <s v="SALE911"/>
    <x v="19"/>
    <x v="665"/>
    <x v="54"/>
    <x v="19"/>
    <x v="4"/>
    <n v="4"/>
    <n v="923.14"/>
    <n v="0.15"/>
    <n v="3138.6759999999999"/>
    <s v="Credit Card"/>
    <x v="0"/>
    <x v="0"/>
    <x v="2"/>
  </r>
  <r>
    <x v="18"/>
    <s v="SALE1969"/>
    <x v="20"/>
    <x v="129"/>
    <x v="214"/>
    <x v="20"/>
    <x v="3"/>
    <n v="1"/>
    <n v="91.38"/>
    <n v="0.14000000000000001"/>
    <n v="78.586799999999997"/>
    <s v="Credit Card"/>
    <x v="0"/>
    <x v="0"/>
    <x v="2"/>
  </r>
  <r>
    <x v="18"/>
    <s v="SALE1319"/>
    <x v="21"/>
    <x v="172"/>
    <x v="114"/>
    <x v="21"/>
    <x v="0"/>
    <n v="4"/>
    <n v="708.19"/>
    <n v="0.1"/>
    <n v="2549.4839999999999"/>
    <s v="PayPal"/>
    <x v="1"/>
    <x v="0"/>
    <x v="1"/>
  </r>
  <r>
    <x v="18"/>
    <s v="SALE293"/>
    <x v="21"/>
    <x v="666"/>
    <x v="415"/>
    <x v="21"/>
    <x v="0"/>
    <n v="4"/>
    <n v="139.94"/>
    <n v="0.24"/>
    <n v="425.41759999999999"/>
    <s v="Credit Card"/>
    <x v="0"/>
    <x v="0"/>
    <x v="0"/>
  </r>
  <r>
    <x v="18"/>
    <s v="SALE598"/>
    <x v="21"/>
    <x v="399"/>
    <x v="128"/>
    <x v="21"/>
    <x v="0"/>
    <n v="3"/>
    <n v="700.43"/>
    <n v="0.01"/>
    <n v="2080.2770999999998"/>
    <s v="COD"/>
    <x v="0"/>
    <x v="0"/>
    <x v="2"/>
  </r>
  <r>
    <x v="18"/>
    <s v="SALE526"/>
    <x v="95"/>
    <x v="478"/>
    <x v="426"/>
    <x v="95"/>
    <x v="4"/>
    <n v="1"/>
    <n v="728.84"/>
    <n v="0.28000000000000003"/>
    <n v="524.76480000000004"/>
    <s v="PayPal"/>
    <x v="1"/>
    <x v="0"/>
    <x v="3"/>
  </r>
  <r>
    <x v="18"/>
    <s v="SALE766"/>
    <x v="22"/>
    <x v="457"/>
    <x v="138"/>
    <x v="22"/>
    <x v="0"/>
    <n v="4"/>
    <n v="609.05999999999995"/>
    <n v="0.22"/>
    <n v="1900.2672"/>
    <s v="COD"/>
    <x v="1"/>
    <x v="0"/>
    <x v="2"/>
  </r>
  <r>
    <x v="18"/>
    <s v="SALE1181"/>
    <x v="96"/>
    <x v="288"/>
    <x v="263"/>
    <x v="96"/>
    <x v="3"/>
    <n v="2"/>
    <n v="871.43"/>
    <n v="0.05"/>
    <n v="1655.7170000000001"/>
    <s v="Credit Card"/>
    <x v="1"/>
    <x v="0"/>
    <x v="3"/>
  </r>
  <r>
    <x v="18"/>
    <s v="SALE1988"/>
    <x v="96"/>
    <x v="302"/>
    <x v="172"/>
    <x v="96"/>
    <x v="3"/>
    <n v="3"/>
    <n v="146.71"/>
    <n v="0.28000000000000003"/>
    <n v="316.89359999999999"/>
    <s v="Credit Card"/>
    <x v="1"/>
    <x v="0"/>
    <x v="1"/>
  </r>
  <r>
    <x v="18"/>
    <s v="SALE110"/>
    <x v="23"/>
    <x v="109"/>
    <x v="74"/>
    <x v="23"/>
    <x v="0"/>
    <n v="4"/>
    <n v="239.83"/>
    <n v="0.08"/>
    <n v="882.57440000000008"/>
    <s v="Credit Card"/>
    <x v="1"/>
    <x v="0"/>
    <x v="2"/>
  </r>
  <r>
    <x v="18"/>
    <s v="SALE531"/>
    <x v="23"/>
    <x v="83"/>
    <x v="213"/>
    <x v="23"/>
    <x v="0"/>
    <n v="4"/>
    <n v="727.49"/>
    <n v="0.11"/>
    <n v="2589.8643999999999"/>
    <s v="Credit Card"/>
    <x v="1"/>
    <x v="0"/>
    <x v="2"/>
  </r>
  <r>
    <x v="18"/>
    <s v="SALE1606"/>
    <x v="23"/>
    <x v="264"/>
    <x v="376"/>
    <x v="23"/>
    <x v="0"/>
    <n v="3"/>
    <n v="779.5"/>
    <n v="0.02"/>
    <n v="2291.73"/>
    <s v="Credit Card"/>
    <x v="1"/>
    <x v="0"/>
    <x v="1"/>
  </r>
  <r>
    <x v="18"/>
    <s v="SALE1258"/>
    <x v="68"/>
    <x v="667"/>
    <x v="53"/>
    <x v="68"/>
    <x v="0"/>
    <n v="3"/>
    <n v="518.35"/>
    <n v="0.21"/>
    <n v="1228.4894999999999"/>
    <s v="COD"/>
    <x v="0"/>
    <x v="0"/>
    <x v="0"/>
  </r>
  <r>
    <x v="18"/>
    <s v="SALE865"/>
    <x v="68"/>
    <x v="545"/>
    <x v="431"/>
    <x v="68"/>
    <x v="0"/>
    <n v="3"/>
    <n v="924.15"/>
    <n v="0.1"/>
    <n v="2495.2049999999999"/>
    <s v="PayPal"/>
    <x v="0"/>
    <x v="0"/>
    <x v="3"/>
  </r>
  <r>
    <x v="18"/>
    <s v="SALE393"/>
    <x v="68"/>
    <x v="353"/>
    <x v="268"/>
    <x v="68"/>
    <x v="0"/>
    <n v="3"/>
    <n v="112.26"/>
    <n v="0.11"/>
    <n v="299.73419999999999"/>
    <s v="Credit Card"/>
    <x v="0"/>
    <x v="0"/>
    <x v="0"/>
  </r>
  <r>
    <x v="18"/>
    <s v="SALE1706"/>
    <x v="69"/>
    <x v="605"/>
    <x v="257"/>
    <x v="69"/>
    <x v="3"/>
    <n v="3"/>
    <n v="884.46"/>
    <n v="0.25"/>
    <n v="1990.0350000000001"/>
    <s v="Credit Card"/>
    <x v="1"/>
    <x v="0"/>
    <x v="1"/>
  </r>
  <r>
    <x v="18"/>
    <s v="SALE1051"/>
    <x v="69"/>
    <x v="88"/>
    <x v="450"/>
    <x v="69"/>
    <x v="3"/>
    <n v="3"/>
    <n v="961.4"/>
    <n v="0.02"/>
    <n v="2826.5160000000001"/>
    <s v="PayPal"/>
    <x v="1"/>
    <x v="0"/>
    <x v="1"/>
  </r>
  <r>
    <x v="18"/>
    <s v="SALE1347"/>
    <x v="24"/>
    <x v="513"/>
    <x v="432"/>
    <x v="24"/>
    <x v="3"/>
    <n v="2"/>
    <n v="732.37"/>
    <n v="0.22"/>
    <n v="1142.4972"/>
    <s v="COD"/>
    <x v="1"/>
    <x v="0"/>
    <x v="0"/>
  </r>
  <r>
    <x v="18"/>
    <s v="SALE684"/>
    <x v="25"/>
    <x v="616"/>
    <x v="285"/>
    <x v="25"/>
    <x v="4"/>
    <n v="4"/>
    <n v="442.54"/>
    <n v="0.06"/>
    <n v="1663.9503999999999"/>
    <s v="Credit Card"/>
    <x v="0"/>
    <x v="0"/>
    <x v="3"/>
  </r>
  <r>
    <x v="18"/>
    <s v="SALE1058"/>
    <x v="25"/>
    <x v="418"/>
    <x v="397"/>
    <x v="25"/>
    <x v="4"/>
    <n v="1"/>
    <n v="681.72"/>
    <n v="0.11"/>
    <n v="606.73080000000004"/>
    <s v="PayPal"/>
    <x v="1"/>
    <x v="0"/>
    <x v="2"/>
  </r>
  <r>
    <x v="18"/>
    <s v="SALE2"/>
    <x v="27"/>
    <x v="34"/>
    <x v="263"/>
    <x v="27"/>
    <x v="1"/>
    <n v="4"/>
    <n v="914.05"/>
    <n v="0.25"/>
    <n v="2742.15"/>
    <s v="Credit Card"/>
    <x v="1"/>
    <x v="0"/>
    <x v="3"/>
  </r>
  <r>
    <x v="18"/>
    <s v="SALE1466"/>
    <x v="27"/>
    <x v="362"/>
    <x v="351"/>
    <x v="27"/>
    <x v="1"/>
    <n v="3"/>
    <n v="512.15"/>
    <n v="0.12"/>
    <n v="1352.076"/>
    <s v="Credit Card"/>
    <x v="0"/>
    <x v="0"/>
    <x v="3"/>
  </r>
  <r>
    <x v="18"/>
    <s v="SALE1328"/>
    <x v="28"/>
    <x v="182"/>
    <x v="179"/>
    <x v="28"/>
    <x v="4"/>
    <n v="3"/>
    <n v="120.77"/>
    <n v="0.28999999999999998"/>
    <n v="257.24009999999998"/>
    <s v="PayPal"/>
    <x v="1"/>
    <x v="0"/>
    <x v="0"/>
  </r>
  <r>
    <x v="18"/>
    <s v="SALE346"/>
    <x v="84"/>
    <x v="376"/>
    <x v="446"/>
    <x v="84"/>
    <x v="0"/>
    <n v="3"/>
    <n v="564.94000000000005"/>
    <n v="0.22"/>
    <n v="1321.9595999999999"/>
    <s v="COD"/>
    <x v="0"/>
    <x v="0"/>
    <x v="0"/>
  </r>
  <r>
    <x v="18"/>
    <s v="SALE80"/>
    <x v="85"/>
    <x v="479"/>
    <x v="71"/>
    <x v="85"/>
    <x v="3"/>
    <n v="1"/>
    <n v="442.27"/>
    <n v="0.06"/>
    <n v="415.73379999999997"/>
    <s v="COD"/>
    <x v="0"/>
    <x v="0"/>
    <x v="0"/>
  </r>
  <r>
    <x v="18"/>
    <s v="SALE1527"/>
    <x v="70"/>
    <x v="548"/>
    <x v="30"/>
    <x v="70"/>
    <x v="4"/>
    <n v="2"/>
    <n v="616.36"/>
    <n v="0.12"/>
    <n v="1084.7936"/>
    <s v="PayPal"/>
    <x v="1"/>
    <x v="0"/>
    <x v="3"/>
  </r>
  <r>
    <x v="18"/>
    <s v="SALE1130"/>
    <x v="70"/>
    <x v="668"/>
    <x v="175"/>
    <x v="70"/>
    <x v="4"/>
    <n v="2"/>
    <n v="568.95000000000005"/>
    <n v="0.22"/>
    <n v="887.56200000000013"/>
    <s v="Credit Card"/>
    <x v="0"/>
    <x v="0"/>
    <x v="2"/>
  </r>
  <r>
    <x v="18"/>
    <s v="SALE1284"/>
    <x v="30"/>
    <x v="89"/>
    <x v="184"/>
    <x v="30"/>
    <x v="3"/>
    <n v="2"/>
    <n v="623.20000000000005"/>
    <n v="0.14000000000000001"/>
    <n v="1071.904"/>
    <s v="COD"/>
    <x v="1"/>
    <x v="0"/>
    <x v="2"/>
  </r>
  <r>
    <x v="18"/>
    <s v="SALE177"/>
    <x v="31"/>
    <x v="634"/>
    <x v="450"/>
    <x v="31"/>
    <x v="2"/>
    <n v="1"/>
    <n v="79"/>
    <n v="0.04"/>
    <n v="75.84"/>
    <s v="PayPal"/>
    <x v="1"/>
    <x v="0"/>
    <x v="1"/>
  </r>
  <r>
    <x v="18"/>
    <s v="SALE288"/>
    <x v="86"/>
    <x v="597"/>
    <x v="361"/>
    <x v="86"/>
    <x v="3"/>
    <n v="3"/>
    <n v="545.1"/>
    <n v="0.08"/>
    <n v="1504.4760000000001"/>
    <s v="COD"/>
    <x v="1"/>
    <x v="0"/>
    <x v="0"/>
  </r>
  <r>
    <x v="18"/>
    <s v="SALE907"/>
    <x v="33"/>
    <x v="517"/>
    <x v="489"/>
    <x v="33"/>
    <x v="4"/>
    <n v="2"/>
    <n v="433.75"/>
    <n v="0"/>
    <n v="867.5"/>
    <s v="Credit Card"/>
    <x v="1"/>
    <x v="0"/>
    <x v="2"/>
  </r>
  <r>
    <x v="18"/>
    <s v="SALE955"/>
    <x v="97"/>
    <x v="431"/>
    <x v="42"/>
    <x v="97"/>
    <x v="1"/>
    <n v="1"/>
    <n v="437.12"/>
    <n v="0.21"/>
    <n v="345.32479999999998"/>
    <s v="Credit Card"/>
    <x v="0"/>
    <x v="0"/>
    <x v="3"/>
  </r>
  <r>
    <x v="18"/>
    <s v="SALE45"/>
    <x v="97"/>
    <x v="28"/>
    <x v="89"/>
    <x v="97"/>
    <x v="1"/>
    <n v="4"/>
    <n v="288.60000000000002"/>
    <n v="0.09"/>
    <n v="1050.5039999999999"/>
    <s v="PayPal"/>
    <x v="1"/>
    <x v="0"/>
    <x v="3"/>
  </r>
  <r>
    <x v="18"/>
    <s v="SALE1250"/>
    <x v="34"/>
    <x v="234"/>
    <x v="111"/>
    <x v="34"/>
    <x v="1"/>
    <n v="1"/>
    <n v="98.27"/>
    <n v="0.16"/>
    <n v="82.54679999999999"/>
    <s v="PayPal"/>
    <x v="1"/>
    <x v="0"/>
    <x v="3"/>
  </r>
  <r>
    <x v="18"/>
    <s v="SALE1910"/>
    <x v="87"/>
    <x v="600"/>
    <x v="238"/>
    <x v="87"/>
    <x v="3"/>
    <n v="1"/>
    <n v="846.67"/>
    <n v="0.1"/>
    <n v="762.00299999999993"/>
    <s v="COD"/>
    <x v="0"/>
    <x v="0"/>
    <x v="0"/>
  </r>
  <r>
    <x v="18"/>
    <s v="SALE280"/>
    <x v="35"/>
    <x v="227"/>
    <x v="75"/>
    <x v="35"/>
    <x v="0"/>
    <n v="1"/>
    <n v="329.31"/>
    <n v="0.09"/>
    <n v="299.6721"/>
    <s v="Credit Card"/>
    <x v="0"/>
    <x v="0"/>
    <x v="2"/>
  </r>
  <r>
    <x v="18"/>
    <s v="SALE1955"/>
    <x v="38"/>
    <x v="62"/>
    <x v="411"/>
    <x v="38"/>
    <x v="1"/>
    <n v="4"/>
    <n v="270.69"/>
    <n v="0.18"/>
    <n v="887.86320000000001"/>
    <s v="PayPal"/>
    <x v="1"/>
    <x v="0"/>
    <x v="3"/>
  </r>
  <r>
    <x v="18"/>
    <s v="SALE983"/>
    <x v="38"/>
    <x v="269"/>
    <x v="467"/>
    <x v="38"/>
    <x v="1"/>
    <n v="2"/>
    <n v="853.93"/>
    <n v="0.01"/>
    <n v="1690.7814000000001"/>
    <s v="PayPal"/>
    <x v="0"/>
    <x v="0"/>
    <x v="0"/>
  </r>
  <r>
    <x v="18"/>
    <s v="SALE980"/>
    <x v="38"/>
    <x v="18"/>
    <x v="84"/>
    <x v="38"/>
    <x v="1"/>
    <n v="4"/>
    <n v="649.52"/>
    <n v="0.11"/>
    <n v="2312.2912000000001"/>
    <s v="Credit Card"/>
    <x v="1"/>
    <x v="0"/>
    <x v="1"/>
  </r>
  <r>
    <x v="18"/>
    <s v="SALE745"/>
    <x v="39"/>
    <x v="669"/>
    <x v="285"/>
    <x v="39"/>
    <x v="0"/>
    <n v="1"/>
    <n v="664.87"/>
    <n v="0.08"/>
    <n v="611.68040000000008"/>
    <s v="PayPal"/>
    <x v="0"/>
    <x v="0"/>
    <x v="3"/>
  </r>
  <r>
    <x v="18"/>
    <s v="SALE209"/>
    <x v="39"/>
    <x v="536"/>
    <x v="151"/>
    <x v="39"/>
    <x v="0"/>
    <n v="1"/>
    <n v="620.80999999999995"/>
    <n v="0.04"/>
    <n v="595.97759999999994"/>
    <s v="PayPal"/>
    <x v="1"/>
    <x v="0"/>
    <x v="1"/>
  </r>
  <r>
    <x v="18"/>
    <s v="SALE888"/>
    <x v="39"/>
    <x v="15"/>
    <x v="490"/>
    <x v="39"/>
    <x v="0"/>
    <n v="2"/>
    <n v="995.11"/>
    <n v="0.13"/>
    <n v="1731.4914000000001"/>
    <s v="PayPal"/>
    <x v="1"/>
    <x v="0"/>
    <x v="0"/>
  </r>
  <r>
    <x v="18"/>
    <s v="SALE454"/>
    <x v="88"/>
    <x v="209"/>
    <x v="297"/>
    <x v="88"/>
    <x v="2"/>
    <n v="3"/>
    <n v="811.96"/>
    <n v="0.28999999999999998"/>
    <n v="1729.4748"/>
    <s v="Credit Card"/>
    <x v="1"/>
    <x v="0"/>
    <x v="1"/>
  </r>
  <r>
    <x v="18"/>
    <s v="SALE166"/>
    <x v="40"/>
    <x v="427"/>
    <x v="491"/>
    <x v="40"/>
    <x v="4"/>
    <n v="4"/>
    <n v="714.47"/>
    <n v="0.18"/>
    <n v="2343.4616000000001"/>
    <s v="COD"/>
    <x v="1"/>
    <x v="0"/>
    <x v="2"/>
  </r>
  <r>
    <x v="18"/>
    <s v="SALE795"/>
    <x v="40"/>
    <x v="169"/>
    <x v="82"/>
    <x v="40"/>
    <x v="4"/>
    <n v="1"/>
    <n v="506.73"/>
    <n v="0.28999999999999998"/>
    <n v="359.7783"/>
    <s v="Credit Card"/>
    <x v="1"/>
    <x v="0"/>
    <x v="3"/>
  </r>
  <r>
    <x v="18"/>
    <s v="SALE1512"/>
    <x v="89"/>
    <x v="48"/>
    <x v="123"/>
    <x v="89"/>
    <x v="2"/>
    <n v="4"/>
    <n v="797.83"/>
    <n v="0.08"/>
    <n v="2936.0144"/>
    <s v="Credit Card"/>
    <x v="1"/>
    <x v="0"/>
    <x v="1"/>
  </r>
  <r>
    <x v="18"/>
    <s v="SALE271"/>
    <x v="41"/>
    <x v="126"/>
    <x v="134"/>
    <x v="41"/>
    <x v="2"/>
    <n v="2"/>
    <n v="105.15"/>
    <n v="0.06"/>
    <n v="197.68199999999999"/>
    <s v="Credit Card"/>
    <x v="0"/>
    <x v="0"/>
    <x v="3"/>
  </r>
  <r>
    <x v="18"/>
    <s v="SALE7"/>
    <x v="41"/>
    <x v="612"/>
    <x v="301"/>
    <x v="41"/>
    <x v="2"/>
    <n v="4"/>
    <n v="342.39"/>
    <n v="0.23"/>
    <n v="1054.5612000000001"/>
    <s v="PayPal"/>
    <x v="1"/>
    <x v="0"/>
    <x v="1"/>
  </r>
  <r>
    <x v="18"/>
    <s v="SALE216"/>
    <x v="42"/>
    <x v="81"/>
    <x v="146"/>
    <x v="42"/>
    <x v="3"/>
    <n v="3"/>
    <n v="141.6"/>
    <n v="0.08"/>
    <n v="390.81599999999997"/>
    <s v="COD"/>
    <x v="0"/>
    <x v="0"/>
    <x v="2"/>
  </r>
  <r>
    <x v="18"/>
    <s v="SALE1800"/>
    <x v="42"/>
    <x v="95"/>
    <x v="438"/>
    <x v="42"/>
    <x v="3"/>
    <n v="4"/>
    <n v="214.37"/>
    <n v="0.11"/>
    <n v="763.15719999999999"/>
    <s v="COD"/>
    <x v="0"/>
    <x v="0"/>
    <x v="1"/>
  </r>
  <r>
    <x v="18"/>
    <s v="SALE273"/>
    <x v="44"/>
    <x v="531"/>
    <x v="140"/>
    <x v="44"/>
    <x v="0"/>
    <n v="1"/>
    <n v="872.12"/>
    <n v="7.0000000000000007E-2"/>
    <n v="811.07159999999999"/>
    <s v="PayPal"/>
    <x v="1"/>
    <x v="0"/>
    <x v="0"/>
  </r>
  <r>
    <x v="18"/>
    <s v="SALE1869"/>
    <x v="44"/>
    <x v="278"/>
    <x v="25"/>
    <x v="44"/>
    <x v="0"/>
    <n v="3"/>
    <n v="943.24"/>
    <n v="0.21"/>
    <n v="2235.4787999999999"/>
    <s v="Credit Card"/>
    <x v="0"/>
    <x v="0"/>
    <x v="2"/>
  </r>
  <r>
    <x v="18"/>
    <s v="SALE1309"/>
    <x v="45"/>
    <x v="584"/>
    <x v="216"/>
    <x v="45"/>
    <x v="4"/>
    <n v="4"/>
    <n v="488.72"/>
    <n v="0.23"/>
    <n v="1505.2575999999999"/>
    <s v="PayPal"/>
    <x v="1"/>
    <x v="0"/>
    <x v="1"/>
  </r>
  <r>
    <x v="18"/>
    <s v="SALE32"/>
    <x v="45"/>
    <x v="670"/>
    <x v="347"/>
    <x v="45"/>
    <x v="4"/>
    <n v="4"/>
    <n v="313.83"/>
    <n v="0.08"/>
    <n v="1154.8943999999999"/>
    <s v="Credit Card"/>
    <x v="0"/>
    <x v="0"/>
    <x v="2"/>
  </r>
  <r>
    <x v="18"/>
    <s v="SALE3"/>
    <x v="90"/>
    <x v="198"/>
    <x v="40"/>
    <x v="90"/>
    <x v="0"/>
    <n v="1"/>
    <n v="921.51"/>
    <n v="0.16"/>
    <n v="774.0684"/>
    <s v="COD"/>
    <x v="1"/>
    <x v="0"/>
    <x v="1"/>
  </r>
  <r>
    <x v="18"/>
    <s v="SALE27"/>
    <x v="74"/>
    <x v="167"/>
    <x v="4"/>
    <x v="74"/>
    <x v="0"/>
    <n v="3"/>
    <n v="815.49"/>
    <n v="0.17"/>
    <n v="2030.5700999999999"/>
    <s v="Credit Card"/>
    <x v="0"/>
    <x v="0"/>
    <x v="1"/>
  </r>
  <r>
    <x v="18"/>
    <s v="SALE596"/>
    <x v="75"/>
    <x v="155"/>
    <x v="310"/>
    <x v="75"/>
    <x v="2"/>
    <n v="4"/>
    <n v="870.18"/>
    <n v="0.13"/>
    <n v="3028.2264"/>
    <s v="COD"/>
    <x v="1"/>
    <x v="0"/>
    <x v="1"/>
  </r>
  <r>
    <x v="18"/>
    <s v="SALE1932"/>
    <x v="75"/>
    <x v="149"/>
    <x v="218"/>
    <x v="75"/>
    <x v="2"/>
    <n v="2"/>
    <n v="552.49"/>
    <n v="0.1"/>
    <n v="994.48200000000008"/>
    <s v="Credit Card"/>
    <x v="0"/>
    <x v="0"/>
    <x v="2"/>
  </r>
  <r>
    <x v="18"/>
    <s v="SALE1356"/>
    <x v="76"/>
    <x v="19"/>
    <x v="154"/>
    <x v="76"/>
    <x v="2"/>
    <n v="3"/>
    <n v="141.54"/>
    <n v="0.12"/>
    <n v="373.66559999999998"/>
    <s v="PayPal"/>
    <x v="0"/>
    <x v="0"/>
    <x v="0"/>
  </r>
  <r>
    <x v="18"/>
    <s v="SALE1009"/>
    <x v="77"/>
    <x v="280"/>
    <x v="83"/>
    <x v="77"/>
    <x v="0"/>
    <n v="4"/>
    <n v="56.37"/>
    <n v="0.17"/>
    <n v="187.14840000000001"/>
    <s v="Credit Card"/>
    <x v="1"/>
    <x v="0"/>
    <x v="1"/>
  </r>
  <r>
    <x v="18"/>
    <s v="SALE1824"/>
    <x v="77"/>
    <x v="344"/>
    <x v="376"/>
    <x v="77"/>
    <x v="0"/>
    <n v="4"/>
    <n v="836.23"/>
    <n v="0.12"/>
    <n v="2943.5295999999998"/>
    <s v="Credit Card"/>
    <x v="1"/>
    <x v="0"/>
    <x v="1"/>
  </r>
  <r>
    <x v="18"/>
    <s v="SALE1651"/>
    <x v="77"/>
    <x v="186"/>
    <x v="161"/>
    <x v="77"/>
    <x v="0"/>
    <n v="4"/>
    <n v="195.75"/>
    <n v="0.17"/>
    <n v="649.89"/>
    <s v="Credit Card"/>
    <x v="1"/>
    <x v="0"/>
    <x v="2"/>
  </r>
  <r>
    <x v="18"/>
    <s v="SALE949"/>
    <x v="46"/>
    <x v="671"/>
    <x v="354"/>
    <x v="46"/>
    <x v="3"/>
    <n v="3"/>
    <n v="758.75"/>
    <n v="0.27"/>
    <n v="1661.6624999999999"/>
    <s v="PayPal"/>
    <x v="1"/>
    <x v="0"/>
    <x v="2"/>
  </r>
  <r>
    <x v="18"/>
    <s v="SALE999"/>
    <x v="46"/>
    <x v="104"/>
    <x v="370"/>
    <x v="46"/>
    <x v="3"/>
    <n v="4"/>
    <n v="22.51"/>
    <n v="0.27"/>
    <n v="65.729200000000006"/>
    <s v="PayPal"/>
    <x v="1"/>
    <x v="0"/>
    <x v="1"/>
  </r>
  <r>
    <x v="18"/>
    <s v="SALE1448"/>
    <x v="47"/>
    <x v="604"/>
    <x v="75"/>
    <x v="47"/>
    <x v="3"/>
    <n v="4"/>
    <n v="892.28"/>
    <n v="0.23"/>
    <n v="2748.2224000000001"/>
    <s v="Credit Card"/>
    <x v="0"/>
    <x v="0"/>
    <x v="2"/>
  </r>
  <r>
    <x v="18"/>
    <s v="SALE538"/>
    <x v="47"/>
    <x v="509"/>
    <x v="127"/>
    <x v="47"/>
    <x v="3"/>
    <n v="3"/>
    <n v="787.91"/>
    <n v="0.06"/>
    <n v="2221.9061999999999"/>
    <s v="PayPal"/>
    <x v="0"/>
    <x v="0"/>
    <x v="1"/>
  </r>
  <r>
    <x v="18"/>
    <s v="SALE1238"/>
    <x v="48"/>
    <x v="103"/>
    <x v="448"/>
    <x v="48"/>
    <x v="1"/>
    <n v="2"/>
    <n v="327.25"/>
    <n v="0.19"/>
    <n v="530.14499999999998"/>
    <s v="PayPal"/>
    <x v="0"/>
    <x v="0"/>
    <x v="3"/>
  </r>
  <r>
    <x v="18"/>
    <s v="SALE78"/>
    <x v="48"/>
    <x v="630"/>
    <x v="121"/>
    <x v="48"/>
    <x v="1"/>
    <n v="2"/>
    <n v="900.55"/>
    <n v="0.16"/>
    <n v="1512.924"/>
    <s v="Credit Card"/>
    <x v="0"/>
    <x v="0"/>
    <x v="1"/>
  </r>
  <r>
    <x v="18"/>
    <s v="SALE1918"/>
    <x v="78"/>
    <x v="93"/>
    <x v="465"/>
    <x v="78"/>
    <x v="2"/>
    <n v="2"/>
    <n v="30.14"/>
    <n v="0.21"/>
    <n v="47.621200000000002"/>
    <s v="Credit Card"/>
    <x v="1"/>
    <x v="0"/>
    <x v="2"/>
  </r>
  <r>
    <x v="18"/>
    <s v="SALE806"/>
    <x v="78"/>
    <x v="672"/>
    <x v="286"/>
    <x v="78"/>
    <x v="2"/>
    <n v="3"/>
    <n v="654.47"/>
    <n v="0.18"/>
    <n v="1609.9962"/>
    <s v="COD"/>
    <x v="0"/>
    <x v="0"/>
    <x v="3"/>
  </r>
  <r>
    <x v="18"/>
    <s v="SALE1994"/>
    <x v="78"/>
    <x v="85"/>
    <x v="416"/>
    <x v="78"/>
    <x v="2"/>
    <n v="1"/>
    <n v="905.23"/>
    <n v="0"/>
    <n v="905.23"/>
    <s v="Credit Card"/>
    <x v="0"/>
    <x v="0"/>
    <x v="2"/>
  </r>
  <r>
    <x v="18"/>
    <s v="SALE981"/>
    <x v="49"/>
    <x v="5"/>
    <x v="395"/>
    <x v="49"/>
    <x v="4"/>
    <n v="2"/>
    <n v="943.93"/>
    <n v="0.22"/>
    <n v="1472.5308"/>
    <s v="PayPal"/>
    <x v="1"/>
    <x v="0"/>
    <x v="1"/>
  </r>
  <r>
    <x v="18"/>
    <s v="SALE239"/>
    <x v="50"/>
    <x v="447"/>
    <x v="63"/>
    <x v="50"/>
    <x v="2"/>
    <n v="3"/>
    <n v="91.7"/>
    <n v="0.08"/>
    <n v="253.09200000000001"/>
    <s v="COD"/>
    <x v="0"/>
    <x v="0"/>
    <x v="1"/>
  </r>
  <r>
    <x v="18"/>
    <s v="SALE354"/>
    <x v="51"/>
    <x v="673"/>
    <x v="431"/>
    <x v="51"/>
    <x v="2"/>
    <n v="4"/>
    <n v="289.66000000000003"/>
    <n v="0.25"/>
    <n v="868.98"/>
    <s v="COD"/>
    <x v="0"/>
    <x v="0"/>
    <x v="3"/>
  </r>
  <r>
    <x v="18"/>
    <s v="SALE953"/>
    <x v="51"/>
    <x v="605"/>
    <x v="375"/>
    <x v="51"/>
    <x v="2"/>
    <n v="3"/>
    <n v="662.82"/>
    <n v="0.01"/>
    <n v="1968.5753999999999"/>
    <s v="COD"/>
    <x v="0"/>
    <x v="0"/>
    <x v="3"/>
  </r>
  <r>
    <x v="18"/>
    <s v="SALE1467"/>
    <x v="92"/>
    <x v="365"/>
    <x v="62"/>
    <x v="92"/>
    <x v="3"/>
    <n v="3"/>
    <n v="136.4"/>
    <n v="0.15"/>
    <n v="347.82000000000011"/>
    <s v="PayPal"/>
    <x v="0"/>
    <x v="0"/>
    <x v="3"/>
  </r>
  <r>
    <x v="18"/>
    <s v="SALE1024"/>
    <x v="58"/>
    <x v="366"/>
    <x v="336"/>
    <x v="58"/>
    <x v="3"/>
    <n v="1"/>
    <n v="329.94"/>
    <n v="0.14000000000000001"/>
    <n v="283.7484"/>
    <s v="COD"/>
    <x v="1"/>
    <x v="0"/>
    <x v="1"/>
  </r>
  <r>
    <x v="18"/>
    <s v="SALE1678"/>
    <x v="94"/>
    <x v="214"/>
    <x v="403"/>
    <x v="94"/>
    <x v="0"/>
    <n v="1"/>
    <n v="343.03"/>
    <n v="0.16"/>
    <n v="288.14519999999999"/>
    <s v="Credit Card"/>
    <x v="1"/>
    <x v="0"/>
    <x v="2"/>
  </r>
  <r>
    <x v="18"/>
    <s v="SALE26"/>
    <x v="94"/>
    <x v="512"/>
    <x v="14"/>
    <x v="94"/>
    <x v="0"/>
    <n v="4"/>
    <n v="156.16"/>
    <n v="0"/>
    <n v="599.65440000000001"/>
    <s v="Credit Card"/>
    <x v="1"/>
    <x v="0"/>
    <x v="1"/>
  </r>
  <r>
    <x v="18"/>
    <s v="SALE1273"/>
    <x v="94"/>
    <x v="169"/>
    <x v="248"/>
    <x v="94"/>
    <x v="0"/>
    <n v="3"/>
    <n v="992.81"/>
    <n v="0.04"/>
    <n v="2859.2928000000002"/>
    <s v="PayPal"/>
    <x v="1"/>
    <x v="0"/>
    <x v="2"/>
  </r>
  <r>
    <x v="18"/>
    <s v="SALE469"/>
    <x v="94"/>
    <x v="270"/>
    <x v="221"/>
    <x v="94"/>
    <x v="0"/>
    <n v="4"/>
    <n v="610.6"/>
    <n v="0.1"/>
    <n v="2198.16"/>
    <s v="PayPal"/>
    <x v="1"/>
    <x v="0"/>
    <x v="1"/>
  </r>
  <r>
    <x v="18"/>
    <s v="SALE1799"/>
    <x v="80"/>
    <x v="369"/>
    <x v="484"/>
    <x v="80"/>
    <x v="2"/>
    <n v="3"/>
    <n v="561.44000000000005"/>
    <n v="0.2"/>
    <n v="1347.4559999999999"/>
    <s v="COD"/>
    <x v="1"/>
    <x v="0"/>
    <x v="3"/>
  </r>
  <r>
    <x v="18"/>
    <s v="SALE1475"/>
    <x v="80"/>
    <x v="186"/>
    <x v="160"/>
    <x v="80"/>
    <x v="2"/>
    <n v="2"/>
    <n v="916.12"/>
    <n v="0.05"/>
    <n v="1740.6279999999999"/>
    <s v="PayPal"/>
    <x v="1"/>
    <x v="0"/>
    <x v="0"/>
  </r>
  <r>
    <x v="19"/>
    <s v="SALE1314"/>
    <x v="98"/>
    <x v="185"/>
    <x v="222"/>
    <x v="98"/>
    <x v="0"/>
    <n v="2"/>
    <n v="943.8"/>
    <n v="0.06"/>
    <n v="1774.3440000000001"/>
    <s v="Credit Card"/>
    <x v="1"/>
    <x v="0"/>
    <x v="3"/>
  </r>
  <r>
    <x v="19"/>
    <s v="SALE1190"/>
    <x v="98"/>
    <x v="170"/>
    <x v="20"/>
    <x v="98"/>
    <x v="0"/>
    <n v="2"/>
    <n v="540.48"/>
    <n v="0.28999999999999998"/>
    <n v="767.48159999999996"/>
    <s v="Credit Card"/>
    <x v="0"/>
    <x v="0"/>
    <x v="0"/>
  </r>
  <r>
    <x v="19"/>
    <s v="SALE255"/>
    <x v="81"/>
    <x v="372"/>
    <x v="159"/>
    <x v="81"/>
    <x v="4"/>
    <n v="3"/>
    <n v="546.96"/>
    <n v="0.19"/>
    <n v="1329.1128000000001"/>
    <s v="Credit Card"/>
    <x v="0"/>
    <x v="0"/>
    <x v="2"/>
  </r>
  <r>
    <x v="19"/>
    <s v="SALE1733"/>
    <x v="1"/>
    <x v="551"/>
    <x v="331"/>
    <x v="1"/>
    <x v="1"/>
    <n v="1"/>
    <n v="437.65"/>
    <n v="0.02"/>
    <n v="428.89699999999999"/>
    <s v="PayPal"/>
    <x v="1"/>
    <x v="0"/>
    <x v="2"/>
  </r>
  <r>
    <x v="19"/>
    <s v="SALE1458"/>
    <x v="61"/>
    <x v="197"/>
    <x v="221"/>
    <x v="61"/>
    <x v="0"/>
    <n v="3"/>
    <n v="769.06"/>
    <n v="0.23"/>
    <n v="1776.5286000000001"/>
    <s v="COD"/>
    <x v="1"/>
    <x v="0"/>
    <x v="1"/>
  </r>
  <r>
    <x v="19"/>
    <s v="SALE215"/>
    <x v="2"/>
    <x v="526"/>
    <x v="20"/>
    <x v="2"/>
    <x v="2"/>
    <n v="3"/>
    <n v="318.43"/>
    <n v="0.05"/>
    <n v="907.52549999999997"/>
    <s v="Credit Card"/>
    <x v="0"/>
    <x v="0"/>
    <x v="0"/>
  </r>
  <r>
    <x v="19"/>
    <s v="SALE479"/>
    <x v="62"/>
    <x v="674"/>
    <x v="205"/>
    <x v="62"/>
    <x v="0"/>
    <n v="3"/>
    <n v="635.13"/>
    <n v="0.09"/>
    <n v="1733.9049"/>
    <s v="PayPal"/>
    <x v="0"/>
    <x v="0"/>
    <x v="2"/>
  </r>
  <r>
    <x v="19"/>
    <s v="SALE975"/>
    <x v="3"/>
    <x v="6"/>
    <x v="270"/>
    <x v="3"/>
    <x v="1"/>
    <n v="2"/>
    <n v="61.42"/>
    <n v="0.08"/>
    <n v="113.0128"/>
    <s v="PayPal"/>
    <x v="1"/>
    <x v="0"/>
    <x v="1"/>
  </r>
  <r>
    <x v="19"/>
    <s v="SALE798"/>
    <x v="5"/>
    <x v="106"/>
    <x v="290"/>
    <x v="5"/>
    <x v="4"/>
    <n v="1"/>
    <n v="423.48"/>
    <n v="0.18"/>
    <n v="347.25360000000012"/>
    <s v="PayPal"/>
    <x v="0"/>
    <x v="0"/>
    <x v="0"/>
  </r>
  <r>
    <x v="19"/>
    <s v="SALE990"/>
    <x v="7"/>
    <x v="217"/>
    <x v="287"/>
    <x v="7"/>
    <x v="3"/>
    <n v="3"/>
    <n v="955.82"/>
    <n v="0.16"/>
    <n v="2408.6664000000001"/>
    <s v="COD"/>
    <x v="0"/>
    <x v="0"/>
    <x v="3"/>
  </r>
  <r>
    <x v="19"/>
    <s v="SALE445"/>
    <x v="9"/>
    <x v="49"/>
    <x v="425"/>
    <x v="9"/>
    <x v="3"/>
    <n v="4"/>
    <n v="164.02"/>
    <n v="0.01"/>
    <n v="649.51920000000007"/>
    <s v="PayPal"/>
    <x v="0"/>
    <x v="0"/>
    <x v="2"/>
  </r>
  <r>
    <x v="19"/>
    <s v="SALE1401"/>
    <x v="64"/>
    <x v="483"/>
    <x v="26"/>
    <x v="64"/>
    <x v="3"/>
    <n v="1"/>
    <n v="882.73"/>
    <n v="0.1"/>
    <n v="794.45699999999999"/>
    <s v="Credit Card"/>
    <x v="1"/>
    <x v="0"/>
    <x v="3"/>
  </r>
  <r>
    <x v="19"/>
    <s v="SALE344"/>
    <x v="11"/>
    <x v="536"/>
    <x v="458"/>
    <x v="11"/>
    <x v="0"/>
    <n v="1"/>
    <n v="907.95"/>
    <n v="0.1"/>
    <n v="817.15500000000009"/>
    <s v="PayPal"/>
    <x v="1"/>
    <x v="0"/>
    <x v="0"/>
  </r>
  <r>
    <x v="19"/>
    <s v="SALE1442"/>
    <x v="11"/>
    <x v="51"/>
    <x v="56"/>
    <x v="11"/>
    <x v="0"/>
    <n v="4"/>
    <n v="896.91"/>
    <n v="0.1"/>
    <n v="3228.8760000000002"/>
    <s v="Credit Card"/>
    <x v="0"/>
    <x v="0"/>
    <x v="2"/>
  </r>
  <r>
    <x v="19"/>
    <s v="SALE1180"/>
    <x v="12"/>
    <x v="268"/>
    <x v="60"/>
    <x v="12"/>
    <x v="2"/>
    <n v="2"/>
    <n v="717.21"/>
    <n v="0.15"/>
    <n v="1219.2570000000001"/>
    <s v="COD"/>
    <x v="0"/>
    <x v="0"/>
    <x v="3"/>
  </r>
  <r>
    <x v="19"/>
    <s v="SALE1666"/>
    <x v="12"/>
    <x v="391"/>
    <x v="223"/>
    <x v="12"/>
    <x v="2"/>
    <n v="4"/>
    <n v="208.34"/>
    <n v="0.01"/>
    <n v="825.02639999999997"/>
    <s v="PayPal"/>
    <x v="1"/>
    <x v="0"/>
    <x v="1"/>
  </r>
  <r>
    <x v="19"/>
    <s v="SALE1143"/>
    <x v="13"/>
    <x v="296"/>
    <x v="450"/>
    <x v="13"/>
    <x v="3"/>
    <n v="2"/>
    <n v="67.55"/>
    <n v="0.03"/>
    <n v="131.047"/>
    <s v="Credit Card"/>
    <x v="1"/>
    <x v="0"/>
    <x v="1"/>
  </r>
  <r>
    <x v="19"/>
    <s v="SALE42"/>
    <x v="99"/>
    <x v="331"/>
    <x v="47"/>
    <x v="99"/>
    <x v="2"/>
    <n v="2"/>
    <n v="915.15"/>
    <n v="0.16"/>
    <n v="1537.452"/>
    <s v="PayPal"/>
    <x v="0"/>
    <x v="0"/>
    <x v="1"/>
  </r>
  <r>
    <x v="19"/>
    <s v="SALE815"/>
    <x v="14"/>
    <x v="673"/>
    <x v="200"/>
    <x v="14"/>
    <x v="4"/>
    <n v="4"/>
    <n v="348.91"/>
    <n v="0.18"/>
    <n v="1144.4248"/>
    <s v="PayPal"/>
    <x v="1"/>
    <x v="0"/>
    <x v="0"/>
  </r>
  <r>
    <x v="19"/>
    <s v="SALE1528"/>
    <x v="14"/>
    <x v="249"/>
    <x v="55"/>
    <x v="14"/>
    <x v="4"/>
    <n v="3"/>
    <n v="657.24"/>
    <n v="0.18"/>
    <n v="1616.8104000000001"/>
    <s v="PayPal"/>
    <x v="0"/>
    <x v="0"/>
    <x v="2"/>
  </r>
  <r>
    <x v="19"/>
    <s v="SALE435"/>
    <x v="14"/>
    <x v="121"/>
    <x v="380"/>
    <x v="14"/>
    <x v="4"/>
    <n v="4"/>
    <n v="758.49"/>
    <n v="0.16"/>
    <n v="2548.5264000000002"/>
    <s v="COD"/>
    <x v="0"/>
    <x v="0"/>
    <x v="3"/>
  </r>
  <r>
    <x v="19"/>
    <s v="SALE944"/>
    <x v="14"/>
    <x v="560"/>
    <x v="183"/>
    <x v="14"/>
    <x v="4"/>
    <n v="3"/>
    <n v="462.75"/>
    <n v="0.22"/>
    <n v="1082.835"/>
    <s v="PayPal"/>
    <x v="1"/>
    <x v="0"/>
    <x v="0"/>
  </r>
  <r>
    <x v="19"/>
    <s v="SALE168"/>
    <x v="65"/>
    <x v="412"/>
    <x v="120"/>
    <x v="65"/>
    <x v="2"/>
    <n v="1"/>
    <n v="998.19"/>
    <n v="0.2"/>
    <n v="798.55200000000013"/>
    <s v="Credit Card"/>
    <x v="0"/>
    <x v="0"/>
    <x v="2"/>
  </r>
  <r>
    <x v="19"/>
    <s v="SALE303"/>
    <x v="66"/>
    <x v="426"/>
    <x v="290"/>
    <x v="66"/>
    <x v="3"/>
    <n v="2"/>
    <n v="916.49"/>
    <n v="0.3"/>
    <n v="1283.086"/>
    <s v="COD"/>
    <x v="0"/>
    <x v="0"/>
    <x v="0"/>
  </r>
  <r>
    <x v="19"/>
    <s v="SALE456"/>
    <x v="67"/>
    <x v="453"/>
    <x v="444"/>
    <x v="67"/>
    <x v="1"/>
    <n v="4"/>
    <n v="315.95"/>
    <n v="0.19"/>
    <n v="1023.678"/>
    <s v="COD"/>
    <x v="1"/>
    <x v="0"/>
    <x v="3"/>
  </r>
  <r>
    <x v="19"/>
    <s v="SALE1033"/>
    <x v="15"/>
    <x v="448"/>
    <x v="128"/>
    <x v="15"/>
    <x v="2"/>
    <n v="1"/>
    <n v="409.41"/>
    <n v="0.13"/>
    <n v="356.18669999999997"/>
    <s v="PayPal"/>
    <x v="0"/>
    <x v="0"/>
    <x v="2"/>
  </r>
  <r>
    <x v="19"/>
    <s v="SALE718"/>
    <x v="15"/>
    <x v="316"/>
    <x v="327"/>
    <x v="15"/>
    <x v="2"/>
    <n v="2"/>
    <n v="974.35"/>
    <n v="0.15"/>
    <n v="1656.395"/>
    <s v="Credit Card"/>
    <x v="1"/>
    <x v="0"/>
    <x v="3"/>
  </r>
  <r>
    <x v="19"/>
    <s v="SALE1628"/>
    <x v="16"/>
    <x v="343"/>
    <x v="357"/>
    <x v="16"/>
    <x v="0"/>
    <n v="3"/>
    <n v="109.5"/>
    <n v="0.06"/>
    <n v="308.79000000000002"/>
    <s v="COD"/>
    <x v="1"/>
    <x v="0"/>
    <x v="3"/>
  </r>
  <r>
    <x v="19"/>
    <s v="SALE1188"/>
    <x v="16"/>
    <x v="386"/>
    <x v="376"/>
    <x v="16"/>
    <x v="0"/>
    <n v="2"/>
    <n v="166.26"/>
    <n v="0.14000000000000001"/>
    <n v="285.96719999999999"/>
    <s v="PayPal"/>
    <x v="1"/>
    <x v="0"/>
    <x v="1"/>
  </r>
  <r>
    <x v="19"/>
    <s v="SALE203"/>
    <x v="16"/>
    <x v="207"/>
    <x v="268"/>
    <x v="16"/>
    <x v="0"/>
    <n v="2"/>
    <n v="597.07000000000005"/>
    <n v="0.28000000000000003"/>
    <n v="859.7808"/>
    <s v="PayPal"/>
    <x v="0"/>
    <x v="0"/>
    <x v="0"/>
  </r>
  <r>
    <x v="19"/>
    <s v="SALE1289"/>
    <x v="18"/>
    <x v="675"/>
    <x v="343"/>
    <x v="18"/>
    <x v="4"/>
    <n v="2"/>
    <n v="117.34"/>
    <n v="0.09"/>
    <n v="213.55879999999999"/>
    <s v="PayPal"/>
    <x v="0"/>
    <x v="0"/>
    <x v="1"/>
  </r>
  <r>
    <x v="19"/>
    <s v="SALE15"/>
    <x v="18"/>
    <x v="676"/>
    <x v="299"/>
    <x v="18"/>
    <x v="4"/>
    <n v="2.8801322162286236"/>
    <n v="871.34"/>
    <n v="0.04"/>
    <n v="2509.4591999999998"/>
    <s v="COD"/>
    <x v="1"/>
    <x v="0"/>
    <x v="0"/>
  </r>
  <r>
    <x v="19"/>
    <s v="SALE1957"/>
    <x v="19"/>
    <x v="168"/>
    <x v="328"/>
    <x v="19"/>
    <x v="4"/>
    <n v="3"/>
    <n v="765.12"/>
    <n v="0.18"/>
    <n v="1882.1952000000001"/>
    <s v="Credit Card"/>
    <x v="1"/>
    <x v="0"/>
    <x v="3"/>
  </r>
  <r>
    <x v="19"/>
    <s v="SALE1649"/>
    <x v="20"/>
    <x v="456"/>
    <x v="272"/>
    <x v="20"/>
    <x v="3"/>
    <n v="1"/>
    <n v="228.69"/>
    <n v="0.14000000000000001"/>
    <n v="196.67339999999999"/>
    <s v="Credit Card"/>
    <x v="1"/>
    <x v="0"/>
    <x v="3"/>
  </r>
  <r>
    <x v="19"/>
    <s v="SALE1293"/>
    <x v="20"/>
    <x v="283"/>
    <x v="286"/>
    <x v="20"/>
    <x v="3"/>
    <n v="1"/>
    <n v="40.25"/>
    <n v="0.1"/>
    <n v="36.225000000000001"/>
    <s v="PayPal"/>
    <x v="0"/>
    <x v="0"/>
    <x v="3"/>
  </r>
  <r>
    <x v="19"/>
    <s v="SALE1597"/>
    <x v="20"/>
    <x v="247"/>
    <x v="105"/>
    <x v="20"/>
    <x v="3"/>
    <n v="2"/>
    <n v="999.08"/>
    <n v="0.3"/>
    <n v="1398.712"/>
    <s v="PayPal"/>
    <x v="1"/>
    <x v="0"/>
    <x v="2"/>
  </r>
  <r>
    <x v="19"/>
    <s v="SALE934"/>
    <x v="21"/>
    <x v="677"/>
    <x v="78"/>
    <x v="21"/>
    <x v="0"/>
    <n v="2"/>
    <n v="986.73"/>
    <n v="0.05"/>
    <n v="1874.787"/>
    <s v="PayPal"/>
    <x v="1"/>
    <x v="0"/>
    <x v="1"/>
  </r>
  <r>
    <x v="19"/>
    <s v="SALE1372"/>
    <x v="95"/>
    <x v="548"/>
    <x v="204"/>
    <x v="95"/>
    <x v="4"/>
    <n v="2"/>
    <n v="409.26"/>
    <n v="0.1"/>
    <n v="736.66800000000001"/>
    <s v="PayPal"/>
    <x v="1"/>
    <x v="0"/>
    <x v="0"/>
  </r>
  <r>
    <x v="19"/>
    <s v="SALE1965"/>
    <x v="22"/>
    <x v="63"/>
    <x v="32"/>
    <x v="22"/>
    <x v="0"/>
    <n v="2"/>
    <n v="26.36"/>
    <n v="0.03"/>
    <n v="51.138399999999997"/>
    <s v="COD"/>
    <x v="1"/>
    <x v="0"/>
    <x v="2"/>
  </r>
  <r>
    <x v="19"/>
    <s v="SALE671"/>
    <x v="96"/>
    <x v="565"/>
    <x v="100"/>
    <x v="96"/>
    <x v="3"/>
    <n v="4"/>
    <n v="682.11"/>
    <n v="0.14000000000000001"/>
    <n v="2346.4584"/>
    <s v="Credit Card"/>
    <x v="1"/>
    <x v="0"/>
    <x v="0"/>
  </r>
  <r>
    <x v="19"/>
    <s v="SALE359"/>
    <x v="96"/>
    <x v="263"/>
    <x v="318"/>
    <x v="96"/>
    <x v="3"/>
    <n v="3"/>
    <n v="771.7"/>
    <n v="0.05"/>
    <n v="2199.3449999999998"/>
    <s v="COD"/>
    <x v="1"/>
    <x v="0"/>
    <x v="2"/>
  </r>
  <r>
    <x v="19"/>
    <s v="SALE880"/>
    <x v="23"/>
    <x v="285"/>
    <x v="149"/>
    <x v="23"/>
    <x v="0"/>
    <n v="4"/>
    <n v="194.36"/>
    <n v="0.18"/>
    <n v="637.50080000000014"/>
    <s v="COD"/>
    <x v="0"/>
    <x v="0"/>
    <x v="1"/>
  </r>
  <r>
    <x v="19"/>
    <s v="SALE1037"/>
    <x v="68"/>
    <x v="20"/>
    <x v="16"/>
    <x v="68"/>
    <x v="0"/>
    <n v="2"/>
    <n v="257.77999999999997"/>
    <n v="0.05"/>
    <n v="489.78199999999993"/>
    <s v="Credit Card"/>
    <x v="1"/>
    <x v="0"/>
    <x v="3"/>
  </r>
  <r>
    <x v="19"/>
    <s v="SALE1615"/>
    <x v="68"/>
    <x v="47"/>
    <x v="30"/>
    <x v="68"/>
    <x v="0"/>
    <n v="4"/>
    <n v="639.05999999999995"/>
    <n v="0.12"/>
    <n v="2249.4911999999999"/>
    <s v="PayPal"/>
    <x v="1"/>
    <x v="0"/>
    <x v="3"/>
  </r>
  <r>
    <x v="19"/>
    <s v="SALE1668"/>
    <x v="69"/>
    <x v="337"/>
    <x v="440"/>
    <x v="69"/>
    <x v="3"/>
    <n v="4"/>
    <n v="791.65"/>
    <n v="0.06"/>
    <n v="2976.6039999999998"/>
    <s v="COD"/>
    <x v="1"/>
    <x v="0"/>
    <x v="2"/>
  </r>
  <r>
    <x v="19"/>
    <s v="SALE248"/>
    <x v="24"/>
    <x v="678"/>
    <x v="480"/>
    <x v="24"/>
    <x v="3"/>
    <n v="3"/>
    <n v="499.12"/>
    <n v="0.05"/>
    <n v="1422.492"/>
    <s v="PayPal"/>
    <x v="1"/>
    <x v="0"/>
    <x v="2"/>
  </r>
  <r>
    <x v="19"/>
    <s v="SALE1215"/>
    <x v="25"/>
    <x v="115"/>
    <x v="40"/>
    <x v="25"/>
    <x v="4"/>
    <n v="2"/>
    <n v="152.25"/>
    <n v="0.13"/>
    <n v="264.91500000000002"/>
    <s v="Credit Card"/>
    <x v="1"/>
    <x v="0"/>
    <x v="1"/>
  </r>
  <r>
    <x v="19"/>
    <s v="SALE465"/>
    <x v="25"/>
    <x v="153"/>
    <x v="153"/>
    <x v="25"/>
    <x v="4"/>
    <n v="1"/>
    <n v="83.83"/>
    <n v="0.05"/>
    <n v="79.638499999999993"/>
    <s v="Credit Card"/>
    <x v="1"/>
    <x v="0"/>
    <x v="3"/>
  </r>
  <r>
    <x v="19"/>
    <s v="SALE1346"/>
    <x v="83"/>
    <x v="95"/>
    <x v="72"/>
    <x v="83"/>
    <x v="0"/>
    <n v="2"/>
    <n v="636.51"/>
    <n v="0.25"/>
    <n v="954.76499999999999"/>
    <s v="Credit Card"/>
    <x v="1"/>
    <x v="0"/>
    <x v="0"/>
  </r>
  <r>
    <x v="19"/>
    <s v="SALE1930"/>
    <x v="83"/>
    <x v="234"/>
    <x v="342"/>
    <x v="83"/>
    <x v="0"/>
    <n v="1"/>
    <n v="841.53"/>
    <n v="0.15"/>
    <n v="715.30049999999994"/>
    <s v="Credit Card"/>
    <x v="0"/>
    <x v="0"/>
    <x v="0"/>
  </r>
  <r>
    <x v="19"/>
    <s v="SALE731"/>
    <x v="28"/>
    <x v="117"/>
    <x v="257"/>
    <x v="28"/>
    <x v="4"/>
    <n v="3"/>
    <n v="966.02"/>
    <n v="0.03"/>
    <n v="2811.1181999999999"/>
    <s v="COD"/>
    <x v="1"/>
    <x v="0"/>
    <x v="1"/>
  </r>
  <r>
    <x v="19"/>
    <s v="SALE508"/>
    <x v="28"/>
    <x v="316"/>
    <x v="336"/>
    <x v="28"/>
    <x v="4"/>
    <n v="1"/>
    <n v="191.6"/>
    <n v="0.27"/>
    <n v="139.86799999999999"/>
    <s v="PayPal"/>
    <x v="1"/>
    <x v="0"/>
    <x v="1"/>
  </r>
  <r>
    <x v="19"/>
    <s v="SALE50"/>
    <x v="85"/>
    <x v="626"/>
    <x v="391"/>
    <x v="85"/>
    <x v="3"/>
    <n v="3"/>
    <n v="83.7"/>
    <n v="0.24"/>
    <n v="190.83600000000001"/>
    <s v="PayPal"/>
    <x v="1"/>
    <x v="0"/>
    <x v="3"/>
  </r>
  <r>
    <x v="19"/>
    <s v="SALE457"/>
    <x v="85"/>
    <x v="135"/>
    <x v="131"/>
    <x v="85"/>
    <x v="3"/>
    <n v="2"/>
    <n v="810.17"/>
    <n v="0.27"/>
    <n v="1182.8481999999999"/>
    <s v="Credit Card"/>
    <x v="1"/>
    <x v="0"/>
    <x v="2"/>
  </r>
  <r>
    <x v="19"/>
    <s v="SALE1490"/>
    <x v="30"/>
    <x v="340"/>
    <x v="119"/>
    <x v="30"/>
    <x v="3"/>
    <n v="1"/>
    <n v="687.91"/>
    <n v="0.25"/>
    <n v="515.9325"/>
    <s v="Credit Card"/>
    <x v="1"/>
    <x v="0"/>
    <x v="1"/>
  </r>
  <r>
    <x v="19"/>
    <s v="SALE569"/>
    <x v="32"/>
    <x v="467"/>
    <x v="220"/>
    <x v="32"/>
    <x v="2"/>
    <n v="3"/>
    <n v="600.58000000000004"/>
    <n v="0.28999999999999998"/>
    <n v="1279.2354"/>
    <s v="COD"/>
    <x v="1"/>
    <x v="0"/>
    <x v="3"/>
  </r>
  <r>
    <x v="19"/>
    <s v="SALE1943"/>
    <x v="32"/>
    <x v="232"/>
    <x v="286"/>
    <x v="32"/>
    <x v="2"/>
    <n v="3"/>
    <n v="442.64"/>
    <n v="0.15"/>
    <n v="1128.732"/>
    <s v="COD"/>
    <x v="0"/>
    <x v="0"/>
    <x v="3"/>
  </r>
  <r>
    <x v="19"/>
    <s v="SALE1214"/>
    <x v="86"/>
    <x v="21"/>
    <x v="19"/>
    <x v="86"/>
    <x v="3"/>
    <n v="4"/>
    <n v="64.06"/>
    <n v="0.26"/>
    <n v="189.61760000000001"/>
    <s v="Credit Card"/>
    <x v="1"/>
    <x v="0"/>
    <x v="1"/>
  </r>
  <r>
    <x v="19"/>
    <s v="SALE352"/>
    <x v="86"/>
    <x v="415"/>
    <x v="21"/>
    <x v="86"/>
    <x v="3"/>
    <n v="4"/>
    <n v="488.56"/>
    <n v="0.26"/>
    <n v="1446.1376"/>
    <s v="COD"/>
    <x v="0"/>
    <x v="0"/>
    <x v="0"/>
  </r>
  <r>
    <x v="19"/>
    <s v="SALE1227"/>
    <x v="97"/>
    <x v="71"/>
    <x v="168"/>
    <x v="97"/>
    <x v="1"/>
    <n v="2"/>
    <n v="107.97"/>
    <n v="0.06"/>
    <n v="202.9836"/>
    <s v="Credit Card"/>
    <x v="0"/>
    <x v="0"/>
    <x v="3"/>
  </r>
  <r>
    <x v="19"/>
    <s v="SALE962"/>
    <x v="34"/>
    <x v="305"/>
    <x v="142"/>
    <x v="34"/>
    <x v="1"/>
    <n v="4"/>
    <n v="579.70000000000005"/>
    <n v="0.18"/>
    <n v="1901.4159999999999"/>
    <s v="PayPal"/>
    <x v="1"/>
    <x v="0"/>
    <x v="1"/>
  </r>
  <r>
    <x v="19"/>
    <s v="SALE1655"/>
    <x v="71"/>
    <x v="679"/>
    <x v="6"/>
    <x v="71"/>
    <x v="1"/>
    <n v="2"/>
    <n v="666.49"/>
    <n v="0.06"/>
    <n v="1253.0011999999999"/>
    <s v="Credit Card"/>
    <x v="1"/>
    <x v="0"/>
    <x v="3"/>
  </r>
  <r>
    <x v="19"/>
    <s v="SALE1884"/>
    <x v="36"/>
    <x v="318"/>
    <x v="272"/>
    <x v="36"/>
    <x v="1"/>
    <n v="2"/>
    <n v="386.09"/>
    <n v="0.19"/>
    <n v="625.46579999999994"/>
    <s v="PayPal"/>
    <x v="1"/>
    <x v="0"/>
    <x v="3"/>
  </r>
  <r>
    <x v="19"/>
    <s v="SALE413"/>
    <x v="38"/>
    <x v="62"/>
    <x v="419"/>
    <x v="38"/>
    <x v="1"/>
    <n v="1"/>
    <n v="87.78"/>
    <n v="0.06"/>
    <n v="82.513199999999998"/>
    <s v="Credit Card"/>
    <x v="1"/>
    <x v="0"/>
    <x v="1"/>
  </r>
  <r>
    <x v="19"/>
    <s v="SALE1202"/>
    <x v="38"/>
    <x v="137"/>
    <x v="162"/>
    <x v="38"/>
    <x v="1"/>
    <n v="2"/>
    <n v="972.4"/>
    <n v="0.06"/>
    <n v="1828.1120000000001"/>
    <s v="COD"/>
    <x v="0"/>
    <x v="0"/>
    <x v="3"/>
  </r>
  <r>
    <x v="19"/>
    <s v="SALE204"/>
    <x v="39"/>
    <x v="409"/>
    <x v="455"/>
    <x v="39"/>
    <x v="0"/>
    <n v="3"/>
    <n v="723.47"/>
    <n v="0.12"/>
    <n v="1909.9608000000001"/>
    <s v="COD"/>
    <x v="1"/>
    <x v="0"/>
    <x v="0"/>
  </r>
  <r>
    <x v="19"/>
    <s v="SALE331"/>
    <x v="88"/>
    <x v="191"/>
    <x v="21"/>
    <x v="88"/>
    <x v="2"/>
    <n v="1"/>
    <n v="78.5"/>
    <n v="0.17"/>
    <n v="65.155000000000001"/>
    <s v="COD"/>
    <x v="0"/>
    <x v="0"/>
    <x v="0"/>
  </r>
  <r>
    <x v="19"/>
    <s v="SALE1239"/>
    <x v="41"/>
    <x v="128"/>
    <x v="297"/>
    <x v="41"/>
    <x v="2"/>
    <n v="4"/>
    <n v="930.38"/>
    <n v="0"/>
    <n v="3721.52"/>
    <s v="COD"/>
    <x v="1"/>
    <x v="0"/>
    <x v="1"/>
  </r>
  <r>
    <x v="19"/>
    <s v="SALE81"/>
    <x v="73"/>
    <x v="555"/>
    <x v="316"/>
    <x v="73"/>
    <x v="1"/>
    <n v="1"/>
    <n v="363.73"/>
    <n v="0.25"/>
    <n v="272.79750000000001"/>
    <s v="PayPal"/>
    <x v="0"/>
    <x v="0"/>
    <x v="2"/>
  </r>
  <r>
    <x v="19"/>
    <s v="SALE190"/>
    <x v="73"/>
    <x v="297"/>
    <x v="179"/>
    <x v="73"/>
    <x v="1"/>
    <n v="3"/>
    <n v="444.55"/>
    <n v="0.14000000000000001"/>
    <n v="1146.9390000000001"/>
    <s v="PayPal"/>
    <x v="1"/>
    <x v="0"/>
    <x v="0"/>
  </r>
  <r>
    <x v="19"/>
    <s v="SALE136"/>
    <x v="73"/>
    <x v="680"/>
    <x v="226"/>
    <x v="73"/>
    <x v="1"/>
    <n v="3"/>
    <n v="849.36"/>
    <n v="0.03"/>
    <n v="2471.6376"/>
    <s v="Credit Card"/>
    <x v="0"/>
    <x v="0"/>
    <x v="2"/>
  </r>
  <r>
    <x v="19"/>
    <s v="SALE1118"/>
    <x v="42"/>
    <x v="647"/>
    <x v="453"/>
    <x v="42"/>
    <x v="3"/>
    <n v="1"/>
    <n v="724.74"/>
    <n v="0.15"/>
    <n v="616.029"/>
    <s v="PayPal"/>
    <x v="1"/>
    <x v="0"/>
    <x v="3"/>
  </r>
  <r>
    <x v="19"/>
    <s v="SALE225"/>
    <x v="43"/>
    <x v="273"/>
    <x v="409"/>
    <x v="43"/>
    <x v="3"/>
    <n v="3"/>
    <n v="927.6"/>
    <n v="0.09"/>
    <n v="2532.348"/>
    <s v="Credit Card"/>
    <x v="1"/>
    <x v="0"/>
    <x v="1"/>
  </r>
  <r>
    <x v="19"/>
    <s v="SALE1321"/>
    <x v="44"/>
    <x v="546"/>
    <x v="171"/>
    <x v="44"/>
    <x v="0"/>
    <n v="3"/>
    <n v="627.29"/>
    <n v="0.27"/>
    <n v="1373.7651000000001"/>
    <s v="COD"/>
    <x v="1"/>
    <x v="0"/>
    <x v="2"/>
  </r>
  <r>
    <x v="19"/>
    <s v="SALE250"/>
    <x v="45"/>
    <x v="562"/>
    <x v="11"/>
    <x v="45"/>
    <x v="4"/>
    <n v="4"/>
    <n v="578.39"/>
    <n v="0.01"/>
    <n v="2290.4243999999999"/>
    <s v="Credit Card"/>
    <x v="1"/>
    <x v="0"/>
    <x v="2"/>
  </r>
  <r>
    <x v="19"/>
    <s v="SALE1074"/>
    <x v="45"/>
    <x v="180"/>
    <x v="50"/>
    <x v="45"/>
    <x v="4"/>
    <n v="4"/>
    <n v="255.48"/>
    <n v="0.03"/>
    <n v="991.26239999999996"/>
    <s v="COD"/>
    <x v="0"/>
    <x v="0"/>
    <x v="2"/>
  </r>
  <r>
    <x v="19"/>
    <s v="SALE460"/>
    <x v="74"/>
    <x v="46"/>
    <x v="253"/>
    <x v="74"/>
    <x v="0"/>
    <n v="4"/>
    <n v="700.31"/>
    <n v="0.2"/>
    <n v="2240.9920000000002"/>
    <s v="PayPal"/>
    <x v="0"/>
    <x v="0"/>
    <x v="4"/>
  </r>
  <r>
    <x v="19"/>
    <s v="SALE1010"/>
    <x v="76"/>
    <x v="645"/>
    <x v="376"/>
    <x v="76"/>
    <x v="2"/>
    <n v="4"/>
    <n v="202.59"/>
    <n v="0.06"/>
    <n v="761.73839999999996"/>
    <s v="COD"/>
    <x v="1"/>
    <x v="0"/>
    <x v="1"/>
  </r>
  <r>
    <x v="19"/>
    <s v="SALE744"/>
    <x v="76"/>
    <x v="647"/>
    <x v="89"/>
    <x v="76"/>
    <x v="2"/>
    <n v="4"/>
    <n v="848.47"/>
    <n v="0.21"/>
    <n v="2681.1651999999999"/>
    <s v="COD"/>
    <x v="1"/>
    <x v="0"/>
    <x v="3"/>
  </r>
  <r>
    <x v="19"/>
    <s v="SALE337"/>
    <x v="77"/>
    <x v="93"/>
    <x v="281"/>
    <x v="77"/>
    <x v="0"/>
    <n v="1"/>
    <n v="125"/>
    <n v="0.23"/>
    <n v="96.25"/>
    <s v="Credit Card"/>
    <x v="1"/>
    <x v="0"/>
    <x v="2"/>
  </r>
  <r>
    <x v="19"/>
    <s v="SALE1047"/>
    <x v="91"/>
    <x v="538"/>
    <x v="272"/>
    <x v="91"/>
    <x v="2"/>
    <n v="1"/>
    <n v="813.87"/>
    <n v="0.23"/>
    <n v="626.67989999999998"/>
    <s v="Credit Card"/>
    <x v="1"/>
    <x v="0"/>
    <x v="3"/>
  </r>
  <r>
    <x v="19"/>
    <s v="SALE1404"/>
    <x v="46"/>
    <x v="660"/>
    <x v="239"/>
    <x v="46"/>
    <x v="3"/>
    <n v="3"/>
    <n v="113.87"/>
    <n v="0.21"/>
    <n v="269.87189999999998"/>
    <s v="COD"/>
    <x v="0"/>
    <x v="0"/>
    <x v="1"/>
  </r>
  <r>
    <x v="19"/>
    <s v="SALE1986"/>
    <x v="47"/>
    <x v="431"/>
    <x v="261"/>
    <x v="47"/>
    <x v="3"/>
    <n v="4"/>
    <n v="752.48"/>
    <n v="0.23"/>
    <n v="2317.6383999999998"/>
    <s v="Credit Card"/>
    <x v="1"/>
    <x v="0"/>
    <x v="3"/>
  </r>
  <r>
    <x v="19"/>
    <s v="SALE890"/>
    <x v="48"/>
    <x v="354"/>
    <x v="42"/>
    <x v="48"/>
    <x v="1"/>
    <n v="3"/>
    <n v="470.42"/>
    <n v="0.16"/>
    <n v="1185.4584"/>
    <s v="Credit Card"/>
    <x v="0"/>
    <x v="0"/>
    <x v="3"/>
  </r>
  <r>
    <x v="19"/>
    <s v="SALE741"/>
    <x v="50"/>
    <x v="419"/>
    <x v="422"/>
    <x v="50"/>
    <x v="2"/>
    <n v="1"/>
    <n v="431.69"/>
    <n v="0.09"/>
    <n v="392.83789999999999"/>
    <s v="Credit Card"/>
    <x v="1"/>
    <x v="0"/>
    <x v="1"/>
  </r>
  <r>
    <x v="19"/>
    <s v="SALE534"/>
    <x v="51"/>
    <x v="65"/>
    <x v="166"/>
    <x v="51"/>
    <x v="2"/>
    <n v="1"/>
    <n v="972.06"/>
    <n v="0.3"/>
    <n v="680.44199999999989"/>
    <s v="COD"/>
    <x v="1"/>
    <x v="0"/>
    <x v="2"/>
  </r>
  <r>
    <x v="19"/>
    <s v="SALE425"/>
    <x v="51"/>
    <x v="154"/>
    <x v="217"/>
    <x v="51"/>
    <x v="2"/>
    <n v="2"/>
    <n v="209.96"/>
    <n v="0"/>
    <n v="419.92"/>
    <s v="Credit Card"/>
    <x v="0"/>
    <x v="0"/>
    <x v="3"/>
  </r>
  <r>
    <x v="19"/>
    <s v="SALE1396"/>
    <x v="53"/>
    <x v="218"/>
    <x v="471"/>
    <x v="53"/>
    <x v="1"/>
    <n v="1"/>
    <n v="317.14999999999998"/>
    <n v="0.24"/>
    <n v="241.03399999999999"/>
    <s v="COD"/>
    <x v="1"/>
    <x v="0"/>
    <x v="1"/>
  </r>
  <r>
    <x v="19"/>
    <s v="SALE330"/>
    <x v="92"/>
    <x v="387"/>
    <x v="104"/>
    <x v="92"/>
    <x v="3"/>
    <n v="3"/>
    <n v="268.89"/>
    <n v="7.0000000000000007E-2"/>
    <n v="750.20309999999995"/>
    <s v="COD"/>
    <x v="0"/>
    <x v="0"/>
    <x v="0"/>
  </r>
  <r>
    <x v="19"/>
    <s v="SALE1829"/>
    <x v="92"/>
    <x v="186"/>
    <x v="179"/>
    <x v="92"/>
    <x v="3"/>
    <n v="2"/>
    <n v="169.46"/>
    <n v="0.03"/>
    <n v="328.75240000000002"/>
    <s v="PayPal"/>
    <x v="1"/>
    <x v="0"/>
    <x v="0"/>
  </r>
  <r>
    <x v="19"/>
    <s v="SALE686"/>
    <x v="55"/>
    <x v="420"/>
    <x v="141"/>
    <x v="55"/>
    <x v="4"/>
    <n v="4"/>
    <n v="547.21"/>
    <n v="0.25"/>
    <n v="1641.63"/>
    <s v="Credit Card"/>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BF689F-DC67-45F0-9A1E-6AAE114D079A}" name="PivotTable8"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41:B47" firstHeaderRow="1" firstDataRow="1" firstDataCol="1"/>
  <pivotFields count="18">
    <pivotField showAll="0">
      <items count="21">
        <item x="0"/>
        <item x="1"/>
        <item x="2"/>
        <item x="3"/>
        <item x="4"/>
        <item x="5"/>
        <item x="6"/>
        <item x="7"/>
        <item x="8"/>
        <item x="9"/>
        <item x="10"/>
        <item x="11"/>
        <item x="12"/>
        <item x="13"/>
        <item x="14"/>
        <item x="15"/>
        <item x="16"/>
        <item x="17"/>
        <item x="18"/>
        <item x="19"/>
        <item t="default"/>
      </items>
    </pivotField>
    <pivotField showAll="0"/>
    <pivotField showAll="0">
      <items count="101">
        <item x="98"/>
        <item x="81"/>
        <item x="60"/>
        <item x="0"/>
        <item x="1"/>
        <item x="61"/>
        <item x="2"/>
        <item x="62"/>
        <item x="3"/>
        <item x="4"/>
        <item x="5"/>
        <item x="6"/>
        <item x="82"/>
        <item x="7"/>
        <item x="8"/>
        <item x="9"/>
        <item x="63"/>
        <item x="64"/>
        <item x="10"/>
        <item x="11"/>
        <item x="12"/>
        <item x="13"/>
        <item x="99"/>
        <item x="14"/>
        <item x="65"/>
        <item x="66"/>
        <item x="67"/>
        <item x="15"/>
        <item x="16"/>
        <item x="17"/>
        <item x="18"/>
        <item x="19"/>
        <item x="20"/>
        <item x="21"/>
        <item x="95"/>
        <item x="22"/>
        <item x="96"/>
        <item x="23"/>
        <item x="68"/>
        <item x="69"/>
        <item x="24"/>
        <item x="25"/>
        <item x="26"/>
        <item x="83"/>
        <item x="27"/>
        <item x="28"/>
        <item x="29"/>
        <item x="84"/>
        <item x="85"/>
        <item x="70"/>
        <item x="30"/>
        <item x="31"/>
        <item x="32"/>
        <item x="86"/>
        <item x="33"/>
        <item x="97"/>
        <item x="34"/>
        <item x="71"/>
        <item x="87"/>
        <item x="35"/>
        <item x="36"/>
        <item x="37"/>
        <item x="72"/>
        <item x="38"/>
        <item x="39"/>
        <item x="88"/>
        <item x="40"/>
        <item x="89"/>
        <item x="41"/>
        <item x="73"/>
        <item x="42"/>
        <item x="43"/>
        <item x="44"/>
        <item x="45"/>
        <item x="90"/>
        <item x="74"/>
        <item x="75"/>
        <item x="76"/>
        <item x="77"/>
        <item x="91"/>
        <item x="46"/>
        <item x="47"/>
        <item x="48"/>
        <item x="78"/>
        <item x="49"/>
        <item x="50"/>
        <item x="51"/>
        <item x="52"/>
        <item x="53"/>
        <item x="92"/>
        <item x="54"/>
        <item x="55"/>
        <item x="56"/>
        <item x="93"/>
        <item x="57"/>
        <item x="58"/>
        <item x="59"/>
        <item x="79"/>
        <item x="94"/>
        <item x="80"/>
        <item t="default"/>
      </items>
    </pivotField>
    <pivotField numFmtId="164" showAll="0">
      <items count="682">
        <item x="289"/>
        <item x="1"/>
        <item x="139"/>
        <item x="571"/>
        <item x="272"/>
        <item x="527"/>
        <item x="566"/>
        <item x="373"/>
        <item x="646"/>
        <item x="61"/>
        <item x="216"/>
        <item x="536"/>
        <item x="82"/>
        <item x="259"/>
        <item x="601"/>
        <item x="556"/>
        <item x="230"/>
        <item x="58"/>
        <item x="98"/>
        <item x="435"/>
        <item x="464"/>
        <item x="134"/>
        <item x="399"/>
        <item x="540"/>
        <item x="60"/>
        <item x="451"/>
        <item x="138"/>
        <item x="421"/>
        <item x="359"/>
        <item x="576"/>
        <item x="55"/>
        <item x="370"/>
        <item x="612"/>
        <item x="95"/>
        <item x="243"/>
        <item x="26"/>
        <item x="638"/>
        <item x="445"/>
        <item x="579"/>
        <item x="107"/>
        <item x="295"/>
        <item x="287"/>
        <item x="589"/>
        <item x="198"/>
        <item x="656"/>
        <item x="596"/>
        <item x="563"/>
        <item x="403"/>
        <item x="357"/>
        <item x="629"/>
        <item x="224"/>
        <item x="182"/>
        <item x="427"/>
        <item x="205"/>
        <item x="613"/>
        <item x="18"/>
        <item x="324"/>
        <item x="301"/>
        <item x="130"/>
        <item x="454"/>
        <item x="660"/>
        <item x="68"/>
        <item x="148"/>
        <item x="303"/>
        <item x="6"/>
        <item x="436"/>
        <item x="657"/>
        <item x="146"/>
        <item x="33"/>
        <item x="606"/>
        <item x="491"/>
        <item x="538"/>
        <item x="561"/>
        <item x="528"/>
        <item x="626"/>
        <item x="298"/>
        <item x="228"/>
        <item x="512"/>
        <item x="440"/>
        <item x="391"/>
        <item x="580"/>
        <item x="99"/>
        <item x="523"/>
        <item x="296"/>
        <item x="452"/>
        <item x="643"/>
        <item x="104"/>
        <item x="664"/>
        <item x="158"/>
        <item x="476"/>
        <item x="14"/>
        <item x="292"/>
        <item x="332"/>
        <item x="46"/>
        <item x="94"/>
        <item x="57"/>
        <item x="587"/>
        <item x="530"/>
        <item x="87"/>
        <item x="677"/>
        <item x="304"/>
        <item x="506"/>
        <item x="141"/>
        <item x="652"/>
        <item x="181"/>
        <item x="102"/>
        <item x="354"/>
        <item x="237"/>
        <item x="207"/>
        <item x="78"/>
        <item x="294"/>
        <item x="283"/>
        <item x="194"/>
        <item x="608"/>
        <item x="122"/>
        <item x="123"/>
        <item x="290"/>
        <item x="160"/>
        <item x="564"/>
        <item x="0"/>
        <item x="496"/>
        <item x="379"/>
        <item x="322"/>
        <item x="288"/>
        <item x="300"/>
        <item x="75"/>
        <item x="411"/>
        <item x="406"/>
        <item x="417"/>
        <item x="431"/>
        <item x="624"/>
        <item x="659"/>
        <item x="408"/>
        <item x="268"/>
        <item x="366"/>
        <item x="489"/>
        <item x="526"/>
        <item x="558"/>
        <item x="302"/>
        <item x="56"/>
        <item x="257"/>
        <item x="648"/>
        <item x="401"/>
        <item x="628"/>
        <item x="142"/>
        <item x="247"/>
        <item x="654"/>
        <item x="369"/>
        <item x="521"/>
        <item x="137"/>
        <item x="419"/>
        <item x="342"/>
        <item x="477"/>
        <item x="388"/>
        <item x="432"/>
        <item x="605"/>
        <item x="355"/>
        <item x="186"/>
        <item x="179"/>
        <item x="338"/>
        <item x="546"/>
        <item x="467"/>
        <item x="119"/>
        <item x="597"/>
        <item x="428"/>
        <item x="286"/>
        <item x="504"/>
        <item x="535"/>
        <item x="336"/>
        <item x="202"/>
        <item x="67"/>
        <item x="253"/>
        <item x="239"/>
        <item x="673"/>
        <item x="671"/>
        <item x="416"/>
        <item x="584"/>
        <item x="84"/>
        <item x="229"/>
        <item x="221"/>
        <item x="568"/>
        <item x="396"/>
        <item x="508"/>
        <item x="193"/>
        <item x="522"/>
        <item x="495"/>
        <item x="175"/>
        <item x="672"/>
        <item x="378"/>
        <item x="649"/>
        <item x="321"/>
        <item x="524"/>
        <item x="635"/>
        <item x="552"/>
        <item x="91"/>
        <item x="63"/>
        <item x="113"/>
        <item x="430"/>
        <item x="222"/>
        <item x="180"/>
        <item x="265"/>
        <item x="110"/>
        <item x="310"/>
        <item x="269"/>
        <item x="64"/>
        <item x="249"/>
        <item x="190"/>
        <item x="557"/>
        <item x="204"/>
        <item x="623"/>
        <item x="429"/>
        <item x="550"/>
        <item x="266"/>
        <item x="414"/>
        <item x="34"/>
        <item x="133"/>
        <item x="197"/>
        <item x="554"/>
        <item x="261"/>
        <item x="466"/>
        <item x="199"/>
        <item x="351"/>
        <item x="457"/>
        <item x="627"/>
        <item x="595"/>
        <item x="238"/>
        <item x="543"/>
        <item x="516"/>
        <item x="223"/>
        <item x="610"/>
        <item x="412"/>
        <item x="409"/>
        <item x="246"/>
        <item x="511"/>
        <item x="170"/>
        <item x="490"/>
        <item x="244"/>
        <item x="663"/>
        <item x="305"/>
        <item x="529"/>
        <item x="132"/>
        <item x="7"/>
        <item x="312"/>
        <item x="387"/>
        <item x="448"/>
        <item x="263"/>
        <item x="5"/>
        <item x="275"/>
        <item x="544"/>
        <item x="196"/>
        <item x="525"/>
        <item x="70"/>
        <item x="203"/>
        <item x="667"/>
        <item x="330"/>
        <item x="520"/>
        <item x="383"/>
        <item x="553"/>
        <item x="210"/>
        <item x="42"/>
        <item x="12"/>
        <item x="631"/>
        <item x="225"/>
        <item x="159"/>
        <item x="548"/>
        <item x="341"/>
        <item x="10"/>
        <item x="318"/>
        <item x="560"/>
        <item x="348"/>
        <item x="92"/>
        <item x="444"/>
        <item x="570"/>
        <item x="515"/>
        <item x="609"/>
        <item x="473"/>
        <item x="233"/>
        <item x="668"/>
        <item x="562"/>
        <item x="644"/>
        <item x="510"/>
        <item x="255"/>
        <item x="619"/>
        <item x="157"/>
        <item x="650"/>
        <item x="385"/>
        <item x="404"/>
        <item x="458"/>
        <item x="185"/>
        <item x="250"/>
        <item x="11"/>
        <item x="74"/>
        <item x="453"/>
        <item x="625"/>
        <item x="586"/>
        <item x="386"/>
        <item x="487"/>
        <item x="474"/>
        <item x="254"/>
        <item x="120"/>
        <item x="547"/>
        <item x="442"/>
        <item x="675"/>
        <item x="315"/>
        <item x="375"/>
        <item x="441"/>
        <item x="32"/>
        <item x="211"/>
        <item x="469"/>
        <item x="347"/>
        <item x="271"/>
        <item x="248"/>
        <item x="480"/>
        <item x="422"/>
        <item x="450"/>
        <item x="241"/>
        <item x="127"/>
        <item x="423"/>
        <item x="309"/>
        <item x="144"/>
        <item x="201"/>
        <item x="171"/>
        <item x="518"/>
        <item x="600"/>
        <item x="353"/>
        <item x="569"/>
        <item x="284"/>
        <item x="19"/>
        <item x="640"/>
        <item x="206"/>
        <item x="213"/>
        <item x="365"/>
        <item x="117"/>
        <item x="502"/>
        <item x="503"/>
        <item x="118"/>
        <item x="323"/>
        <item x="674"/>
        <item x="285"/>
        <item x="325"/>
        <item x="173"/>
        <item x="350"/>
        <item x="54"/>
        <item x="176"/>
        <item x="577"/>
        <item x="9"/>
        <item x="152"/>
        <item x="651"/>
        <item x="461"/>
        <item x="604"/>
        <item x="31"/>
        <item x="231"/>
        <item x="313"/>
        <item x="29"/>
        <item x="100"/>
        <item x="319"/>
        <item x="13"/>
        <item x="460"/>
        <item x="282"/>
        <item x="670"/>
        <item x="472"/>
        <item x="111"/>
        <item x="192"/>
        <item x="299"/>
        <item x="415"/>
        <item x="245"/>
        <item x="28"/>
        <item x="273"/>
        <item x="145"/>
        <item x="630"/>
        <item x="150"/>
        <item x="532"/>
        <item x="594"/>
        <item x="270"/>
        <item x="174"/>
        <item x="555"/>
        <item x="434"/>
        <item x="183"/>
        <item x="128"/>
        <item x="43"/>
        <item x="537"/>
        <item x="492"/>
        <item x="567"/>
        <item x="329"/>
        <item x="327"/>
        <item x="260"/>
        <item x="395"/>
        <item x="501"/>
        <item x="418"/>
        <item x="665"/>
        <item x="147"/>
        <item x="655"/>
        <item x="136"/>
        <item x="393"/>
        <item x="676"/>
        <item x="143"/>
        <item x="499"/>
        <item x="69"/>
        <item x="256"/>
        <item x="140"/>
        <item x="611"/>
        <item x="22"/>
        <item x="658"/>
        <item x="37"/>
        <item x="112"/>
        <item x="240"/>
        <item x="331"/>
        <item x="497"/>
        <item x="632"/>
        <item x="463"/>
        <item x="483"/>
        <item x="251"/>
        <item x="581"/>
        <item x="316"/>
        <item x="262"/>
        <item x="541"/>
        <item x="513"/>
        <item x="156"/>
        <item x="3"/>
        <item x="317"/>
        <item x="281"/>
        <item x="400"/>
        <item x="161"/>
        <item x="360"/>
        <item x="531"/>
        <item x="622"/>
        <item x="41"/>
        <item x="634"/>
        <item x="276"/>
        <item x="364"/>
        <item x="53"/>
        <item x="358"/>
        <item x="402"/>
        <item x="362"/>
        <item x="363"/>
        <item x="279"/>
        <item x="214"/>
        <item x="71"/>
        <item x="455"/>
        <item x="598"/>
        <item x="291"/>
        <item x="603"/>
        <item x="114"/>
        <item x="647"/>
        <item x="242"/>
        <item x="633"/>
        <item x="636"/>
        <item x="108"/>
        <item x="468"/>
        <item x="166"/>
        <item x="220"/>
        <item x="17"/>
        <item x="607"/>
        <item x="65"/>
        <item x="381"/>
        <item x="573"/>
        <item x="446"/>
        <item x="565"/>
        <item x="274"/>
        <item x="465"/>
        <item x="382"/>
        <item x="16"/>
        <item x="679"/>
        <item x="49"/>
        <item x="167"/>
        <item x="153"/>
        <item x="593"/>
        <item x="507"/>
        <item x="582"/>
        <item x="124"/>
        <item x="106"/>
        <item x="40"/>
        <item x="621"/>
        <item x="88"/>
        <item x="131"/>
        <item x="397"/>
        <item x="162"/>
        <item x="165"/>
        <item x="36"/>
        <item x="380"/>
        <item x="439"/>
        <item x="486"/>
        <item x="59"/>
        <item x="52"/>
        <item x="45"/>
        <item x="398"/>
        <item x="471"/>
        <item x="334"/>
        <item x="73"/>
        <item x="346"/>
        <item x="80"/>
        <item x="340"/>
        <item x="280"/>
        <item x="484"/>
        <item x="47"/>
        <item x="218"/>
        <item x="35"/>
        <item x="372"/>
        <item x="669"/>
        <item x="352"/>
        <item x="533"/>
        <item x="126"/>
        <item x="680"/>
        <item x="438"/>
        <item x="24"/>
        <item x="498"/>
        <item x="76"/>
        <item x="50"/>
        <item x="227"/>
        <item x="236"/>
        <item x="311"/>
        <item x="326"/>
        <item x="356"/>
        <item x="328"/>
        <item x="293"/>
        <item x="267"/>
        <item x="79"/>
        <item x="590"/>
        <item x="642"/>
        <item x="678"/>
        <item x="226"/>
        <item x="545"/>
        <item x="103"/>
        <item x="169"/>
        <item x="105"/>
        <item x="177"/>
        <item x="297"/>
        <item x="424"/>
        <item x="25"/>
        <item x="184"/>
        <item x="20"/>
        <item x="4"/>
        <item x="437"/>
        <item x="21"/>
        <item x="592"/>
        <item x="349"/>
        <item x="482"/>
        <item x="456"/>
        <item x="389"/>
        <item x="195"/>
        <item x="575"/>
        <item x="599"/>
        <item x="72"/>
        <item x="129"/>
        <item x="278"/>
        <item x="264"/>
        <item x="135"/>
        <item x="215"/>
        <item x="410"/>
        <item x="187"/>
        <item x="462"/>
        <item x="15"/>
        <item x="30"/>
        <item x="361"/>
        <item x="602"/>
        <item x="168"/>
        <item x="154"/>
        <item x="8"/>
        <item x="235"/>
        <item x="425"/>
        <item x="38"/>
        <item x="426"/>
        <item x="232"/>
        <item x="618"/>
        <item x="384"/>
        <item x="163"/>
        <item x="615"/>
        <item x="578"/>
        <item x="345"/>
        <item x="407"/>
        <item x="89"/>
        <item x="374"/>
        <item x="534"/>
        <item x="666"/>
        <item x="470"/>
        <item x="343"/>
        <item x="219"/>
        <item x="314"/>
        <item x="2"/>
        <item x="514"/>
        <item x="641"/>
        <item x="481"/>
        <item x="653"/>
        <item x="149"/>
        <item x="344"/>
        <item x="559"/>
        <item x="155"/>
        <item x="337"/>
        <item x="85"/>
        <item x="371"/>
        <item x="661"/>
        <item x="234"/>
        <item x="96"/>
        <item x="115"/>
        <item x="308"/>
        <item x="109"/>
        <item x="333"/>
        <item x="81"/>
        <item x="101"/>
        <item x="478"/>
        <item x="585"/>
        <item x="549"/>
        <item x="639"/>
        <item x="48"/>
        <item x="447"/>
        <item x="551"/>
        <item x="62"/>
        <item x="208"/>
        <item x="662"/>
        <item x="368"/>
        <item x="252"/>
        <item x="23"/>
        <item x="443"/>
        <item x="97"/>
        <item x="433"/>
        <item x="151"/>
        <item x="620"/>
        <item x="217"/>
        <item x="178"/>
        <item x="449"/>
        <item x="77"/>
        <item x="572"/>
        <item x="307"/>
        <item x="509"/>
        <item x="500"/>
        <item x="172"/>
        <item x="306"/>
        <item x="479"/>
        <item x="459"/>
        <item x="86"/>
        <item x="637"/>
        <item x="121"/>
        <item x="191"/>
        <item x="539"/>
        <item x="212"/>
        <item x="51"/>
        <item x="475"/>
        <item x="83"/>
        <item x="320"/>
        <item x="277"/>
        <item x="591"/>
        <item x="392"/>
        <item x="617"/>
        <item x="493"/>
        <item x="494"/>
        <item x="413"/>
        <item x="209"/>
        <item x="616"/>
        <item x="645"/>
        <item x="258"/>
        <item x="394"/>
        <item x="519"/>
        <item x="377"/>
        <item x="574"/>
        <item x="188"/>
        <item x="376"/>
        <item x="27"/>
        <item x="200"/>
        <item x="517"/>
        <item x="588"/>
        <item x="93"/>
        <item x="485"/>
        <item x="583"/>
        <item x="90"/>
        <item x="488"/>
        <item x="390"/>
        <item x="335"/>
        <item x="505"/>
        <item x="189"/>
        <item x="339"/>
        <item x="125"/>
        <item x="116"/>
        <item x="39"/>
        <item x="614"/>
        <item x="66"/>
        <item x="405"/>
        <item x="367"/>
        <item x="44"/>
        <item x="542"/>
        <item x="420"/>
        <item x="164"/>
        <item t="default"/>
      </items>
    </pivotField>
    <pivotField showAll="0">
      <items count="493">
        <item x="401"/>
        <item x="59"/>
        <item x="422"/>
        <item x="331"/>
        <item x="402"/>
        <item x="52"/>
        <item x="406"/>
        <item x="74"/>
        <item x="222"/>
        <item x="322"/>
        <item x="430"/>
        <item x="411"/>
        <item x="317"/>
        <item x="100"/>
        <item x="458"/>
        <item x="335"/>
        <item x="405"/>
        <item x="325"/>
        <item x="385"/>
        <item x="119"/>
        <item x="398"/>
        <item x="41"/>
        <item x="455"/>
        <item x="1"/>
        <item x="88"/>
        <item x="212"/>
        <item x="307"/>
        <item x="253"/>
        <item x="249"/>
        <item x="250"/>
        <item x="32"/>
        <item x="238"/>
        <item x="6"/>
        <item x="267"/>
        <item x="365"/>
        <item x="7"/>
        <item x="111"/>
        <item x="236"/>
        <item x="477"/>
        <item x="388"/>
        <item x="91"/>
        <item x="198"/>
        <item x="246"/>
        <item x="274"/>
        <item x="159"/>
        <item x="17"/>
        <item x="368"/>
        <item x="352"/>
        <item x="319"/>
        <item x="38"/>
        <item x="225"/>
        <item x="13"/>
        <item x="224"/>
        <item x="272"/>
        <item x="241"/>
        <item x="215"/>
        <item x="263"/>
        <item x="257"/>
        <item x="61"/>
        <item x="98"/>
        <item x="229"/>
        <item x="446"/>
        <item x="228"/>
        <item x="277"/>
        <item x="95"/>
        <item x="200"/>
        <item x="199"/>
        <item x="341"/>
        <item x="409"/>
        <item x="391"/>
        <item x="357"/>
        <item x="262"/>
        <item x="408"/>
        <item x="473"/>
        <item x="208"/>
        <item x="27"/>
        <item x="287"/>
        <item x="374"/>
        <item x="468"/>
        <item x="311"/>
        <item x="39"/>
        <item x="55"/>
        <item x="480"/>
        <item x="297"/>
        <item x="441"/>
        <item x="482"/>
        <item x="281"/>
        <item x="467"/>
        <item x="109"/>
        <item x="349"/>
        <item x="432"/>
        <item x="216"/>
        <item x="242"/>
        <item x="129"/>
        <item x="142"/>
        <item x="123"/>
        <item x="290"/>
        <item x="283"/>
        <item x="279"/>
        <item x="83"/>
        <item x="265"/>
        <item x="258"/>
        <item x="102"/>
        <item x="115"/>
        <item x="220"/>
        <item x="403"/>
        <item x="173"/>
        <item x="120"/>
        <item x="195"/>
        <item x="133"/>
        <item x="474"/>
        <item x="34"/>
        <item x="42"/>
        <item x="108"/>
        <item x="2"/>
        <item x="410"/>
        <item x="452"/>
        <item x="400"/>
        <item x="75"/>
        <item x="304"/>
        <item x="244"/>
        <item x="149"/>
        <item x="363"/>
        <item x="65"/>
        <item x="436"/>
        <item x="291"/>
        <item x="48"/>
        <item x="53"/>
        <item x="252"/>
        <item x="232"/>
        <item x="11"/>
        <item x="43"/>
        <item x="180"/>
        <item x="134"/>
        <item x="235"/>
        <item x="372"/>
        <item x="384"/>
        <item x="404"/>
        <item x="373"/>
        <item x="107"/>
        <item x="330"/>
        <item x="214"/>
        <item x="92"/>
        <item x="209"/>
        <item x="211"/>
        <item x="144"/>
        <item x="117"/>
        <item x="181"/>
        <item x="126"/>
        <item x="362"/>
        <item x="429"/>
        <item x="301"/>
        <item x="146"/>
        <item x="58"/>
        <item x="186"/>
        <item x="56"/>
        <item x="476"/>
        <item x="486"/>
        <item x="16"/>
        <item x="324"/>
        <item x="170"/>
        <item x="240"/>
        <item x="150"/>
        <item x="35"/>
        <item x="19"/>
        <item x="202"/>
        <item x="22"/>
        <item x="114"/>
        <item x="8"/>
        <item x="369"/>
        <item x="196"/>
        <item x="97"/>
        <item x="260"/>
        <item x="206"/>
        <item x="239"/>
        <item x="71"/>
        <item x="343"/>
        <item x="213"/>
        <item x="269"/>
        <item x="339"/>
        <item x="54"/>
        <item x="361"/>
        <item x="31"/>
        <item x="412"/>
        <item x="419"/>
        <item x="447"/>
        <item x="87"/>
        <item x="193"/>
        <item x="309"/>
        <item x="439"/>
        <item x="93"/>
        <item x="285"/>
        <item x="448"/>
        <item x="294"/>
        <item x="154"/>
        <item x="390"/>
        <item x="29"/>
        <item x="189"/>
        <item x="295"/>
        <item x="4"/>
        <item x="166"/>
        <item x="310"/>
        <item x="276"/>
        <item x="302"/>
        <item x="453"/>
        <item x="298"/>
        <item x="465"/>
        <item x="358"/>
        <item x="376"/>
        <item x="116"/>
        <item x="273"/>
        <item x="227"/>
        <item x="14"/>
        <item x="79"/>
        <item x="444"/>
        <item x="63"/>
        <item x="442"/>
        <item x="437"/>
        <item x="30"/>
        <item x="300"/>
        <item x="121"/>
        <item x="423"/>
        <item x="292"/>
        <item x="415"/>
        <item x="456"/>
        <item x="351"/>
        <item x="484"/>
        <item x="426"/>
        <item x="131"/>
        <item x="247"/>
        <item x="329"/>
        <item x="84"/>
        <item x="77"/>
        <item x="334"/>
        <item x="201"/>
        <item x="333"/>
        <item x="443"/>
        <item x="433"/>
        <item x="81"/>
        <item x="10"/>
        <item x="122"/>
        <item x="135"/>
        <item x="26"/>
        <item x="175"/>
        <item x="78"/>
        <item x="128"/>
        <item x="414"/>
        <item x="431"/>
        <item x="157"/>
        <item x="49"/>
        <item x="104"/>
        <item x="234"/>
        <item x="316"/>
        <item x="18"/>
        <item x="164"/>
        <item x="469"/>
        <item x="21"/>
        <item x="308"/>
        <item x="160"/>
        <item x="80"/>
        <item x="72"/>
        <item x="178"/>
        <item x="427"/>
        <item x="162"/>
        <item x="141"/>
        <item x="266"/>
        <item x="489"/>
        <item x="346"/>
        <item x="367"/>
        <item x="314"/>
        <item x="445"/>
        <item x="167"/>
        <item x="182"/>
        <item x="286"/>
        <item x="60"/>
        <item x="382"/>
        <item x="99"/>
        <item x="248"/>
        <item x="243"/>
        <item x="438"/>
        <item x="420"/>
        <item x="323"/>
        <item x="219"/>
        <item x="315"/>
        <item x="70"/>
        <item x="46"/>
        <item x="380"/>
        <item x="481"/>
        <item x="485"/>
        <item x="259"/>
        <item x="462"/>
        <item x="36"/>
        <item x="491"/>
        <item x="138"/>
        <item x="454"/>
        <item x="305"/>
        <item x="137"/>
        <item x="342"/>
        <item x="256"/>
        <item x="487"/>
        <item x="270"/>
        <item x="254"/>
        <item x="76"/>
        <item x="174"/>
        <item x="171"/>
        <item x="261"/>
        <item x="313"/>
        <item x="158"/>
        <item x="288"/>
        <item x="140"/>
        <item x="483"/>
        <item x="210"/>
        <item x="387"/>
        <item x="67"/>
        <item x="69"/>
        <item x="478"/>
        <item x="44"/>
        <item x="110"/>
        <item x="440"/>
        <item x="51"/>
        <item x="172"/>
        <item x="479"/>
        <item x="399"/>
        <item x="82"/>
        <item x="152"/>
        <item x="45"/>
        <item x="57"/>
        <item x="106"/>
        <item x="459"/>
        <item x="296"/>
        <item x="464"/>
        <item x="179"/>
        <item x="47"/>
        <item x="355"/>
        <item x="156"/>
        <item x="364"/>
        <item x="457"/>
        <item x="475"/>
        <item x="233"/>
        <item x="203"/>
        <item x="192"/>
        <item x="132"/>
        <item x="425"/>
        <item x="40"/>
        <item x="392"/>
        <item x="169"/>
        <item x="226"/>
        <item x="345"/>
        <item x="5"/>
        <item x="378"/>
        <item x="418"/>
        <item x="353"/>
        <item x="177"/>
        <item x="282"/>
        <item x="94"/>
        <item x="321"/>
        <item x="143"/>
        <item x="271"/>
        <item x="356"/>
        <item x="73"/>
        <item x="50"/>
        <item x="237"/>
        <item x="223"/>
        <item x="421"/>
        <item x="251"/>
        <item x="336"/>
        <item x="187"/>
        <item x="396"/>
        <item x="151"/>
        <item x="194"/>
        <item x="66"/>
        <item x="163"/>
        <item x="155"/>
        <item x="147"/>
        <item x="184"/>
        <item x="12"/>
        <item x="320"/>
        <item x="136"/>
        <item x="340"/>
        <item x="183"/>
        <item x="161"/>
        <item x="350"/>
        <item x="472"/>
        <item x="127"/>
        <item x="9"/>
        <item x="0"/>
        <item x="278"/>
        <item x="176"/>
        <item x="463"/>
        <item x="371"/>
        <item x="24"/>
        <item x="145"/>
        <item x="347"/>
        <item x="101"/>
        <item x="386"/>
        <item x="381"/>
        <item x="15"/>
        <item x="428"/>
        <item x="393"/>
        <item x="153"/>
        <item x="90"/>
        <item x="383"/>
        <item x="168"/>
        <item x="62"/>
        <item x="360"/>
        <item x="366"/>
        <item x="280"/>
        <item x="354"/>
        <item x="231"/>
        <item x="470"/>
        <item x="185"/>
        <item x="318"/>
        <item x="394"/>
        <item x="488"/>
        <item x="25"/>
        <item x="370"/>
        <item x="306"/>
        <item x="389"/>
        <item x="359"/>
        <item x="197"/>
        <item x="188"/>
        <item x="417"/>
        <item x="293"/>
        <item x="326"/>
        <item x="407"/>
        <item x="303"/>
        <item x="85"/>
        <item x="449"/>
        <item x="299"/>
        <item x="434"/>
        <item x="190"/>
        <item x="284"/>
        <item x="96"/>
        <item x="424"/>
        <item x="113"/>
        <item x="397"/>
        <item x="20"/>
        <item x="460"/>
        <item x="395"/>
        <item x="379"/>
        <item x="413"/>
        <item x="461"/>
        <item x="205"/>
        <item x="245"/>
        <item x="64"/>
        <item x="451"/>
        <item x="338"/>
        <item x="435"/>
        <item x="103"/>
        <item x="328"/>
        <item x="33"/>
        <item x="337"/>
        <item x="377"/>
        <item x="466"/>
        <item x="124"/>
        <item x="204"/>
        <item x="332"/>
        <item x="23"/>
        <item x="490"/>
        <item x="3"/>
        <item x="118"/>
        <item x="139"/>
        <item x="375"/>
        <item x="89"/>
        <item x="112"/>
        <item x="268"/>
        <item x="416"/>
        <item x="230"/>
        <item x="471"/>
        <item x="191"/>
        <item x="221"/>
        <item x="217"/>
        <item x="130"/>
        <item x="86"/>
        <item x="348"/>
        <item x="344"/>
        <item x="165"/>
        <item x="68"/>
        <item x="207"/>
        <item x="105"/>
        <item x="289"/>
        <item x="148"/>
        <item x="125"/>
        <item x="255"/>
        <item x="37"/>
        <item x="28"/>
        <item x="312"/>
        <item x="275"/>
        <item x="218"/>
        <item x="327"/>
        <item x="264"/>
        <item x="450"/>
        <item t="default"/>
      </items>
    </pivotField>
    <pivotField showAll="0">
      <items count="101">
        <item x="51"/>
        <item x="91"/>
        <item x="36"/>
        <item x="86"/>
        <item x="28"/>
        <item x="84"/>
        <item x="24"/>
        <item x="10"/>
        <item x="44"/>
        <item x="13"/>
        <item x="48"/>
        <item x="83"/>
        <item x="80"/>
        <item x="96"/>
        <item x="97"/>
        <item x="78"/>
        <item x="26"/>
        <item x="64"/>
        <item x="69"/>
        <item x="21"/>
        <item x="34"/>
        <item x="42"/>
        <item x="61"/>
        <item x="41"/>
        <item x="3"/>
        <item x="40"/>
        <item x="9"/>
        <item x="39"/>
        <item x="94"/>
        <item x="4"/>
        <item x="43"/>
        <item x="8"/>
        <item x="71"/>
        <item x="0"/>
        <item x="95"/>
        <item x="56"/>
        <item x="67"/>
        <item x="5"/>
        <item x="60"/>
        <item x="70"/>
        <item x="89"/>
        <item x="85"/>
        <item x="31"/>
        <item x="75"/>
        <item x="32"/>
        <item x="92"/>
        <item x="99"/>
        <item x="57"/>
        <item x="19"/>
        <item x="23"/>
        <item x="73"/>
        <item x="98"/>
        <item x="17"/>
        <item x="25"/>
        <item x="79"/>
        <item x="12"/>
        <item x="90"/>
        <item x="87"/>
        <item x="16"/>
        <item x="2"/>
        <item x="93"/>
        <item x="6"/>
        <item x="72"/>
        <item x="63"/>
        <item x="35"/>
        <item x="66"/>
        <item x="52"/>
        <item x="77"/>
        <item x="59"/>
        <item x="14"/>
        <item x="45"/>
        <item x="76"/>
        <item x="11"/>
        <item x="47"/>
        <item x="1"/>
        <item x="49"/>
        <item x="68"/>
        <item x="46"/>
        <item x="54"/>
        <item x="33"/>
        <item x="82"/>
        <item x="20"/>
        <item x="55"/>
        <item x="29"/>
        <item x="18"/>
        <item x="7"/>
        <item x="65"/>
        <item x="27"/>
        <item x="50"/>
        <item x="53"/>
        <item x="22"/>
        <item x="81"/>
        <item x="62"/>
        <item x="30"/>
        <item x="38"/>
        <item x="15"/>
        <item x="74"/>
        <item x="58"/>
        <item x="88"/>
        <item x="37"/>
        <item t="default"/>
      </items>
    </pivotField>
    <pivotField showAll="0">
      <items count="6">
        <item x="1"/>
        <item x="4"/>
        <item x="0"/>
        <item x="2"/>
        <item x="3"/>
        <item t="default"/>
      </items>
    </pivotField>
    <pivotField showAll="0"/>
    <pivotField showAll="0"/>
    <pivotField dataField="1" showAll="0"/>
    <pivotField numFmtId="43" showAll="0"/>
    <pivotField showAll="0"/>
    <pivotField showAll="0">
      <items count="3">
        <item x="1"/>
        <item x="0"/>
        <item t="default"/>
      </items>
    </pivotField>
    <pivotField showAll="0">
      <items count="2">
        <item x="0"/>
        <item t="default"/>
      </items>
    </pivotField>
    <pivotField axis="axisRow" showAll="0">
      <items count="6">
        <item x="2"/>
        <item x="3"/>
        <item x="1"/>
        <item x="0"/>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6">
    <i>
      <x/>
    </i>
    <i>
      <x v="1"/>
    </i>
    <i>
      <x v="2"/>
    </i>
    <i>
      <x v="3"/>
    </i>
    <i>
      <x v="4"/>
    </i>
    <i t="grand">
      <x/>
    </i>
  </rowItems>
  <colItems count="1">
    <i/>
  </colItems>
  <dataFields count="1">
    <dataField name="Sum of Discount" fld="9" baseField="0" baseItem="0"/>
  </dataFields>
  <chartFormats count="7">
    <chartFormat chart="4" format="2"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0"/>
          </reference>
        </references>
      </pivotArea>
    </chartFormat>
    <chartFormat chart="20" format="10">
      <pivotArea type="data" outline="0" fieldPosition="0">
        <references count="2">
          <reference field="4294967294" count="1" selected="0">
            <x v="0"/>
          </reference>
          <reference field="14" count="1" selected="0">
            <x v="0"/>
          </reference>
        </references>
      </pivotArea>
    </chartFormat>
    <chartFormat chart="20" format="11">
      <pivotArea type="data" outline="0" fieldPosition="0">
        <references count="2">
          <reference field="4294967294" count="1" selected="0">
            <x v="0"/>
          </reference>
          <reference field="14" count="1" selected="0">
            <x v="1"/>
          </reference>
        </references>
      </pivotArea>
    </chartFormat>
    <chartFormat chart="20" format="12">
      <pivotArea type="data" outline="0" fieldPosition="0">
        <references count="2">
          <reference field="4294967294" count="1" selected="0">
            <x v="0"/>
          </reference>
          <reference field="14" count="1" selected="0">
            <x v="2"/>
          </reference>
        </references>
      </pivotArea>
    </chartFormat>
    <chartFormat chart="20" format="13">
      <pivotArea type="data" outline="0" fieldPosition="0">
        <references count="2">
          <reference field="4294967294" count="1" selected="0">
            <x v="0"/>
          </reference>
          <reference field="14" count="1" selected="0">
            <x v="3"/>
          </reference>
        </references>
      </pivotArea>
    </chartFormat>
    <chartFormat chart="20" format="14">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732477-1173-429A-B74A-02500CA54BB8}" name="PivotTable7"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3:B37" firstHeaderRow="1" firstDataRow="1" firstDataCol="1"/>
  <pivotFields count="8">
    <pivotField showAll="0">
      <items count="493">
        <item x="401"/>
        <item x="59"/>
        <item x="422"/>
        <item x="331"/>
        <item x="402"/>
        <item x="52"/>
        <item x="406"/>
        <item x="74"/>
        <item x="222"/>
        <item x="322"/>
        <item x="430"/>
        <item x="411"/>
        <item x="317"/>
        <item x="100"/>
        <item x="458"/>
        <item x="335"/>
        <item x="405"/>
        <item x="325"/>
        <item x="385"/>
        <item x="119"/>
        <item x="398"/>
        <item x="41"/>
        <item x="455"/>
        <item x="1"/>
        <item x="88"/>
        <item x="212"/>
        <item x="307"/>
        <item x="253"/>
        <item x="249"/>
        <item x="250"/>
        <item x="32"/>
        <item x="238"/>
        <item x="6"/>
        <item x="267"/>
        <item x="365"/>
        <item x="7"/>
        <item x="111"/>
        <item x="236"/>
        <item x="477"/>
        <item x="388"/>
        <item x="91"/>
        <item x="198"/>
        <item x="246"/>
        <item x="274"/>
        <item x="159"/>
        <item x="17"/>
        <item x="368"/>
        <item x="352"/>
        <item x="319"/>
        <item x="38"/>
        <item x="225"/>
        <item x="13"/>
        <item x="224"/>
        <item x="272"/>
        <item x="241"/>
        <item x="215"/>
        <item x="263"/>
        <item x="257"/>
        <item x="61"/>
        <item x="98"/>
        <item x="229"/>
        <item x="446"/>
        <item x="228"/>
        <item x="277"/>
        <item x="95"/>
        <item x="200"/>
        <item x="199"/>
        <item x="341"/>
        <item x="409"/>
        <item x="391"/>
        <item x="357"/>
        <item x="262"/>
        <item x="408"/>
        <item x="473"/>
        <item x="208"/>
        <item x="27"/>
        <item x="287"/>
        <item x="374"/>
        <item x="468"/>
        <item x="311"/>
        <item x="39"/>
        <item x="55"/>
        <item x="480"/>
        <item x="297"/>
        <item x="441"/>
        <item x="482"/>
        <item x="281"/>
        <item x="467"/>
        <item x="109"/>
        <item x="349"/>
        <item x="432"/>
        <item x="216"/>
        <item x="242"/>
        <item x="129"/>
        <item x="142"/>
        <item x="123"/>
        <item x="290"/>
        <item x="283"/>
        <item x="279"/>
        <item x="83"/>
        <item x="265"/>
        <item x="258"/>
        <item x="102"/>
        <item x="115"/>
        <item x="220"/>
        <item x="403"/>
        <item x="173"/>
        <item x="120"/>
        <item x="195"/>
        <item x="133"/>
        <item x="474"/>
        <item x="34"/>
        <item x="42"/>
        <item x="108"/>
        <item x="2"/>
        <item x="410"/>
        <item x="452"/>
        <item x="400"/>
        <item x="75"/>
        <item x="304"/>
        <item x="244"/>
        <item x="149"/>
        <item x="363"/>
        <item x="65"/>
        <item x="436"/>
        <item x="291"/>
        <item x="48"/>
        <item x="53"/>
        <item x="252"/>
        <item x="232"/>
        <item x="11"/>
        <item x="43"/>
        <item x="180"/>
        <item x="134"/>
        <item x="235"/>
        <item x="372"/>
        <item x="384"/>
        <item x="404"/>
        <item x="373"/>
        <item x="107"/>
        <item x="330"/>
        <item x="214"/>
        <item x="92"/>
        <item x="209"/>
        <item x="211"/>
        <item x="144"/>
        <item x="117"/>
        <item x="181"/>
        <item x="126"/>
        <item x="362"/>
        <item x="429"/>
        <item x="301"/>
        <item x="146"/>
        <item x="58"/>
        <item x="186"/>
        <item x="56"/>
        <item x="476"/>
        <item x="486"/>
        <item x="16"/>
        <item x="324"/>
        <item x="170"/>
        <item x="240"/>
        <item x="150"/>
        <item x="35"/>
        <item x="19"/>
        <item x="202"/>
        <item x="22"/>
        <item x="114"/>
        <item x="8"/>
        <item x="369"/>
        <item x="196"/>
        <item x="97"/>
        <item x="260"/>
        <item x="206"/>
        <item x="239"/>
        <item x="71"/>
        <item x="343"/>
        <item x="213"/>
        <item x="269"/>
        <item x="339"/>
        <item x="54"/>
        <item x="361"/>
        <item x="31"/>
        <item x="412"/>
        <item x="419"/>
        <item x="447"/>
        <item x="87"/>
        <item x="193"/>
        <item x="309"/>
        <item x="439"/>
        <item x="93"/>
        <item x="285"/>
        <item x="448"/>
        <item x="294"/>
        <item x="154"/>
        <item x="390"/>
        <item x="29"/>
        <item x="189"/>
        <item x="295"/>
        <item x="4"/>
        <item x="166"/>
        <item x="310"/>
        <item x="276"/>
        <item x="302"/>
        <item x="453"/>
        <item x="298"/>
        <item x="465"/>
        <item x="358"/>
        <item x="376"/>
        <item x="116"/>
        <item x="273"/>
        <item x="227"/>
        <item x="14"/>
        <item x="79"/>
        <item x="444"/>
        <item x="63"/>
        <item x="442"/>
        <item x="437"/>
        <item x="30"/>
        <item x="300"/>
        <item x="121"/>
        <item x="423"/>
        <item x="292"/>
        <item x="415"/>
        <item x="456"/>
        <item x="351"/>
        <item x="484"/>
        <item x="426"/>
        <item x="131"/>
        <item x="247"/>
        <item x="329"/>
        <item x="84"/>
        <item x="77"/>
        <item x="334"/>
        <item x="201"/>
        <item x="333"/>
        <item x="443"/>
        <item x="433"/>
        <item x="81"/>
        <item x="10"/>
        <item x="122"/>
        <item x="135"/>
        <item x="26"/>
        <item x="175"/>
        <item x="78"/>
        <item x="128"/>
        <item x="414"/>
        <item x="431"/>
        <item x="157"/>
        <item x="49"/>
        <item x="104"/>
        <item x="234"/>
        <item x="316"/>
        <item x="18"/>
        <item x="164"/>
        <item x="469"/>
        <item x="21"/>
        <item x="308"/>
        <item x="160"/>
        <item x="80"/>
        <item x="72"/>
        <item x="178"/>
        <item x="427"/>
        <item x="162"/>
        <item x="141"/>
        <item x="266"/>
        <item x="489"/>
        <item x="346"/>
        <item x="367"/>
        <item x="314"/>
        <item x="445"/>
        <item x="167"/>
        <item x="182"/>
        <item x="286"/>
        <item x="60"/>
        <item x="382"/>
        <item x="99"/>
        <item x="248"/>
        <item x="243"/>
        <item x="438"/>
        <item x="420"/>
        <item x="323"/>
        <item x="219"/>
        <item x="315"/>
        <item x="70"/>
        <item x="46"/>
        <item x="380"/>
        <item x="481"/>
        <item x="485"/>
        <item x="259"/>
        <item x="462"/>
        <item x="36"/>
        <item x="491"/>
        <item x="138"/>
        <item x="454"/>
        <item x="305"/>
        <item x="137"/>
        <item x="342"/>
        <item x="256"/>
        <item x="487"/>
        <item x="270"/>
        <item x="254"/>
        <item x="76"/>
        <item x="174"/>
        <item x="171"/>
        <item x="261"/>
        <item x="313"/>
        <item x="158"/>
        <item x="288"/>
        <item x="140"/>
        <item x="483"/>
        <item x="210"/>
        <item x="387"/>
        <item x="67"/>
        <item x="69"/>
        <item x="478"/>
        <item x="44"/>
        <item x="110"/>
        <item x="440"/>
        <item x="51"/>
        <item x="172"/>
        <item x="479"/>
        <item x="399"/>
        <item x="82"/>
        <item x="152"/>
        <item x="45"/>
        <item x="57"/>
        <item x="106"/>
        <item x="459"/>
        <item x="296"/>
        <item x="464"/>
        <item x="179"/>
        <item x="47"/>
        <item x="355"/>
        <item x="156"/>
        <item x="364"/>
        <item x="457"/>
        <item x="475"/>
        <item x="233"/>
        <item x="203"/>
        <item x="192"/>
        <item x="132"/>
        <item x="425"/>
        <item x="40"/>
        <item x="392"/>
        <item x="169"/>
        <item x="226"/>
        <item x="345"/>
        <item x="5"/>
        <item x="378"/>
        <item x="418"/>
        <item x="353"/>
        <item x="177"/>
        <item x="282"/>
        <item x="94"/>
        <item x="321"/>
        <item x="143"/>
        <item x="271"/>
        <item x="356"/>
        <item x="73"/>
        <item x="50"/>
        <item x="237"/>
        <item x="223"/>
        <item x="421"/>
        <item x="251"/>
        <item x="336"/>
        <item x="187"/>
        <item x="396"/>
        <item x="151"/>
        <item x="194"/>
        <item x="66"/>
        <item x="163"/>
        <item x="155"/>
        <item x="147"/>
        <item x="184"/>
        <item x="12"/>
        <item x="320"/>
        <item x="136"/>
        <item x="340"/>
        <item x="183"/>
        <item x="161"/>
        <item x="350"/>
        <item x="472"/>
        <item x="127"/>
        <item x="9"/>
        <item x="0"/>
        <item x="278"/>
        <item x="176"/>
        <item x="463"/>
        <item x="371"/>
        <item x="24"/>
        <item x="145"/>
        <item x="347"/>
        <item x="101"/>
        <item x="386"/>
        <item x="381"/>
        <item x="15"/>
        <item x="428"/>
        <item x="393"/>
        <item x="153"/>
        <item x="90"/>
        <item x="383"/>
        <item x="168"/>
        <item x="62"/>
        <item x="360"/>
        <item x="366"/>
        <item x="280"/>
        <item x="354"/>
        <item x="231"/>
        <item x="470"/>
        <item x="185"/>
        <item x="318"/>
        <item x="394"/>
        <item x="488"/>
        <item x="25"/>
        <item x="370"/>
        <item x="306"/>
        <item x="389"/>
        <item x="359"/>
        <item x="197"/>
        <item x="188"/>
        <item x="417"/>
        <item x="293"/>
        <item x="326"/>
        <item x="407"/>
        <item x="303"/>
        <item x="85"/>
        <item x="449"/>
        <item x="299"/>
        <item x="434"/>
        <item x="190"/>
        <item x="284"/>
        <item x="96"/>
        <item x="424"/>
        <item x="113"/>
        <item x="397"/>
        <item x="20"/>
        <item x="460"/>
        <item x="395"/>
        <item x="379"/>
        <item x="413"/>
        <item x="461"/>
        <item x="205"/>
        <item x="245"/>
        <item x="64"/>
        <item x="451"/>
        <item x="338"/>
        <item x="435"/>
        <item x="103"/>
        <item x="328"/>
        <item x="33"/>
        <item x="337"/>
        <item x="377"/>
        <item x="466"/>
        <item x="124"/>
        <item x="204"/>
        <item x="332"/>
        <item x="23"/>
        <item x="490"/>
        <item x="3"/>
        <item x="118"/>
        <item x="139"/>
        <item x="375"/>
        <item x="89"/>
        <item x="112"/>
        <item x="268"/>
        <item x="416"/>
        <item x="230"/>
        <item x="471"/>
        <item x="191"/>
        <item x="221"/>
        <item x="217"/>
        <item x="130"/>
        <item x="86"/>
        <item x="348"/>
        <item x="344"/>
        <item x="165"/>
        <item x="68"/>
        <item x="207"/>
        <item x="105"/>
        <item x="289"/>
        <item x="148"/>
        <item x="125"/>
        <item x="255"/>
        <item x="37"/>
        <item x="28"/>
        <item x="312"/>
        <item x="275"/>
        <item x="218"/>
        <item x="327"/>
        <item x="264"/>
        <item x="450"/>
        <item t="default"/>
      </items>
    </pivotField>
    <pivotField showAll="0"/>
    <pivotField showAll="0"/>
    <pivotField showAll="0"/>
    <pivotField showAll="0"/>
    <pivotField showAll="0"/>
    <pivotField dataField="1" numFmtId="43" showAll="0"/>
    <pivotField axis="axisRow" showAll="0">
      <items count="4">
        <item x="1"/>
        <item x="0"/>
        <item x="2"/>
        <item t="default"/>
      </items>
    </pivotField>
  </pivotFields>
  <rowFields count="1">
    <field x="7"/>
  </rowFields>
  <rowItems count="4">
    <i>
      <x/>
    </i>
    <i>
      <x v="1"/>
    </i>
    <i>
      <x v="2"/>
    </i>
    <i t="grand">
      <x/>
    </i>
  </rowItems>
  <colItems count="1">
    <i/>
  </colItems>
  <dataFields count="1">
    <dataField name="Sum of Total_Amount" fld="6" baseField="0"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54D000-BFF7-4C83-9E2F-22AAED1D6DBD}" name="PivotTable6"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B30" firstHeaderRow="1" firstDataRow="1" firstDataCol="1"/>
  <pivotFields count="3">
    <pivotField showAll="0">
      <items count="101">
        <item x="50"/>
        <item x="91"/>
        <item x="35"/>
        <item x="86"/>
        <item x="27"/>
        <item x="84"/>
        <item x="23"/>
        <item x="9"/>
        <item x="43"/>
        <item x="12"/>
        <item x="47"/>
        <item x="83"/>
        <item x="80"/>
        <item x="96"/>
        <item x="97"/>
        <item x="78"/>
        <item x="25"/>
        <item x="64"/>
        <item x="69"/>
        <item x="20"/>
        <item x="33"/>
        <item x="41"/>
        <item x="61"/>
        <item x="40"/>
        <item x="2"/>
        <item x="39"/>
        <item x="8"/>
        <item x="38"/>
        <item x="94"/>
        <item x="3"/>
        <item x="42"/>
        <item x="7"/>
        <item x="71"/>
        <item x="60"/>
        <item x="95"/>
        <item x="55"/>
        <item x="67"/>
        <item x="4"/>
        <item x="59"/>
        <item x="70"/>
        <item x="89"/>
        <item x="85"/>
        <item x="30"/>
        <item x="75"/>
        <item x="31"/>
        <item x="92"/>
        <item x="99"/>
        <item x="56"/>
        <item x="18"/>
        <item x="22"/>
        <item x="73"/>
        <item x="98"/>
        <item x="16"/>
        <item x="24"/>
        <item x="79"/>
        <item x="11"/>
        <item x="90"/>
        <item x="87"/>
        <item x="15"/>
        <item x="1"/>
        <item x="93"/>
        <item x="5"/>
        <item x="72"/>
        <item x="63"/>
        <item x="34"/>
        <item x="66"/>
        <item x="51"/>
        <item x="77"/>
        <item x="58"/>
        <item x="13"/>
        <item x="44"/>
        <item x="76"/>
        <item x="10"/>
        <item x="46"/>
        <item x="0"/>
        <item x="48"/>
        <item x="68"/>
        <item x="45"/>
        <item x="53"/>
        <item x="32"/>
        <item x="82"/>
        <item x="19"/>
        <item x="54"/>
        <item x="28"/>
        <item x="17"/>
        <item x="6"/>
        <item x="65"/>
        <item x="26"/>
        <item x="49"/>
        <item x="52"/>
        <item x="21"/>
        <item x="81"/>
        <item x="62"/>
        <item x="29"/>
        <item x="37"/>
        <item x="14"/>
        <item x="74"/>
        <item x="57"/>
        <item x="88"/>
        <item x="36"/>
        <item t="default"/>
      </items>
    </pivotField>
    <pivotField axis="axisRow" showAll="0">
      <items count="6">
        <item x="0"/>
        <item x="3"/>
        <item x="4"/>
        <item x="1"/>
        <item x="2"/>
        <item t="default"/>
      </items>
    </pivotField>
    <pivotField dataField="1" showAll="0">
      <items count="10">
        <item x="0"/>
        <item x="1"/>
        <item x="5"/>
        <item x="4"/>
        <item x="7"/>
        <item x="8"/>
        <item x="3"/>
        <item x="6"/>
        <item x="2"/>
        <item t="default"/>
      </items>
    </pivotField>
  </pivotFields>
  <rowFields count="1">
    <field x="1"/>
  </rowFields>
  <rowItems count="6">
    <i>
      <x/>
    </i>
    <i>
      <x v="1"/>
    </i>
    <i>
      <x v="2"/>
    </i>
    <i>
      <x v="3"/>
    </i>
    <i>
      <x v="4"/>
    </i>
    <i t="grand">
      <x/>
    </i>
  </rowItems>
  <colItems count="1">
    <i/>
  </colItems>
  <dataFields count="1">
    <dataField name="Sum of 1" fld="2" baseField="0" baseItem="0"/>
  </dataFields>
  <formats count="3">
    <format dxfId="73">
      <pivotArea collapsedLevelsAreSubtotals="1" fieldPosition="0">
        <references count="1">
          <reference field="1" count="1">
            <x v="1"/>
          </reference>
        </references>
      </pivotArea>
    </format>
    <format dxfId="72">
      <pivotArea collapsedLevelsAreSubtotals="1" fieldPosition="0">
        <references count="1">
          <reference field="1" count="1">
            <x v="3"/>
          </reference>
        </references>
      </pivotArea>
    </format>
    <format dxfId="71">
      <pivotArea grandRow="1"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3270A5-84A4-4554-853A-6F47D8384914}" name="PivotTable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22" firstHeaderRow="1" firstDataRow="1" firstDataCol="1"/>
  <pivotFields count="11">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showAll="0">
      <items count="1978">
        <item x="655"/>
        <item x="1492"/>
        <item x="789"/>
        <item x="401"/>
        <item x="1244"/>
        <item x="768"/>
        <item x="1870"/>
        <item x="1646"/>
        <item x="360"/>
        <item x="328"/>
        <item x="1334"/>
        <item x="380"/>
        <item x="51"/>
        <item x="726"/>
        <item x="1925"/>
        <item x="1742"/>
        <item x="982"/>
        <item x="311"/>
        <item x="1874"/>
        <item x="250"/>
        <item x="689"/>
        <item x="570"/>
        <item x="1452"/>
        <item x="272"/>
        <item x="977"/>
        <item x="1415"/>
        <item x="1451"/>
        <item x="1160"/>
        <item x="1288"/>
        <item x="1681"/>
        <item x="1285"/>
        <item x="615"/>
        <item x="1514"/>
        <item x="1006"/>
        <item x="610"/>
        <item x="1316"/>
        <item x="1921"/>
        <item x="1442"/>
        <item x="1297"/>
        <item x="1501"/>
        <item x="1321"/>
        <item x="1192"/>
        <item x="729"/>
        <item x="1363"/>
        <item x="1136"/>
        <item x="1265"/>
        <item x="1664"/>
        <item x="995"/>
        <item x="644"/>
        <item x="1724"/>
        <item x="632"/>
        <item x="1420"/>
        <item x="207"/>
        <item x="1787"/>
        <item x="963"/>
        <item x="282"/>
        <item x="491"/>
        <item x="1190"/>
        <item x="109"/>
        <item x="1563"/>
        <item x="1494"/>
        <item x="1866"/>
        <item x="1109"/>
        <item x="1557"/>
        <item x="1402"/>
        <item x="285"/>
        <item x="1085"/>
        <item x="1138"/>
        <item x="752"/>
        <item x="1144"/>
        <item x="294"/>
        <item x="64"/>
        <item x="257"/>
        <item x="1895"/>
        <item x="174"/>
        <item x="603"/>
        <item x="1102"/>
        <item x="1425"/>
        <item x="1593"/>
        <item x="246"/>
        <item x="472"/>
        <item x="949"/>
        <item x="74"/>
        <item x="1944"/>
        <item x="795"/>
        <item x="1210"/>
        <item x="445"/>
        <item x="670"/>
        <item x="83"/>
        <item x="265"/>
        <item x="1784"/>
        <item x="1660"/>
        <item x="1904"/>
        <item x="374"/>
        <item x="1658"/>
        <item x="1050"/>
        <item x="1140"/>
        <item x="33"/>
        <item x="223"/>
        <item x="1384"/>
        <item x="733"/>
        <item x="1196"/>
        <item x="1254"/>
        <item x="193"/>
        <item x="738"/>
        <item x="1572"/>
        <item x="327"/>
        <item x="1020"/>
        <item x="1168"/>
        <item x="687"/>
        <item x="310"/>
        <item x="1133"/>
        <item x="744"/>
        <item x="1024"/>
        <item x="1729"/>
        <item x="1615"/>
        <item x="1689"/>
        <item x="1953"/>
        <item x="1835"/>
        <item x="648"/>
        <item x="1702"/>
        <item x="105"/>
        <item x="329"/>
        <item x="1509"/>
        <item x="1374"/>
        <item x="1939"/>
        <item x="1934"/>
        <item x="1307"/>
        <item x="1516"/>
        <item x="1001"/>
        <item x="97"/>
        <item x="1018"/>
        <item x="1950"/>
        <item x="258"/>
        <item x="1429"/>
        <item x="1207"/>
        <item x="1623"/>
        <item x="113"/>
        <item x="580"/>
        <item x="1808"/>
        <item x="1878"/>
        <item x="1513"/>
        <item x="42"/>
        <item x="516"/>
        <item x="75"/>
        <item x="1385"/>
        <item x="394"/>
        <item x="1257"/>
        <item x="1473"/>
        <item x="1698"/>
        <item x="983"/>
        <item x="407"/>
        <item x="1030"/>
        <item x="1840"/>
        <item x="1258"/>
        <item x="1087"/>
        <item x="382"/>
        <item x="1758"/>
        <item x="379"/>
        <item x="1035"/>
        <item x="654"/>
        <item x="274"/>
        <item x="1562"/>
        <item x="782"/>
        <item x="99"/>
        <item x="916"/>
        <item x="142"/>
        <item x="1148"/>
        <item x="934"/>
        <item x="1062"/>
        <item x="1853"/>
        <item x="1448"/>
        <item x="1017"/>
        <item x="517"/>
        <item x="1381"/>
        <item x="1763"/>
        <item x="1061"/>
        <item x="1536"/>
        <item x="1946"/>
        <item x="688"/>
        <item x="631"/>
        <item x="1479"/>
        <item x="604"/>
        <item x="1134"/>
        <item x="1268"/>
        <item x="1915"/>
        <item x="1663"/>
        <item x="1238"/>
        <item x="1213"/>
        <item x="1821"/>
        <item x="1163"/>
        <item x="1350"/>
        <item x="1968"/>
        <item x="523"/>
        <item x="787"/>
        <item x="1918"/>
        <item x="1651"/>
        <item x="235"/>
        <item x="167"/>
        <item x="1121"/>
        <item x="1123"/>
        <item x="188"/>
        <item x="302"/>
        <item x="1829"/>
        <item x="94"/>
        <item x="1523"/>
        <item x="451"/>
        <item x="1240"/>
        <item x="664"/>
        <item x="82"/>
        <item x="461"/>
        <item x="861"/>
        <item x="844"/>
        <item x="173"/>
        <item x="1105"/>
        <item x="1379"/>
        <item x="767"/>
        <item x="677"/>
        <item x="1966"/>
        <item x="206"/>
        <item x="764"/>
        <item x="181"/>
        <item x="1613"/>
        <item x="1751"/>
        <item x="1344"/>
        <item x="1605"/>
        <item x="867"/>
        <item x="183"/>
        <item x="281"/>
        <item x="50"/>
        <item x="1736"/>
        <item x="1435"/>
        <item x="699"/>
        <item x="1542"/>
        <item x="1106"/>
        <item x="707"/>
        <item x="295"/>
        <item x="128"/>
        <item x="177"/>
        <item x="477"/>
        <item x="347"/>
        <item x="1193"/>
        <item x="1216"/>
        <item x="162"/>
        <item x="1431"/>
        <item x="1769"/>
        <item x="1810"/>
        <item x="1256"/>
        <item x="734"/>
        <item x="1865"/>
        <item x="1855"/>
        <item x="1625"/>
        <item x="333"/>
        <item x="1323"/>
        <item x="20"/>
        <item x="1701"/>
        <item x="900"/>
        <item x="1391"/>
        <item x="213"/>
        <item x="259"/>
        <item x="620"/>
        <item x="0"/>
        <item x="713"/>
        <item x="565"/>
        <item x="1031"/>
        <item x="1815"/>
        <item x="1665"/>
        <item x="52"/>
        <item x="417"/>
        <item x="170"/>
        <item x="1438"/>
        <item x="1110"/>
        <item x="293"/>
        <item x="1777"/>
        <item x="1076"/>
        <item x="1583"/>
        <item x="1933"/>
        <item x="1175"/>
        <item x="1644"/>
        <item x="1776"/>
        <item x="556"/>
        <item x="1395"/>
        <item x="1424"/>
        <item x="1883"/>
        <item x="1112"/>
        <item x="122"/>
        <item x="40"/>
        <item x="31"/>
        <item x="1141"/>
        <item x="18"/>
        <item x="1755"/>
        <item x="1580"/>
        <item x="947"/>
        <item x="692"/>
        <item x="504"/>
        <item x="1647"/>
        <item x="1744"/>
        <item x="1262"/>
        <item x="448"/>
        <item x="1898"/>
        <item x="419"/>
        <item x="1661"/>
        <item x="301"/>
        <item x="842"/>
        <item x="306"/>
        <item x="139"/>
        <item x="1916"/>
        <item x="248"/>
        <item x="1619"/>
        <item x="160"/>
        <item x="1682"/>
        <item x="1471"/>
        <item x="6"/>
        <item x="614"/>
        <item x="1976"/>
        <item x="1304"/>
        <item x="1461"/>
        <item x="1060"/>
        <item x="942"/>
        <item x="509"/>
        <item x="138"/>
        <item x="647"/>
        <item x="1491"/>
        <item x="390"/>
        <item x="1275"/>
        <item x="1251"/>
        <item x="1064"/>
        <item x="1028"/>
        <item x="57"/>
        <item x="1558"/>
        <item x="1692"/>
        <item x="992"/>
        <item x="1607"/>
        <item x="366"/>
        <item x="115"/>
        <item x="1177"/>
        <item x="880"/>
        <item x="800"/>
        <item x="317"/>
        <item x="1264"/>
        <item x="697"/>
        <item x="510"/>
        <item x="1782"/>
        <item x="1683"/>
        <item x="1564"/>
        <item x="101"/>
        <item x="662"/>
        <item x="1113"/>
        <item x="53"/>
        <item x="1482"/>
        <item x="928"/>
        <item x="1938"/>
        <item x="1659"/>
        <item x="540"/>
        <item x="1928"/>
        <item x="1599"/>
        <item x="920"/>
        <item x="1214"/>
        <item x="187"/>
        <item x="1868"/>
        <item x="1611"/>
        <item x="1708"/>
        <item x="975"/>
        <item x="813"/>
        <item x="211"/>
        <item x="745"/>
        <item x="1390"/>
        <item x="39"/>
        <item x="935"/>
        <item x="291"/>
        <item x="358"/>
        <item x="1964"/>
        <item x="1727"/>
        <item x="1806"/>
        <item x="165"/>
        <item x="1164"/>
        <item x="905"/>
        <item x="114"/>
        <item x="671"/>
        <item x="364"/>
        <item x="626"/>
        <item x="937"/>
        <item x="493"/>
        <item x="1903"/>
        <item x="410"/>
        <item x="361"/>
        <item x="557"/>
        <item x="216"/>
        <item x="145"/>
        <item x="1973"/>
        <item x="1366"/>
        <item x="1223"/>
        <item x="1308"/>
        <item x="641"/>
        <item x="960"/>
        <item x="318"/>
        <item x="1780"/>
        <item x="1856"/>
        <item x="1505"/>
        <item x="840"/>
        <item x="131"/>
        <item x="266"/>
        <item x="522"/>
        <item x="1004"/>
        <item x="30"/>
        <item x="1624"/>
        <item x="1364"/>
        <item x="200"/>
        <item x="912"/>
        <item x="962"/>
        <item x="1546"/>
        <item x="1335"/>
        <item x="1137"/>
        <item x="406"/>
        <item x="886"/>
        <item x="1119"/>
        <item x="690"/>
        <item x="1122"/>
        <item x="694"/>
        <item x="1739"/>
        <item x="1756"/>
        <item x="708"/>
        <item x="76"/>
        <item x="893"/>
        <item x="78"/>
        <item x="1419"/>
        <item x="1058"/>
        <item x="1920"/>
        <item x="372"/>
        <item x="457"/>
        <item x="956"/>
        <item x="1194"/>
        <item x="1778"/>
        <item x="619"/>
        <item x="1773"/>
        <item x="978"/>
        <item x="698"/>
        <item x="1672"/>
        <item x="951"/>
        <item x="1805"/>
        <item x="370"/>
        <item x="278"/>
        <item x="1604"/>
        <item x="1296"/>
        <item x="530"/>
        <item x="1816"/>
        <item x="1066"/>
        <item x="371"/>
        <item x="642"/>
        <item x="1038"/>
        <item x="859"/>
        <item x="12"/>
        <item x="1649"/>
        <item x="552"/>
        <item x="1266"/>
        <item x="1084"/>
        <item x="1227"/>
        <item x="1596"/>
        <item x="49"/>
        <item x="1290"/>
        <item x="1278"/>
        <item x="634"/>
        <item x="675"/>
        <item x="314"/>
        <item x="1261"/>
        <item x="228"/>
        <item x="1318"/>
        <item x="1042"/>
        <item x="199"/>
        <item x="1550"/>
        <item x="716"/>
        <item x="1153"/>
        <item x="1640"/>
        <item x="473"/>
        <item x="1212"/>
        <item x="595"/>
        <item x="1962"/>
        <item x="924"/>
        <item x="334"/>
        <item x="1232"/>
        <item x="1929"/>
        <item x="1722"/>
        <item x="1329"/>
        <item x="1083"/>
        <item x="958"/>
        <item x="714"/>
        <item x="1610"/>
        <item x="1309"/>
        <item x="1552"/>
        <item x="1743"/>
        <item x="762"/>
        <item x="1717"/>
        <item x="90"/>
        <item x="362"/>
        <item x="973"/>
        <item x="1427"/>
        <item x="519"/>
        <item x="1170"/>
        <item x="1759"/>
        <item x="1975"/>
        <item x="1165"/>
        <item x="848"/>
        <item x="1327"/>
        <item x="326"/>
        <item x="653"/>
        <item x="1272"/>
        <item x="776"/>
        <item x="1843"/>
        <item x="1803"/>
        <item x="1704"/>
        <item x="1437"/>
        <item x="313"/>
        <item x="799"/>
        <item x="1396"/>
        <item x="904"/>
        <item x="13"/>
        <item x="1434"/>
        <item x="1389"/>
        <item x="1768"/>
        <item x="587"/>
        <item x="308"/>
        <item x="754"/>
        <item x="1116"/>
        <item x="673"/>
        <item x="1161"/>
        <item x="1"/>
        <item x="696"/>
        <item x="205"/>
        <item x="1734"/>
        <item x="1480"/>
        <item x="100"/>
        <item x="1626"/>
        <item x="1215"/>
        <item x="749"/>
        <item x="1695"/>
        <item x="1532"/>
        <item x="1675"/>
        <item x="1125"/>
        <item x="125"/>
        <item x="611"/>
        <item x="1839"/>
        <item x="875"/>
        <item x="1879"/>
        <item x="86"/>
        <item x="526"/>
        <item x="639"/>
        <item x="168"/>
        <item x="547"/>
        <item x="458"/>
        <item x="224"/>
        <item x="1080"/>
        <item x="666"/>
        <item x="325"/>
        <item x="811"/>
        <item x="1005"/>
        <item x="772"/>
        <item x="1200"/>
        <item x="182"/>
        <item x="393"/>
        <item x="1079"/>
        <item x="73"/>
        <item x="389"/>
        <item x="284"/>
        <item x="60"/>
        <item x="61"/>
        <item x="453"/>
        <item x="436"/>
        <item x="434"/>
        <item x="1414"/>
        <item x="462"/>
        <item x="455"/>
        <item x="857"/>
        <item x="1678"/>
        <item x="777"/>
        <item x="1590"/>
        <item x="1247"/>
        <item x="1860"/>
        <item x="1711"/>
        <item x="563"/>
        <item x="739"/>
        <item x="1912"/>
        <item x="663"/>
        <item x="788"/>
        <item x="578"/>
        <item x="1974"/>
        <item x="1893"/>
        <item x="1154"/>
        <item x="876"/>
        <item x="1477"/>
        <item x="437"/>
        <item x="26"/>
        <item x="158"/>
        <item x="299"/>
        <item x="321"/>
        <item x="134"/>
        <item x="1666"/>
        <item x="1404"/>
        <item x="1099"/>
        <item x="1377"/>
        <item x="1584"/>
        <item x="66"/>
        <item x="575"/>
        <item x="1842"/>
        <item x="1881"/>
        <item x="1796"/>
        <item x="760"/>
        <item x="91"/>
        <item x="520"/>
        <item x="1077"/>
        <item x="399"/>
        <item x="1380"/>
        <item x="1191"/>
        <item x="636"/>
        <item x="991"/>
        <item x="885"/>
        <item x="1075"/>
        <item x="1495"/>
        <item x="954"/>
        <item x="494"/>
        <item x="396"/>
        <item x="144"/>
        <item x="1343"/>
        <item x="120"/>
        <item x="1496"/>
        <item x="1173"/>
        <item x="1000"/>
        <item x="542"/>
        <item x="1854"/>
        <item x="1786"/>
        <item x="1882"/>
        <item x="262"/>
        <item x="1733"/>
        <item x="602"/>
        <item x="1594"/>
        <item x="1499"/>
        <item x="1202"/>
        <item x="1032"/>
        <item x="1328"/>
        <item x="10"/>
        <item x="1340"/>
        <item x="1687"/>
        <item x="890"/>
        <item x="14"/>
        <item x="1319"/>
        <item x="1906"/>
        <item x="1800"/>
        <item x="1097"/>
        <item x="998"/>
        <item x="972"/>
        <item x="877"/>
        <item x="681"/>
        <item x="919"/>
        <item x="124"/>
        <item x="102"/>
        <item x="1373"/>
        <item x="1616"/>
        <item x="502"/>
        <item x="1057"/>
        <item x="447"/>
        <item x="743"/>
        <item x="1185"/>
        <item x="961"/>
        <item x="136"/>
        <item x="1503"/>
        <item x="1007"/>
        <item x="1535"/>
        <item x="1693"/>
        <item x="55"/>
        <item x="482"/>
        <item x="241"/>
        <item x="724"/>
        <item x="1362"/>
        <item x="898"/>
        <item x="1289"/>
        <item x="651"/>
        <item x="1789"/>
        <item x="1630"/>
        <item x="822"/>
        <item x="784"/>
        <item x="1955"/>
        <item x="1587"/>
        <item x="837"/>
        <item x="667"/>
        <item x="1621"/>
        <item x="1728"/>
        <item x="81"/>
        <item x="271"/>
        <item x="763"/>
        <item x="1527"/>
        <item x="1555"/>
        <item x="1181"/>
        <item x="1515"/>
        <item x="769"/>
        <item x="1376"/>
        <item x="869"/>
        <item x="1135"/>
        <item x="1255"/>
        <item x="1669"/>
        <item x="84"/>
        <item x="874"/>
        <item x="913"/>
        <item x="1741"/>
        <item x="1685"/>
        <item x="1176"/>
        <item x="1284"/>
        <item x="212"/>
        <item x="1271"/>
        <item x="433"/>
        <item x="723"/>
        <item x="771"/>
        <item x="737"/>
        <item x="715"/>
        <item x="1044"/>
        <item x="1949"/>
        <item x="270"/>
        <item x="1750"/>
        <item x="1277"/>
        <item x="483"/>
        <item x="1568"/>
        <item x="931"/>
        <item x="137"/>
        <item x="1638"/>
        <item x="866"/>
        <item x="1108"/>
        <item x="1432"/>
        <item x="831"/>
        <item x="834"/>
        <item x="561"/>
        <item x="238"/>
        <item x="1201"/>
        <item x="153"/>
        <item x="425"/>
        <item x="1520"/>
        <item x="1406"/>
        <item x="990"/>
        <item x="103"/>
        <item x="1486"/>
        <item x="1142"/>
        <item x="1230"/>
        <item x="661"/>
        <item x="780"/>
        <item x="375"/>
        <item x="683"/>
        <item x="1353"/>
        <item x="1120"/>
        <item x="1510"/>
        <item x="1735"/>
        <item x="601"/>
        <item x="1533"/>
        <item x="92"/>
        <item x="659"/>
        <item x="249"/>
        <item x="141"/>
        <item x="798"/>
        <item x="527"/>
        <item x="945"/>
        <item x="1576"/>
        <item x="498"/>
        <item x="1189"/>
        <item x="500"/>
        <item x="846"/>
        <item x="1924"/>
        <item x="1913"/>
        <item x="774"/>
        <item x="176"/>
        <item x="1186"/>
        <item x="331"/>
        <item x="1760"/>
        <item x="387"/>
        <item x="1674"/>
        <item x="203"/>
        <item x="204"/>
        <item x="357"/>
        <item x="1352"/>
        <item x="300"/>
        <item x="1169"/>
        <item x="819"/>
        <item x="129"/>
        <item x="28"/>
        <item x="839"/>
        <item x="941"/>
        <item x="830"/>
        <item x="1174"/>
        <item x="1740"/>
        <item x="1317"/>
        <item x="1896"/>
        <item x="633"/>
        <item x="140"/>
        <item x="567"/>
        <item x="773"/>
        <item x="214"/>
        <item x="377"/>
        <item x="1481"/>
        <item x="1115"/>
        <item x="1971"/>
        <item x="1346"/>
        <item x="201"/>
        <item x="955"/>
        <item x="1837"/>
        <item x="976"/>
        <item x="446"/>
        <item x="1838"/>
        <item x="1891"/>
        <item x="1483"/>
        <item x="267"/>
        <item x="123"/>
        <item x="1478"/>
        <item x="1634"/>
        <item x="1025"/>
        <item x="560"/>
        <item x="922"/>
        <item x="384"/>
        <item x="1117"/>
        <item x="1831"/>
        <item x="728"/>
        <item x="1825"/>
        <item x="1943"/>
        <item x="1104"/>
        <item x="159"/>
        <item x="280"/>
        <item x="1956"/>
        <item x="1454"/>
        <item x="515"/>
        <item x="46"/>
        <item x="1573"/>
        <item x="1349"/>
        <item x="1553"/>
        <item x="1235"/>
        <item x="564"/>
        <item x="503"/>
        <item x="1126"/>
        <item x="1054"/>
        <item x="786"/>
        <item x="322"/>
        <item x="646"/>
        <item x="1746"/>
        <item x="464"/>
        <item x="551"/>
        <item x="1368"/>
        <item x="1127"/>
        <item x="656"/>
        <item x="3"/>
        <item x="439"/>
        <item x="888"/>
        <item x="816"/>
        <item x="1637"/>
        <item x="378"/>
        <item x="1098"/>
        <item x="1208"/>
        <item x="573"/>
        <item x="531"/>
        <item x="732"/>
        <item x="234"/>
        <item x="1718"/>
        <item x="1071"/>
        <item x="1014"/>
        <item x="1771"/>
        <item x="591"/>
        <item x="1015"/>
        <item x="164"/>
        <item x="324"/>
        <item x="1341"/>
        <item x="946"/>
        <item x="450"/>
        <item x="1236"/>
        <item x="1909"/>
        <item x="660"/>
        <item x="525"/>
        <item x="1051"/>
        <item x="748"/>
        <item x="1046"/>
        <item x="209"/>
        <item x="1394"/>
        <item x="8"/>
        <item x="1779"/>
        <item x="232"/>
        <item x="194"/>
        <item x="1632"/>
        <item x="1745"/>
        <item x="155"/>
        <item x="852"/>
        <item x="1199"/>
        <item x="7"/>
        <item x="373"/>
        <item x="1008"/>
        <item x="1970"/>
        <item x="524"/>
        <item x="1375"/>
        <item x="1023"/>
        <item x="397"/>
        <item x="443"/>
        <item x="594"/>
        <item x="790"/>
        <item x="1639"/>
        <item x="1732"/>
        <item x="1047"/>
        <item x="21"/>
        <item x="1716"/>
        <item x="178"/>
        <item x="1325"/>
        <item x="1311"/>
        <item x="925"/>
        <item x="44"/>
        <item x="1045"/>
        <item x="630"/>
        <item x="1545"/>
        <item x="98"/>
        <item x="62"/>
        <item x="1417"/>
        <item x="1530"/>
        <item x="1541"/>
        <item x="225"/>
        <item x="1574"/>
        <item x="1226"/>
        <item x="1802"/>
        <item x="1365"/>
        <item x="1691"/>
        <item x="1063"/>
        <item x="1295"/>
        <item x="233"/>
        <item x="835"/>
        <item x="1752"/>
        <item x="865"/>
        <item x="1575"/>
        <item x="423"/>
        <item x="1774"/>
        <item x="107"/>
        <item x="65"/>
        <item x="119"/>
        <item x="350"/>
        <item x="1945"/>
        <item x="1859"/>
        <item x="1697"/>
        <item x="1522"/>
        <item x="1336"/>
        <item x="1292"/>
        <item x="1462"/>
        <item x="1326"/>
        <item x="1157"/>
        <item x="1172"/>
        <item x="751"/>
        <item x="353"/>
        <item x="705"/>
        <item x="908"/>
        <item x="1662"/>
        <item x="1932"/>
        <item x="1260"/>
        <item x="850"/>
        <item x="1633"/>
        <item x="1386"/>
        <item x="895"/>
        <item x="41"/>
        <item x="1052"/>
        <item x="686"/>
        <item x="1525"/>
        <item x="1457"/>
        <item x="1086"/>
        <item x="824"/>
        <item x="148"/>
        <item x="1851"/>
        <item x="1450"/>
        <item x="966"/>
        <item x="1694"/>
        <item x="755"/>
        <item x="616"/>
        <item x="747"/>
        <item x="1540"/>
        <item x="1156"/>
        <item x="330"/>
        <item x="1403"/>
        <item x="1828"/>
        <item x="679"/>
        <item x="413"/>
        <item x="993"/>
        <item x="1686"/>
        <item x="220"/>
        <item x="1534"/>
        <item x="899"/>
        <item x="702"/>
        <item x="853"/>
        <item x="1569"/>
        <item x="1819"/>
        <item x="873"/>
        <item x="766"/>
        <item x="414"/>
        <item x="544"/>
        <item x="1298"/>
        <item x="38"/>
        <item x="858"/>
        <item x="627"/>
        <item x="1642"/>
        <item x="1713"/>
        <item x="202"/>
        <item x="1280"/>
        <item x="1413"/>
        <item x="720"/>
        <item x="1749"/>
        <item x="629"/>
        <item x="1392"/>
        <item x="337"/>
        <item x="532"/>
        <item x="535"/>
        <item x="1021"/>
        <item x="933"/>
        <item x="497"/>
        <item x="1003"/>
        <item x="1279"/>
        <item x="1299"/>
        <item x="797"/>
        <item x="481"/>
        <item x="1049"/>
        <item x="87"/>
        <item x="1754"/>
        <item x="1767"/>
        <item x="1700"/>
        <item x="1725"/>
        <item x="710"/>
        <item x="810"/>
        <item x="1753"/>
        <item x="1797"/>
        <item x="1645"/>
        <item x="355"/>
        <item x="471"/>
        <item x="829"/>
        <item x="907"/>
        <item x="1889"/>
        <item x="1485"/>
        <item x="315"/>
        <item x="643"/>
        <item x="1229"/>
        <item x="1310"/>
        <item x="678"/>
        <item x="718"/>
        <item x="1428"/>
        <item x="1056"/>
        <item x="872"/>
        <item x="1836"/>
        <item x="495"/>
        <item x="624"/>
        <item x="1608"/>
        <item x="1890"/>
        <item x="1301"/>
        <item x="1617"/>
        <item x="971"/>
        <item x="1612"/>
        <item x="1339"/>
        <item x="1762"/>
        <item x="1636"/>
        <item x="1162"/>
        <item x="1128"/>
        <item x="1493"/>
        <item x="63"/>
        <item x="1775"/>
        <item x="894"/>
        <item x="980"/>
        <item x="251"/>
        <item x="1864"/>
        <item x="1220"/>
        <item x="1699"/>
        <item x="851"/>
        <item x="1489"/>
        <item x="499"/>
        <item x="1345"/>
        <item x="316"/>
        <item x="215"/>
        <item x="288"/>
        <item x="984"/>
        <item x="719"/>
        <item x="1407"/>
        <item x="1707"/>
        <item x="229"/>
        <item x="323"/>
        <item x="422"/>
        <item x="761"/>
        <item x="1886"/>
        <item x="668"/>
        <item x="1484"/>
        <item x="485"/>
        <item x="682"/>
        <item x="1224"/>
        <item x="1830"/>
        <item x="1785"/>
        <item x="354"/>
        <item x="1281"/>
        <item x="505"/>
        <item x="1676"/>
        <item x="605"/>
        <item x="507"/>
        <item x="1833"/>
        <item x="901"/>
        <item x="195"/>
        <item x="1799"/>
        <item x="803"/>
        <item x="58"/>
        <item x="1598"/>
        <item x="1629"/>
        <item x="979"/>
        <item x="599"/>
        <item x="825"/>
        <item x="1234"/>
        <item x="550"/>
        <item x="1506"/>
        <item x="1504"/>
        <item x="1961"/>
        <item x="817"/>
        <item x="823"/>
        <item x="1313"/>
        <item x="617"/>
        <item x="1804"/>
        <item x="1947"/>
        <item x="69"/>
        <item x="1303"/>
        <item x="833"/>
        <item x="408"/>
        <item x="1709"/>
        <item x="1737"/>
        <item x="1078"/>
        <item x="277"/>
        <item x="1312"/>
        <item x="847"/>
        <item x="391"/>
        <item x="1249"/>
        <item x="1103"/>
        <item x="1322"/>
        <item x="11"/>
        <item x="1488"/>
        <item x="383"/>
        <item x="586"/>
        <item x="607"/>
        <item x="292"/>
        <item x="944"/>
        <item x="15"/>
        <item x="1013"/>
        <item x="1498"/>
        <item x="307"/>
        <item x="411"/>
        <item x="1273"/>
        <item x="1072"/>
        <item x="727"/>
        <item x="339"/>
        <item x="1178"/>
        <item x="1600"/>
        <item x="628"/>
        <item x="1475"/>
        <item x="116"/>
        <item x="1421"/>
        <item x="1472"/>
        <item x="16"/>
        <item x="1917"/>
        <item x="711"/>
        <item x="236"/>
        <item x="1618"/>
        <item x="1603"/>
        <item x="1556"/>
        <item x="1150"/>
        <item x="1942"/>
        <item x="1358"/>
        <item x="957"/>
        <item x="680"/>
        <item x="1398"/>
        <item x="240"/>
        <item x="1009"/>
        <item x="1107"/>
        <item x="746"/>
        <item x="1270"/>
        <item x="1679"/>
        <item x="950"/>
        <item x="409"/>
        <item x="613"/>
        <item x="1688"/>
        <item x="1673"/>
        <item x="1302"/>
        <item x="1813"/>
        <item x="32"/>
        <item x="1276"/>
        <item x="95"/>
        <item x="1885"/>
        <item x="638"/>
        <item x="264"/>
        <item x="1149"/>
        <item x="625"/>
        <item x="1657"/>
        <item x="801"/>
        <item x="929"/>
        <item x="1502"/>
        <item x="208"/>
        <item x="17"/>
        <item x="108"/>
        <item x="244"/>
        <item x="706"/>
        <item x="838"/>
        <item x="1832"/>
        <item x="1571"/>
        <item x="987"/>
        <item x="441"/>
        <item x="1684"/>
        <item x="1781"/>
        <item x="778"/>
        <item x="442"/>
        <item x="400"/>
        <item x="1643"/>
        <item x="1074"/>
        <item x="1294"/>
        <item x="506"/>
        <item x="1847"/>
        <item x="1043"/>
        <item x="392"/>
        <item x="914"/>
        <item x="1834"/>
        <item x="1039"/>
        <item x="881"/>
        <item x="891"/>
        <item x="1794"/>
        <item x="953"/>
        <item x="1129"/>
        <item x="1960"/>
        <item x="775"/>
        <item x="511"/>
        <item x="1508"/>
        <item x="791"/>
        <item x="117"/>
        <item x="1597"/>
        <item x="1547"/>
        <item x="1560"/>
        <item x="559"/>
        <item x="1648"/>
        <item x="1511"/>
        <item x="917"/>
        <item x="1091"/>
        <item x="665"/>
        <item x="1019"/>
        <item x="1894"/>
        <item x="1577"/>
        <item x="845"/>
        <item x="967"/>
        <item x="501"/>
        <item x="156"/>
        <item x="1935"/>
        <item x="1680"/>
        <item x="887"/>
        <item x="1549"/>
        <item x="1930"/>
        <item x="287"/>
        <item x="896"/>
        <item x="1439"/>
        <item x="19"/>
        <item x="150"/>
        <item x="988"/>
        <item x="695"/>
        <item x="172"/>
        <item x="731"/>
        <item x="1526"/>
        <item x="1219"/>
        <item x="1460"/>
        <item x="868"/>
        <item x="1360"/>
        <item x="368"/>
        <item x="343"/>
        <item x="1468"/>
        <item x="1089"/>
        <item x="1578"/>
        <item x="1845"/>
        <item x="528"/>
        <item x="1474"/>
        <item x="305"/>
        <item x="1469"/>
        <item x="843"/>
        <item x="832"/>
        <item x="1412"/>
        <item x="513"/>
        <item x="80"/>
        <item x="589"/>
        <item x="546"/>
        <item x="1798"/>
        <item x="1147"/>
        <item x="792"/>
        <item x="1723"/>
        <item x="1096"/>
        <item x="1875"/>
        <item x="1907"/>
        <item x="1027"/>
        <item x="252"/>
        <item x="381"/>
        <item x="878"/>
        <item x="96"/>
        <item x="45"/>
        <item x="936"/>
        <item x="1130"/>
        <item x="1111"/>
        <item x="1440"/>
        <item x="1880"/>
        <item x="290"/>
        <item x="487"/>
        <item x="1118"/>
        <item x="814"/>
        <item x="1620"/>
        <item x="1846"/>
        <item x="1449"/>
        <item x="807"/>
        <item x="1948"/>
        <item x="691"/>
        <item x="149"/>
        <item x="974"/>
        <item x="1197"/>
        <item x="1132"/>
        <item x="996"/>
        <item x="590"/>
        <item x="1002"/>
        <item x="704"/>
        <item x="827"/>
        <item x="191"/>
        <item x="1372"/>
        <item x="70"/>
        <item x="518"/>
        <item x="1602"/>
        <item x="171"/>
        <item x="475"/>
        <item x="986"/>
        <item x="1497"/>
        <item x="1544"/>
        <item x="1631"/>
        <item x="279"/>
        <item x="111"/>
        <item x="608"/>
        <item x="1791"/>
        <item x="1397"/>
        <item x="430"/>
        <item x="88"/>
        <item x="921"/>
        <item x="1826"/>
        <item x="1926"/>
        <item x="1065"/>
        <item x="910"/>
        <item x="106"/>
        <item x="268"/>
        <item x="431"/>
        <item x="253"/>
        <item x="2"/>
        <item x="332"/>
        <item x="1731"/>
        <item x="721"/>
        <item x="1941"/>
        <item x="110"/>
        <item x="1518"/>
        <item x="806"/>
        <item x="649"/>
        <item x="1243"/>
        <item x="104"/>
        <item x="242"/>
        <item x="1507"/>
        <item x="1444"/>
        <item x="79"/>
        <item x="192"/>
        <item x="1206"/>
        <item x="997"/>
        <item x="1418"/>
        <item x="1287"/>
        <item x="820"/>
        <item x="1458"/>
        <item x="693"/>
        <item x="189"/>
        <item x="470"/>
        <item x="1293"/>
        <item x="185"/>
        <item x="1441"/>
        <item x="89"/>
        <item x="466"/>
        <item x="758"/>
        <item x="1963"/>
        <item x="1811"/>
        <item x="1772"/>
        <item x="909"/>
        <item x="35"/>
        <item x="970"/>
        <item x="1539"/>
        <item x="1490"/>
        <item x="1446"/>
        <item x="781"/>
        <item x="341"/>
        <item x="239"/>
        <item x="418"/>
        <item x="312"/>
        <item x="969"/>
        <item x="1143"/>
        <item x="1467"/>
        <item x="452"/>
        <item x="1263"/>
        <item x="179"/>
        <item x="860"/>
        <item x="1809"/>
        <item x="903"/>
        <item x="1447"/>
        <item x="1033"/>
        <item x="319"/>
        <item x="56"/>
        <item x="512"/>
        <item x="1850"/>
        <item x="770"/>
        <item x="1159"/>
        <item x="635"/>
        <item x="1476"/>
        <item x="1252"/>
        <item x="927"/>
        <item x="1902"/>
        <item x="1048"/>
        <item x="1559"/>
        <item x="533"/>
        <item x="1291"/>
        <item x="1465"/>
        <item x="1581"/>
        <item x="1766"/>
        <item x="68"/>
        <item x="637"/>
        <item x="640"/>
        <item x="404"/>
        <item x="151"/>
        <item x="1306"/>
        <item x="388"/>
        <item x="593"/>
        <item x="1180"/>
        <item x="1696"/>
        <item x="1952"/>
        <item x="1361"/>
        <item x="296"/>
        <item x="1958"/>
        <item x="981"/>
        <item x="1356"/>
        <item x="1817"/>
        <item x="1139"/>
        <item x="1282"/>
        <item x="1812"/>
        <item x="1748"/>
        <item x="1770"/>
        <item x="1464"/>
        <item x="427"/>
        <item x="275"/>
        <item x="1824"/>
        <item x="1286"/>
        <item x="1668"/>
        <item x="808"/>
        <item x="529"/>
        <item x="490"/>
        <item x="369"/>
        <item x="932"/>
        <item x="841"/>
        <item x="1158"/>
        <item x="163"/>
        <item x="582"/>
        <item x="1567"/>
        <item x="428"/>
        <item x="1237"/>
        <item x="23"/>
        <item x="676"/>
        <item x="1719"/>
        <item x="1221"/>
        <item x="652"/>
        <item x="1738"/>
        <item x="826"/>
        <item x="1512"/>
        <item x="1487"/>
        <item x="597"/>
        <item x="29"/>
        <item x="1570"/>
        <item x="398"/>
        <item x="1726"/>
        <item x="541"/>
        <item x="1641"/>
        <item x="940"/>
        <item x="276"/>
        <item x="802"/>
        <item x="217"/>
        <item x="1283"/>
        <item x="554"/>
        <item x="1969"/>
        <item x="1445"/>
        <item x="1543"/>
        <item x="190"/>
        <item x="804"/>
        <item x="1410"/>
        <item x="1245"/>
        <item x="765"/>
        <item x="722"/>
        <item x="426"/>
        <item x="1671"/>
        <item x="836"/>
        <item x="1793"/>
        <item x="592"/>
        <item x="989"/>
        <item x="1591"/>
        <item x="1908"/>
        <item x="994"/>
        <item x="1869"/>
        <item x="562"/>
        <item x="424"/>
        <item x="579"/>
        <item x="184"/>
        <item x="571"/>
        <item x="985"/>
        <item x="828"/>
        <item x="1367"/>
        <item x="77"/>
        <item x="1635"/>
        <item x="923"/>
        <item x="254"/>
        <item x="1585"/>
        <item x="1565"/>
        <item x="1919"/>
        <item x="127"/>
        <item x="1589"/>
        <item x="1422"/>
        <item x="700"/>
        <item x="1370"/>
        <item x="1892"/>
        <item x="309"/>
        <item x="1521"/>
        <item x="618"/>
        <item x="1225"/>
        <item x="1333"/>
        <item x="1795"/>
        <item x="403"/>
        <item x="1927"/>
        <item x="198"/>
        <item x="1026"/>
        <item x="1466"/>
        <item x="902"/>
        <item x="71"/>
        <item x="256"/>
        <item x="340"/>
        <item x="796"/>
        <item x="1714"/>
        <item x="1433"/>
        <item x="4"/>
        <item x="1818"/>
        <item x="1656"/>
        <item x="210"/>
        <item x="1371"/>
        <item x="456"/>
        <item x="1195"/>
        <item x="812"/>
        <item x="67"/>
        <item x="794"/>
        <item x="415"/>
        <item x="1151"/>
        <item x="756"/>
        <item x="1730"/>
        <item x="166"/>
        <item x="1426"/>
        <item x="489"/>
        <item x="1872"/>
        <item x="1500"/>
        <item x="1183"/>
        <item x="709"/>
        <item x="1354"/>
        <item x="1029"/>
        <item x="1182"/>
        <item x="5"/>
        <item x="1931"/>
        <item x="703"/>
        <item x="161"/>
        <item x="467"/>
        <item x="1300"/>
        <item x="1090"/>
        <item x="230"/>
        <item x="684"/>
        <item x="1204"/>
        <item x="1852"/>
        <item x="169"/>
        <item x="1093"/>
        <item x="1378"/>
        <item x="133"/>
        <item x="915"/>
        <item x="351"/>
        <item x="1016"/>
        <item x="1357"/>
        <item x="805"/>
        <item x="1528"/>
        <item x="818"/>
        <item x="1239"/>
        <item x="261"/>
        <item x="1114"/>
        <item x="237"/>
        <item x="463"/>
        <item x="1940"/>
        <item x="1022"/>
        <item x="1152"/>
        <item x="1405"/>
        <item x="1849"/>
        <item x="863"/>
        <item x="1967"/>
        <item x="1233"/>
        <item x="480"/>
        <item x="1862"/>
        <item x="1524"/>
        <item x="449"/>
        <item x="1145"/>
        <item x="465"/>
        <item x="948"/>
        <item x="548"/>
        <item x="1369"/>
        <item x="856"/>
        <item x="1436"/>
        <item x="1094"/>
        <item x="558"/>
        <item x="553"/>
        <item x="1246"/>
        <item x="1205"/>
        <item x="1393"/>
        <item x="539"/>
        <item x="1592"/>
        <item x="809"/>
        <item x="1187"/>
        <item x="219"/>
        <item x="1416"/>
        <item x="1146"/>
        <item x="959"/>
        <item x="1184"/>
        <item x="1595"/>
        <item x="1250"/>
        <item x="48"/>
        <item x="1053"/>
        <item x="1792"/>
        <item x="298"/>
        <item x="269"/>
        <item x="459"/>
        <item x="154"/>
        <item x="1203"/>
        <item x="454"/>
        <item x="488"/>
        <item x="1055"/>
        <item x="468"/>
        <item x="585"/>
        <item x="598"/>
        <item x="1582"/>
        <item x="1443"/>
        <item x="855"/>
        <item x="1124"/>
        <item x="1867"/>
        <item x="701"/>
        <item x="1721"/>
        <item x="132"/>
        <item x="622"/>
        <item x="538"/>
        <item x="348"/>
        <item x="862"/>
        <item x="1218"/>
        <item x="889"/>
        <item x="1519"/>
        <item x="864"/>
        <item x="815"/>
        <item x="135"/>
        <item x="1936"/>
        <item x="152"/>
        <item x="1712"/>
        <item x="221"/>
        <item x="1198"/>
        <item x="85"/>
        <item x="1342"/>
        <item x="1554"/>
        <item x="365"/>
        <item x="1355"/>
        <item x="943"/>
        <item x="1757"/>
        <item x="34"/>
        <item x="420"/>
        <item x="952"/>
        <item x="1388"/>
        <item x="1841"/>
        <item x="821"/>
        <item x="1705"/>
        <item x="1965"/>
        <item x="121"/>
        <item x="1253"/>
        <item x="757"/>
        <item x="1337"/>
        <item x="435"/>
        <item x="1764"/>
        <item x="1338"/>
        <item x="1957"/>
        <item x="871"/>
        <item x="1614"/>
        <item x="779"/>
        <item x="596"/>
        <item x="286"/>
        <item x="1305"/>
        <item x="870"/>
        <item x="793"/>
        <item x="555"/>
        <item x="175"/>
        <item x="1790"/>
        <item x="1844"/>
        <item x="72"/>
        <item x="588"/>
        <item x="1703"/>
        <item x="965"/>
        <item x="685"/>
        <item x="785"/>
        <item x="883"/>
        <item x="1059"/>
        <item x="568"/>
        <item x="1655"/>
        <item x="612"/>
        <item x="735"/>
        <item x="363"/>
        <item x="335"/>
        <item x="359"/>
        <item x="297"/>
        <item x="1314"/>
        <item x="367"/>
        <item x="882"/>
        <item x="196"/>
        <item x="1034"/>
        <item x="1529"/>
        <item x="537"/>
        <item x="759"/>
        <item x="600"/>
        <item x="1348"/>
        <item x="1606"/>
        <item x="906"/>
        <item x="260"/>
        <item x="1863"/>
        <item x="349"/>
        <item x="1095"/>
        <item x="1814"/>
        <item x="1857"/>
        <item x="879"/>
        <item x="1088"/>
        <item x="22"/>
        <item x="1070"/>
        <item x="157"/>
        <item x="1092"/>
        <item x="492"/>
        <item x="566"/>
        <item x="320"/>
        <item x="1517"/>
        <item x="1801"/>
        <item x="130"/>
        <item x="938"/>
        <item x="968"/>
        <item x="1650"/>
        <item x="1209"/>
        <item x="572"/>
        <item x="36"/>
        <item x="352"/>
        <item x="1537"/>
        <item x="283"/>
        <item x="574"/>
        <item x="1652"/>
        <item x="741"/>
        <item x="1899"/>
        <item x="1551"/>
        <item x="1041"/>
        <item x="645"/>
        <item x="1822"/>
        <item x="1561"/>
        <item x="576"/>
        <item x="1677"/>
        <item x="1101"/>
        <item x="1400"/>
        <item x="273"/>
        <item x="27"/>
        <item x="147"/>
        <item x="1073"/>
        <item x="918"/>
        <item x="669"/>
        <item x="1068"/>
        <item x="416"/>
        <item x="342"/>
        <item x="623"/>
        <item x="1100"/>
        <item x="1871"/>
        <item x="143"/>
        <item x="892"/>
        <item x="854"/>
        <item x="1332"/>
        <item x="1670"/>
        <item x="346"/>
        <item x="1901"/>
        <item x="753"/>
        <item x="1242"/>
        <item x="469"/>
        <item x="1455"/>
        <item x="226"/>
        <item x="674"/>
        <item x="1274"/>
        <item x="1783"/>
        <item x="1873"/>
        <item x="1259"/>
        <item x="1463"/>
        <item x="1222"/>
        <item x="1470"/>
        <item x="255"/>
        <item x="742"/>
        <item x="386"/>
        <item x="543"/>
        <item x="1876"/>
        <item x="545"/>
        <item x="37"/>
        <item x="24"/>
        <item x="1765"/>
        <item x="1900"/>
        <item x="736"/>
        <item x="1167"/>
        <item x="1067"/>
        <item x="247"/>
        <item x="1382"/>
        <item x="1211"/>
        <item x="47"/>
        <item x="658"/>
        <item x="245"/>
        <item x="1411"/>
        <item x="1320"/>
        <item x="1827"/>
        <item x="1040"/>
        <item x="1905"/>
        <item x="1710"/>
        <item x="939"/>
        <item x="1887"/>
        <item x="1911"/>
        <item x="9"/>
        <item x="1715"/>
        <item x="303"/>
        <item x="750"/>
        <item x="222"/>
        <item x="1399"/>
        <item x="1627"/>
        <item x="740"/>
        <item x="717"/>
        <item x="1861"/>
        <item x="43"/>
        <item x="1267"/>
        <item x="146"/>
        <item x="1788"/>
        <item x="534"/>
        <item x="1081"/>
        <item x="1807"/>
        <item x="1538"/>
        <item x="1820"/>
        <item x="344"/>
        <item x="1401"/>
        <item x="496"/>
        <item x="54"/>
        <item x="549"/>
        <item x="1959"/>
        <item x="59"/>
        <item x="474"/>
        <item x="926"/>
        <item x="1954"/>
        <item x="1747"/>
        <item x="884"/>
        <item x="1359"/>
        <item x="1228"/>
        <item x="429"/>
        <item x="1231"/>
        <item x="1622"/>
        <item x="712"/>
        <item x="345"/>
        <item x="376"/>
        <item x="231"/>
        <item x="1761"/>
        <item x="118"/>
        <item x="783"/>
        <item x="1248"/>
        <item x="1548"/>
        <item x="476"/>
        <item x="1269"/>
        <item x="1858"/>
        <item x="1423"/>
        <item x="1888"/>
        <item x="1877"/>
        <item x="1456"/>
        <item x="336"/>
        <item x="508"/>
        <item x="1654"/>
        <item x="1036"/>
        <item x="197"/>
        <item x="536"/>
        <item x="1653"/>
        <item x="730"/>
        <item x="412"/>
        <item x="1217"/>
        <item x="657"/>
        <item x="486"/>
        <item x="1601"/>
        <item x="1010"/>
        <item x="521"/>
        <item x="999"/>
        <item x="180"/>
        <item x="405"/>
        <item x="1706"/>
        <item x="1897"/>
        <item x="1566"/>
        <item x="218"/>
        <item x="584"/>
        <item x="1720"/>
        <item x="1588"/>
        <item x="478"/>
        <item x="402"/>
        <item x="1823"/>
        <item x="25"/>
        <item x="1383"/>
        <item x="1155"/>
        <item x="1012"/>
        <item x="484"/>
        <item x="338"/>
        <item x="1387"/>
        <item x="186"/>
        <item x="1937"/>
        <item x="444"/>
        <item x="421"/>
        <item x="1453"/>
        <item x="1131"/>
        <item x="849"/>
        <item x="621"/>
        <item x="569"/>
        <item x="581"/>
        <item x="1972"/>
        <item x="93"/>
        <item x="1951"/>
        <item x="650"/>
        <item x="672"/>
        <item x="1914"/>
        <item x="1179"/>
        <item x="289"/>
        <item x="1011"/>
        <item x="432"/>
        <item x="1324"/>
        <item x="1667"/>
        <item x="964"/>
        <item x="479"/>
        <item x="227"/>
        <item x="583"/>
        <item x="1459"/>
        <item x="243"/>
        <item x="438"/>
        <item x="1037"/>
        <item x="911"/>
        <item x="1069"/>
        <item x="897"/>
        <item x="1408"/>
        <item x="1347"/>
        <item x="385"/>
        <item x="440"/>
        <item x="1331"/>
        <item x="606"/>
        <item x="725"/>
        <item x="1609"/>
        <item x="1690"/>
        <item x="930"/>
        <item x="460"/>
        <item x="1923"/>
        <item x="1351"/>
        <item x="1171"/>
        <item x="1166"/>
        <item x="1531"/>
        <item x="577"/>
        <item x="514"/>
        <item x="1586"/>
        <item x="1884"/>
        <item x="1430"/>
        <item x="126"/>
        <item x="1241"/>
        <item x="609"/>
        <item x="1848"/>
        <item x="304"/>
        <item x="1409"/>
        <item x="263"/>
        <item x="1315"/>
        <item x="356"/>
        <item x="395"/>
        <item x="112"/>
        <item x="1330"/>
        <item x="1082"/>
        <item x="1910"/>
        <item x="1579"/>
        <item x="1628"/>
        <item x="1922"/>
        <item x="1188"/>
        <item t="default"/>
      </items>
    </pivotField>
    <pivotField showAll="0"/>
    <pivotField dataField="1" showAll="0">
      <items count="1995">
        <item x="1753"/>
        <item x="987"/>
        <item x="402"/>
        <item x="1342"/>
        <item x="250"/>
        <item x="572"/>
        <item x="1324"/>
        <item x="1293"/>
        <item x="1459"/>
        <item x="612"/>
        <item x="1423"/>
        <item x="1428"/>
        <item x="772"/>
        <item x="1500"/>
        <item x="1937"/>
        <item x="646"/>
        <item x="1800"/>
        <item x="729"/>
        <item x="1450"/>
        <item x="1142"/>
        <item x="732"/>
        <item x="328"/>
        <item x="1888"/>
        <item x="1565"/>
        <item x="692"/>
        <item x="285"/>
        <item x="1941"/>
        <item x="447"/>
        <item x="690"/>
        <item x="1669"/>
        <item x="1030"/>
        <item x="1252"/>
        <item x="1571"/>
        <item x="64"/>
        <item x="1262"/>
        <item x="1460"/>
        <item x="265"/>
        <item x="1601"/>
        <item x="1655"/>
        <item x="617"/>
        <item x="1433"/>
        <item x="381"/>
        <item x="375"/>
        <item x="33"/>
        <item x="1797"/>
        <item x="1969"/>
        <item x="1883"/>
        <item x="657"/>
        <item x="75"/>
        <item x="793"/>
        <item x="1200"/>
        <item x="1026"/>
        <item x="1273"/>
        <item x="51"/>
        <item x="1215"/>
        <item x="1437"/>
        <item x="1848"/>
        <item x="1524"/>
        <item x="1265"/>
        <item x="1509"/>
        <item x="1821"/>
        <item x="1950"/>
        <item x="1517"/>
        <item x="1329"/>
        <item x="582"/>
        <item x="1456"/>
        <item x="1966"/>
        <item x="1853"/>
        <item x="311"/>
        <item x="786"/>
        <item x="361"/>
        <item x="97"/>
        <item x="1358"/>
        <item x="1000"/>
        <item x="1674"/>
        <item x="1129"/>
        <item x="173"/>
        <item x="383"/>
        <item x="1660"/>
        <item x="207"/>
        <item x="634"/>
        <item x="1115"/>
        <item x="294"/>
        <item x="183"/>
        <item x="1982"/>
        <item x="1621"/>
        <item x="1056"/>
        <item x="633"/>
        <item x="1150"/>
        <item x="1296"/>
        <item x="109"/>
        <item x="716"/>
        <item x="1264"/>
        <item x="167"/>
        <item x="1167"/>
        <item x="1522"/>
        <item x="257"/>
        <item x="128"/>
        <item x="1410"/>
        <item x="1037"/>
        <item x="1613"/>
        <item x="1591"/>
        <item x="1700"/>
        <item x="94"/>
        <item x="193"/>
        <item x="52"/>
        <item x="1910"/>
        <item x="188"/>
        <item x="306"/>
        <item x="679"/>
        <item x="20"/>
        <item x="295"/>
        <item x="1667"/>
        <item x="181"/>
        <item x="1305"/>
        <item x="282"/>
        <item x="1204"/>
        <item x="506"/>
        <item x="672"/>
        <item x="1024"/>
        <item x="1371"/>
        <item x="1352"/>
        <item x="1469"/>
        <item x="479"/>
        <item x="649"/>
        <item x="450"/>
        <item x="1082"/>
        <item x="1633"/>
        <item x="272"/>
        <item x="1012"/>
        <item x="1218"/>
        <item x="710"/>
        <item x="0"/>
        <item x="1919"/>
        <item x="1175"/>
        <item x="1312"/>
        <item x="333"/>
        <item x="982"/>
        <item x="622"/>
        <item x="954"/>
        <item x="170"/>
        <item x="329"/>
        <item x="1692"/>
        <item x="493"/>
        <item x="83"/>
        <item x="997"/>
        <item x="1735"/>
        <item x="1781"/>
        <item x="1954"/>
        <item x="737"/>
        <item x="1222"/>
        <item x="1259"/>
        <item x="301"/>
        <item x="1266"/>
        <item x="310"/>
        <item x="1315"/>
        <item x="511"/>
        <item x="362"/>
        <item x="1755"/>
        <item x="1788"/>
        <item x="317"/>
        <item x="695"/>
        <item x="1006"/>
        <item x="1738"/>
        <item x="115"/>
        <item x="223"/>
        <item x="693"/>
        <item x="1093"/>
        <item x="518"/>
        <item x="1693"/>
        <item x="968"/>
        <item x="1393"/>
        <item x="138"/>
        <item x="1066"/>
        <item x="145"/>
        <item x="1795"/>
        <item x="1502"/>
        <item x="216"/>
        <item x="1198"/>
        <item x="1740"/>
        <item x="1146"/>
        <item x="967"/>
        <item x="1144"/>
        <item x="756"/>
        <item x="474"/>
        <item x="673"/>
        <item x="291"/>
        <item x="800"/>
        <item x="597"/>
        <item x="891"/>
        <item x="211"/>
        <item x="605"/>
        <item x="1879"/>
        <item x="74"/>
        <item x="656"/>
        <item x="1089"/>
        <item x="921"/>
        <item x="1960"/>
        <item x="804"/>
        <item x="956"/>
        <item x="1955"/>
        <item x="1246"/>
        <item x="105"/>
        <item x="1382"/>
        <item x="849"/>
        <item x="1091"/>
        <item x="1140"/>
        <item x="1558"/>
        <item x="1936"/>
        <item x="1866"/>
        <item x="898"/>
        <item x="1372"/>
        <item x="12"/>
        <item x="1792"/>
        <item x="1248"/>
        <item x="1387"/>
        <item x="1750"/>
        <item x="1392"/>
        <item x="1747"/>
        <item x="1604"/>
        <item x="1962"/>
        <item x="246"/>
        <item x="736"/>
        <item x="174"/>
        <item x="1785"/>
        <item x="1612"/>
        <item x="407"/>
        <item x="1933"/>
        <item x="78"/>
        <item x="1399"/>
        <item x="1789"/>
        <item x="1631"/>
        <item x="443"/>
        <item x="1623"/>
        <item x="1202"/>
        <item x="1139"/>
        <item x="1713"/>
        <item x="1125"/>
        <item x="961"/>
        <item x="182"/>
        <item x="1108"/>
        <item x="1090"/>
        <item x="983"/>
        <item x="1580"/>
        <item x="82"/>
        <item x="558"/>
        <item x="205"/>
        <item x="60"/>
        <item x="939"/>
        <item x="463"/>
        <item x="1649"/>
        <item x="199"/>
        <item x="768"/>
        <item x="1544"/>
        <item x="1280"/>
        <item x="142"/>
        <item x="453"/>
        <item x="73"/>
        <item x="1443"/>
        <item x="853"/>
        <item x="1653"/>
        <item x="1067"/>
        <item x="259"/>
        <item x="1"/>
        <item x="528"/>
        <item x="988"/>
        <item x="293"/>
        <item x="1487"/>
        <item x="321"/>
        <item x="1990"/>
        <item x="1504"/>
        <item x="1048"/>
        <item x="10"/>
        <item x="1007"/>
        <item x="1709"/>
        <item x="262"/>
        <item x="1770"/>
        <item x="655"/>
        <item x="1892"/>
        <item x="1588"/>
        <item x="1118"/>
        <item x="1842"/>
        <item x="1712"/>
        <item x="589"/>
        <item x="966"/>
        <item x="650"/>
        <item x="235"/>
        <item x="691"/>
        <item x="66"/>
        <item x="1673"/>
        <item x="1445"/>
        <item x="1949"/>
        <item x="866"/>
        <item x="122"/>
        <item x="1208"/>
        <item x="1598"/>
        <item x="816"/>
        <item x="1984"/>
        <item x="258"/>
        <item x="327"/>
        <item x="1224"/>
        <item x="1285"/>
        <item x="1154"/>
        <item x="1671"/>
        <item x="1971"/>
        <item x="741"/>
        <item x="882"/>
        <item x="1170"/>
        <item x="144"/>
        <item x="1255"/>
        <item x="1521"/>
        <item x="206"/>
        <item x="1896"/>
        <item x="771"/>
        <item x="1931"/>
        <item x="1083"/>
        <item x="1070"/>
        <item x="40"/>
        <item x="1897"/>
        <item x="418"/>
        <item x="1181"/>
        <item x="952"/>
        <item x="748"/>
        <item x="380"/>
        <item x="281"/>
        <item x="1081"/>
        <item x="1855"/>
        <item x="1834"/>
        <item x="1210"/>
        <item x="683"/>
        <item x="455"/>
        <item x="495"/>
        <item x="1489"/>
        <item x="120"/>
        <item x="1201"/>
        <item x="1023"/>
        <item x="502"/>
        <item x="1680"/>
        <item x="318"/>
        <item x="905"/>
        <item x="1930"/>
        <item x="910"/>
        <item x="562"/>
        <item x="1775"/>
        <item x="42"/>
        <item x="299"/>
        <item x="1068"/>
        <item x="1272"/>
        <item x="1828"/>
        <item x="1685"/>
        <item x="542"/>
        <item x="522"/>
        <item x="936"/>
        <item x="686"/>
        <item x="1462"/>
        <item x="1696"/>
        <item x="411"/>
        <item x="1531"/>
        <item x="1566"/>
        <item x="1244"/>
        <item x="824"/>
        <item x="131"/>
        <item x="1185"/>
        <item x="784"/>
        <item x="177"/>
        <item x="773"/>
        <item x="1992"/>
        <item x="1020"/>
        <item x="213"/>
        <item x="559"/>
        <item x="1384"/>
        <item x="113"/>
        <item x="302"/>
        <item x="367"/>
        <item x="1670"/>
        <item x="50"/>
        <item x="525"/>
        <item x="99"/>
        <item x="666"/>
        <item x="903"/>
        <item x="977"/>
        <item x="274"/>
        <item x="995"/>
        <item x="1389"/>
        <item x="1183"/>
        <item x="701"/>
        <item x="1036"/>
        <item x="1851"/>
        <item x="664"/>
        <item x="1427"/>
        <item x="1550"/>
        <item x="1911"/>
        <item x="1895"/>
        <item x="46"/>
        <item x="8"/>
        <item x="871"/>
        <item x="200"/>
        <item x="845"/>
        <item x="1276"/>
        <item x="1802"/>
        <item x="1739"/>
        <item x="1481"/>
        <item x="803"/>
        <item x="1041"/>
        <item x="606"/>
        <item x="1928"/>
        <item x="1675"/>
        <item x="839"/>
        <item x="1300"/>
        <item x="1767"/>
        <item x="238"/>
        <item x="1864"/>
        <item x="31"/>
        <item x="603"/>
        <item x="395"/>
        <item x="726"/>
        <item x="526"/>
        <item x="459"/>
        <item x="1344"/>
        <item x="148"/>
        <item x="203"/>
        <item x="1535"/>
        <item x="705"/>
        <item x="408"/>
        <item x="137"/>
        <item x="162"/>
        <item x="751"/>
        <item x="358"/>
        <item x="904"/>
        <item x="41"/>
        <item x="1121"/>
        <item x="1060"/>
        <item x="1878"/>
        <item x="1766"/>
        <item x="1549"/>
        <item x="30"/>
        <item x="1021"/>
        <item x="723"/>
        <item x="1790"/>
        <item x="1719"/>
        <item x="797"/>
        <item x="374"/>
        <item x="1646"/>
        <item x="339"/>
        <item x="519"/>
        <item x="1221"/>
        <item x="1576"/>
        <item x="1729"/>
        <item x="1014"/>
        <item x="1762"/>
        <item x="1112"/>
        <item x="1577"/>
        <item x="885"/>
        <item x="87"/>
        <item x="1868"/>
        <item x="1159"/>
        <item x="1736"/>
        <item x="385"/>
        <item x="629"/>
        <item x="1987"/>
        <item x="835"/>
        <item x="92"/>
        <item x="1439"/>
        <item x="805"/>
        <item x="697"/>
        <item x="123"/>
        <item x="1072"/>
        <item x="569"/>
        <item x="1570"/>
        <item x="1733"/>
        <item x="998"/>
        <item x="616"/>
        <item x="857"/>
        <item x="1077"/>
        <item x="1270"/>
        <item x="18"/>
        <item x="1844"/>
        <item x="1127"/>
        <item x="371"/>
        <item x="1064"/>
        <item x="1989"/>
        <item x="912"/>
        <item x="1697"/>
        <item x="1542"/>
        <item x="1331"/>
        <item x="1687"/>
        <item x="1823"/>
        <item x="497"/>
        <item x="1763"/>
        <item x="1326"/>
        <item x="927"/>
        <item x="917"/>
        <item x="1111"/>
        <item x="1906"/>
        <item x="818"/>
        <item x="872"/>
        <item x="1397"/>
        <item x="1560"/>
        <item x="829"/>
        <item x="821"/>
        <item x="588"/>
        <item x="1235"/>
        <item x="856"/>
        <item x="675"/>
        <item x="168"/>
        <item x="76"/>
        <item x="483"/>
        <item x="107"/>
        <item x="546"/>
        <item x="621"/>
        <item x="792"/>
        <item x="1051"/>
        <item x="566"/>
        <item x="636"/>
        <item x="1703"/>
        <item x="791"/>
        <item x="1180"/>
        <item x="1268"/>
        <item x="1092"/>
        <item x="1715"/>
        <item x="1432"/>
        <item x="749"/>
        <item x="1034"/>
        <item x="62"/>
        <item x="1743"/>
        <item x="708"/>
        <item x="796"/>
        <item x="862"/>
        <item x="1019"/>
        <item x="1724"/>
        <item x="499"/>
        <item x="114"/>
        <item x="1654"/>
        <item x="39"/>
        <item x="1084"/>
        <item x="940"/>
        <item x="702"/>
        <item x="896"/>
        <item x="992"/>
        <item x="524"/>
        <item x="1483"/>
        <item x="139"/>
        <item x="90"/>
        <item x="119"/>
        <item x="1055"/>
        <item x="80"/>
        <item x="909"/>
        <item x="369"/>
        <item x="552"/>
        <item x="913"/>
        <item x="901"/>
        <item x="947"/>
        <item x="313"/>
        <item x="855"/>
        <item x="742"/>
        <item x="420"/>
        <item x="1656"/>
        <item x="780"/>
        <item x="1695"/>
        <item x="976"/>
        <item x="618"/>
        <item x="1764"/>
        <item x="1945"/>
        <item x="863"/>
        <item x="6"/>
        <item x="1454"/>
        <item x="314"/>
        <item x="1619"/>
        <item x="770"/>
        <item x="464"/>
        <item x="1388"/>
        <item x="1169"/>
        <item x="1420"/>
        <item x="1435"/>
        <item x="1691"/>
        <item x="1231"/>
        <item x="785"/>
        <item x="681"/>
        <item x="834"/>
        <item x="724"/>
        <item x="1398"/>
        <item x="1641"/>
        <item x="365"/>
        <item x="1616"/>
        <item x="1513"/>
        <item x="1497"/>
        <item x="1492"/>
        <item x="880"/>
        <item x="1722"/>
        <item x="187"/>
        <item x="1304"/>
        <item x="1162"/>
        <item x="1540"/>
        <item x="319"/>
        <item x="1283"/>
        <item x="567"/>
        <item x="864"/>
        <item x="1240"/>
        <item x="1957"/>
        <item x="32"/>
        <item x="19"/>
        <item x="457"/>
        <item x="1311"/>
        <item x="643"/>
        <item x="1499"/>
        <item x="348"/>
        <item x="1825"/>
        <item x="315"/>
        <item x="1615"/>
        <item x="934"/>
        <item x="165"/>
        <item x="609"/>
        <item x="292"/>
        <item x="1102"/>
        <item x="942"/>
        <item x="1886"/>
        <item x="933"/>
        <item x="700"/>
        <item x="1426"/>
        <item x="1205"/>
        <item x="224"/>
        <item x="512"/>
        <item x="999"/>
        <item x="1039"/>
        <item x="1818"/>
        <item x="1554"/>
        <item x="1309"/>
        <item x="288"/>
        <item x="1412"/>
        <item x="63"/>
        <item x="55"/>
        <item x="719"/>
        <item x="1658"/>
        <item x="1232"/>
        <item x="1116"/>
        <item x="1403"/>
        <item x="760"/>
        <item x="151"/>
        <item x="1819"/>
        <item x="1679"/>
        <item x="1665"/>
        <item x="68"/>
        <item x="1385"/>
        <item x="684"/>
        <item x="1242"/>
        <item x="831"/>
        <item x="1191"/>
        <item x="563"/>
        <item x="883"/>
        <item x="1292"/>
        <item x="1153"/>
        <item x="920"/>
        <item x="1505"/>
        <item x="837"/>
        <item x="668"/>
        <item x="677"/>
        <item x="1817"/>
        <item x="764"/>
        <item x="1541"/>
        <item x="161"/>
        <item x="58"/>
        <item x="160"/>
        <item x="334"/>
        <item x="1532"/>
        <item x="15"/>
        <item x="1032"/>
        <item x="1189"/>
        <item x="1482"/>
        <item x="1479"/>
        <item x="1572"/>
        <item x="711"/>
        <item x="801"/>
        <item x="1145"/>
        <item x="1147"/>
        <item x="1085"/>
        <item x="1269"/>
        <item x="1466"/>
        <item x="88"/>
        <item x="1503"/>
        <item x="70"/>
        <item x="615"/>
        <item x="1498"/>
        <item x="1607"/>
        <item x="991"/>
        <item x="555"/>
        <item x="565"/>
        <item x="1694"/>
        <item x="847"/>
        <item x="1446"/>
        <item x="1528"/>
        <item x="1193"/>
        <item x="543"/>
        <item x="331"/>
        <item x="1263"/>
        <item x="1374"/>
        <item x="963"/>
        <item x="1188"/>
        <item x="541"/>
        <item x="980"/>
        <item x="556"/>
        <item x="1761"/>
        <item x="1627"/>
        <item x="1860"/>
        <item x="819"/>
        <item x="924"/>
        <item x="925"/>
        <item x="1898"/>
        <item x="1683"/>
        <item x="1190"/>
        <item x="1213"/>
        <item x="946"/>
        <item x="783"/>
        <item x="532"/>
        <item x="1744"/>
        <item x="14"/>
        <item x="1227"/>
        <item x="922"/>
        <item x="1839"/>
        <item x="212"/>
        <item x="1325"/>
        <item x="26"/>
        <item x="795"/>
        <item x="1138"/>
        <item x="641"/>
        <item x="1859"/>
        <item x="391"/>
        <item x="1010"/>
        <item x="598"/>
        <item x="372"/>
        <item x="456"/>
        <item x="490"/>
        <item x="574"/>
        <item x="104"/>
        <item x="1476"/>
        <item x="359"/>
        <item x="266"/>
        <item x="1356"/>
        <item x="1974"/>
        <item x="1003"/>
        <item x="1605"/>
        <item x="1515"/>
        <item x="688"/>
        <item x="198"/>
        <item x="928"/>
        <item x="136"/>
        <item x="370"/>
        <item x="1668"/>
        <item x="568"/>
        <item x="300"/>
        <item x="1624"/>
        <item x="1160"/>
        <item x="1965"/>
        <item x="1507"/>
        <item x="1983"/>
        <item x="1595"/>
        <item x="1586"/>
        <item x="1378"/>
        <item x="397"/>
        <item x="36"/>
        <item x="654"/>
        <item x="1013"/>
        <item x="376"/>
        <item x="1128"/>
        <item x="1944"/>
        <item x="1177"/>
        <item x="1752"/>
        <item x="278"/>
        <item x="1117"/>
        <item x="24"/>
        <item x="249"/>
        <item x="908"/>
        <item x="140"/>
        <item x="309"/>
        <item x="280"/>
        <item x="431"/>
        <item x="1343"/>
        <item x="1913"/>
        <item x="960"/>
        <item x="1279"/>
        <item x="1881"/>
        <item x="426"/>
        <item x="298"/>
        <item x="825"/>
        <item x="248"/>
        <item x="1087"/>
        <item x="1143"/>
        <item x="1494"/>
        <item x="827"/>
        <item x="1589"/>
        <item x="531"/>
        <item x="1778"/>
        <item x="1229"/>
        <item x="489"/>
        <item x="1491"/>
        <item x="1704"/>
        <item x="1419"/>
        <item x="644"/>
        <item x="739"/>
        <item x="1663"/>
        <item x="945"/>
        <item x="166"/>
        <item x="1600"/>
        <item x="752"/>
        <item x="1133"/>
        <item x="1584"/>
        <item x="1362"/>
        <item x="1197"/>
        <item x="1123"/>
        <item x="1593"/>
        <item x="1988"/>
        <item x="1119"/>
        <item x="1543"/>
        <item x="57"/>
        <item x="425"/>
        <item x="1759"/>
        <item x="1044"/>
        <item x="1317"/>
        <item x="1648"/>
        <item x="1470"/>
        <item x="798"/>
        <item x="1756"/>
        <item x="715"/>
        <item x="404"/>
        <item x="466"/>
        <item x="1182"/>
        <item x="1786"/>
        <item x="1381"/>
        <item x="740"/>
        <item x="1422"/>
        <item x="1063"/>
        <item x="49"/>
        <item x="1676"/>
        <item x="101"/>
        <item x="1052"/>
        <item x="485"/>
        <item x="965"/>
        <item x="775"/>
        <item x="1260"/>
        <item x="147"/>
        <item x="1618"/>
        <item x="53"/>
        <item x="65"/>
        <item x="758"/>
        <item x="176"/>
        <item x="373"/>
        <item x="1952"/>
        <item x="611"/>
        <item x="445"/>
        <item x="226"/>
        <item x="1065"/>
        <item x="1308"/>
        <item x="190"/>
        <item x="717"/>
        <item x="841"/>
        <item x="1174"/>
        <item x="276"/>
        <item x="421"/>
        <item x="1286"/>
        <item x="1334"/>
        <item x="554"/>
        <item x="635"/>
        <item x="363"/>
        <item x="465"/>
        <item x="1940"/>
        <item x="1578"/>
        <item x="5"/>
        <item x="1203"/>
        <item x="1991"/>
        <item x="1361"/>
        <item x="1126"/>
        <item x="1408"/>
        <item x="1351"/>
        <item x="1114"/>
        <item x="516"/>
        <item x="766"/>
        <item x="1365"/>
        <item x="586"/>
        <item x="1316"/>
        <item x="1538"/>
        <item x="1490"/>
        <item x="1338"/>
        <item x="1980"/>
        <item x="1854"/>
        <item x="38"/>
        <item x="1869"/>
        <item x="134"/>
        <item x="802"/>
        <item x="458"/>
        <item x="576"/>
        <item x="357"/>
        <item x="1904"/>
        <item x="1339"/>
        <item x="662"/>
        <item x="326"/>
        <item x="778"/>
        <item x="1536"/>
        <item x="907"/>
        <item x="777"/>
        <item x="1874"/>
        <item x="1394"/>
        <item x="1337"/>
        <item x="1172"/>
        <item x="263"/>
        <item x="948"/>
        <item x="521"/>
        <item x="1022"/>
        <item x="1677"/>
        <item x="1306"/>
        <item x="1277"/>
        <item x="1796"/>
        <item x="1467"/>
        <item x="323"/>
        <item x="1328"/>
        <item x="647"/>
        <item x="387"/>
        <item x="100"/>
        <item x="1609"/>
        <item x="1173"/>
        <item x="1501"/>
        <item x="1809"/>
        <item x="221"/>
        <item x="439"/>
        <item x="1914"/>
        <item x="632"/>
        <item x="1171"/>
        <item x="1754"/>
        <item x="9"/>
        <item x="1771"/>
        <item x="1925"/>
        <item x="1005"/>
        <item x="1395"/>
        <item x="152"/>
        <item x="738"/>
        <item x="1689"/>
        <item x="1237"/>
        <item x="1634"/>
        <item x="1027"/>
        <item x="575"/>
        <item x="1642"/>
        <item x="1404"/>
        <item x="1336"/>
        <item x="1073"/>
        <item x="1780"/>
        <item x="851"/>
        <item x="1322"/>
        <item x="1471"/>
        <item x="1870"/>
        <item x="859"/>
        <item x="628"/>
        <item x="390"/>
        <item x="1261"/>
        <item x="475"/>
        <item x="1915"/>
        <item x="158"/>
        <item x="1635"/>
        <item x="364"/>
        <item x="860"/>
        <item x="1632"/>
        <item x="194"/>
        <item x="1168"/>
        <item x="1046"/>
        <item x="1131"/>
        <item x="1918"/>
        <item x="486"/>
        <item x="232"/>
        <item x="430"/>
        <item x="487"/>
        <item x="59"/>
        <item x="220"/>
        <item x="1638"/>
        <item x="613"/>
        <item x="435"/>
        <item x="699"/>
        <item x="417"/>
        <item x="1415"/>
        <item x="1043"/>
        <item x="197"/>
        <item x="1347"/>
        <item x="1050"/>
        <item x="1530"/>
        <item x="1661"/>
        <item x="1076"/>
        <item x="929"/>
        <item x="325"/>
        <item x="1698"/>
        <item x="549"/>
        <item x="1148"/>
        <item x="378"/>
        <item x="1932"/>
        <item x="836"/>
        <item x="923"/>
        <item x="424"/>
        <item x="343"/>
        <item x="1400"/>
        <item x="1442"/>
        <item x="1373"/>
        <item x="1850"/>
        <item x="159"/>
        <item x="1893"/>
        <item x="1726"/>
        <item x="231"/>
        <item x="631"/>
        <item x="794"/>
        <item x="27"/>
        <item x="422"/>
        <item x="1829"/>
        <item x="91"/>
        <item x="996"/>
        <item x="1846"/>
        <item x="1856"/>
        <item x="1156"/>
        <item x="850"/>
        <item x="354"/>
        <item x="782"/>
        <item x="308"/>
        <item x="1199"/>
        <item x="484"/>
        <item x="658"/>
        <item x="500"/>
        <item x="874"/>
        <item x="978"/>
        <item x="412"/>
        <item x="1411"/>
        <item x="670"/>
        <item x="972"/>
        <item x="228"/>
        <item x="759"/>
        <item x="1890"/>
        <item x="284"/>
        <item x="508"/>
        <item x="735"/>
        <item x="1908"/>
        <item x="346"/>
        <item x="1086"/>
        <item x="202"/>
        <item x="437"/>
        <item x="844"/>
        <item x="1122"/>
        <item x="585"/>
        <item x="653"/>
        <item x="530"/>
        <item x="1711"/>
        <item x="1745"/>
        <item x="1187"/>
        <item x="415"/>
        <item x="396"/>
        <item x="1015"/>
        <item x="1765"/>
        <item x="1533"/>
        <item x="392"/>
        <item x="1486"/>
        <item x="1512"/>
        <item x="1686"/>
        <item x="1539"/>
        <item x="1298"/>
        <item x="460"/>
        <item x="1438"/>
        <item x="878"/>
        <item x="1799"/>
        <item x="1518"/>
        <item x="1553"/>
        <item x="1031"/>
        <item x="125"/>
        <item x="1629"/>
        <item x="1038"/>
        <item x="663"/>
        <item x="640"/>
        <item x="264"/>
        <item x="949"/>
        <item x="1816"/>
        <item x="1951"/>
        <item x="1734"/>
        <item x="501"/>
        <item x="1274"/>
        <item x="1220"/>
        <item x="400"/>
        <item x="438"/>
        <item x="267"/>
        <item x="442"/>
        <item x="289"/>
        <item x="890"/>
        <item x="1058"/>
        <item x="316"/>
        <item x="781"/>
        <item x="394"/>
        <item x="13"/>
        <item x="1002"/>
        <item x="713"/>
        <item x="1440"/>
        <item x="610"/>
        <item x="1368"/>
        <item x="324"/>
        <item x="1488"/>
        <item x="1011"/>
        <item x="441"/>
        <item x="1278"/>
        <item x="604"/>
        <item x="1978"/>
        <item x="209"/>
        <item x="1877"/>
        <item x="638"/>
        <item x="607"/>
        <item x="1335"/>
        <item x="1813"/>
        <item x="626"/>
        <item x="1223"/>
        <item x="496"/>
        <item x="1425"/>
        <item x="962"/>
        <item x="1728"/>
        <item x="268"/>
        <item x="1705"/>
        <item x="312"/>
        <item x="1383"/>
        <item x="1297"/>
        <item x="1699"/>
        <item x="1684"/>
        <item x="1134"/>
        <item x="753"/>
        <item x="1124"/>
        <item x="1927"/>
        <item x="544"/>
        <item x="881"/>
        <item x="84"/>
        <item x="253"/>
        <item x="870"/>
        <item x="1029"/>
        <item x="1602"/>
        <item x="1176"/>
        <item x="337"/>
        <item x="1228"/>
        <item x="1643"/>
        <item x="1303"/>
        <item x="1510"/>
        <item x="842"/>
        <item x="979"/>
        <item x="1746"/>
        <item x="1552"/>
        <item x="116"/>
        <item x="727"/>
        <item x="645"/>
        <item x="1852"/>
        <item x="1178"/>
        <item x="1184"/>
        <item x="1867"/>
        <item x="124"/>
        <item x="1136"/>
        <item x="689"/>
        <item x="111"/>
        <item x="722"/>
        <item x="580"/>
        <item x="642"/>
        <item x="1186"/>
        <item x="351"/>
        <item x="561"/>
        <item x="1847"/>
        <item x="1477"/>
        <item x="601"/>
        <item x="409"/>
        <item x="191"/>
        <item x="1924"/>
        <item x="45"/>
        <item x="1045"/>
        <item x="1845"/>
        <item x="1645"/>
        <item x="1708"/>
        <item x="1001"/>
        <item x="86"/>
        <item x="17"/>
        <item x="548"/>
        <item x="95"/>
        <item x="2"/>
        <item x="1366"/>
        <item x="1455"/>
        <item x="503"/>
        <item x="959"/>
        <item x="1606"/>
        <item x="1563"/>
        <item x="665"/>
        <item x="1294"/>
        <item x="1069"/>
        <item x="1706"/>
        <item x="1194"/>
        <item x="164"/>
        <item x="1132"/>
        <item x="639"/>
        <item x="661"/>
        <item x="61"/>
        <item x="595"/>
        <item x="1959"/>
        <item x="178"/>
        <item x="1364"/>
        <item x="1348"/>
        <item x="703"/>
        <item x="1166"/>
        <item x="1105"/>
        <item x="776"/>
        <item x="877"/>
        <item x="1837"/>
        <item x="1585"/>
        <item x="1921"/>
        <item x="685"/>
        <item x="261"/>
        <item x="788"/>
        <item x="879"/>
        <item x="1421"/>
        <item x="1972"/>
        <item x="619"/>
        <item x="449"/>
        <item x="35"/>
        <item x="81"/>
        <item x="1873"/>
        <item x="817"/>
        <item x="696"/>
        <item x="1099"/>
        <item x="1516"/>
        <item x="1327"/>
        <item x="1568"/>
        <item x="1772"/>
        <item x="540"/>
        <item x="1414"/>
        <item x="141"/>
        <item x="810"/>
        <item x="1651"/>
        <item x="762"/>
        <item x="1573"/>
        <item x="918"/>
        <item x="192"/>
        <item x="16"/>
        <item x="1956"/>
        <item x="1396"/>
        <item x="1986"/>
        <item x="799"/>
        <item x="185"/>
        <item x="1071"/>
        <item x="451"/>
        <item x="103"/>
        <item x="747"/>
        <item x="1710"/>
        <item x="1592"/>
        <item x="1511"/>
        <item x="1061"/>
        <item x="1008"/>
        <item x="981"/>
        <item x="694"/>
        <item x="208"/>
        <item x="1474"/>
        <item x="242"/>
        <item x="1523"/>
        <item x="1741"/>
        <item x="1579"/>
        <item x="937"/>
        <item x="1207"/>
        <item x="669"/>
        <item x="892"/>
        <item x="1485"/>
        <item x="505"/>
        <item x="179"/>
        <item x="1917"/>
        <item x="1567"/>
        <item x="1551"/>
        <item x="28"/>
        <item x="514"/>
        <item x="1832"/>
        <item x="1360"/>
        <item x="1349"/>
        <item x="384"/>
        <item x="1318"/>
        <item x="1534"/>
        <item x="884"/>
        <item x="1783"/>
        <item x="269"/>
        <item x="149"/>
        <item x="832"/>
        <item x="1508"/>
        <item x="201"/>
        <item x="1103"/>
        <item x="731"/>
        <item x="1545"/>
        <item x="1561"/>
        <item x="893"/>
        <item x="769"/>
        <item x="1964"/>
        <item x="1141"/>
        <item x="1009"/>
        <item x="914"/>
        <item x="577"/>
        <item x="1723"/>
        <item x="625"/>
        <item x="600"/>
        <item x="448"/>
        <item x="1401"/>
        <item x="1149"/>
        <item x="687"/>
        <item x="1250"/>
        <item x="1647"/>
        <item x="1547"/>
        <item x="790"/>
        <item x="1243"/>
        <item x="332"/>
        <item x="1958"/>
        <item x="1803"/>
        <item x="1582"/>
        <item x="1926"/>
        <item x="560"/>
        <item x="1806"/>
        <item x="1480"/>
        <item x="1787"/>
        <item x="271"/>
        <item x="1664"/>
        <item x="1793"/>
        <item x="1157"/>
        <item x="71"/>
        <item x="1333"/>
        <item x="1581"/>
        <item x="970"/>
        <item x="234"/>
        <item x="1288"/>
        <item x="3"/>
        <item x="1287"/>
        <item x="155"/>
        <item x="96"/>
        <item x="1236"/>
        <item x="410"/>
        <item x="1506"/>
        <item x="1370"/>
        <item x="345"/>
        <item x="89"/>
        <item x="1357"/>
        <item x="1424"/>
        <item x="813"/>
        <item x="911"/>
        <item x="1843"/>
        <item x="894"/>
        <item x="1219"/>
        <item x="1905"/>
        <item x="452"/>
        <item x="504"/>
        <item x="1164"/>
        <item x="1386"/>
        <item x="1434"/>
        <item x="260"/>
        <item x="1340"/>
        <item x="389"/>
        <item x="22"/>
        <item x="270"/>
        <item x="919"/>
        <item x="1901"/>
        <item x="273"/>
        <item x="1463"/>
        <item x="1514"/>
        <item x="1254"/>
        <item x="245"/>
        <item x="1841"/>
        <item x="527"/>
        <item x="1104"/>
        <item x="21"/>
        <item x="1717"/>
        <item x="1319"/>
        <item x="895"/>
        <item x="767"/>
        <item x="342"/>
        <item x="241"/>
        <item x="587"/>
        <item x="1079"/>
        <item x="1529"/>
        <item x="1757"/>
        <item x="4"/>
        <item x="102"/>
        <item x="210"/>
        <item x="529"/>
        <item x="1976"/>
        <item x="349"/>
        <item x="1737"/>
        <item x="233"/>
        <item x="1402"/>
        <item x="1238"/>
        <item x="403"/>
        <item x="1537"/>
        <item x="1725"/>
        <item x="1350"/>
        <item x="1472"/>
        <item x="584"/>
        <item x="513"/>
        <item x="440"/>
        <item x="423"/>
        <item x="1583"/>
        <item x="1234"/>
        <item x="1938"/>
        <item x="1611"/>
        <item x="848"/>
        <item x="25"/>
        <item x="296"/>
        <item x="1321"/>
        <item x="1718"/>
        <item x="398"/>
        <item x="320"/>
        <item x="721"/>
        <item x="1617"/>
        <item x="1948"/>
        <item x="1216"/>
        <item x="279"/>
        <item x="1594"/>
        <item x="971"/>
        <item x="414"/>
        <item x="950"/>
        <item x="1097"/>
        <item x="225"/>
        <item x="1391"/>
        <item x="1028"/>
        <item x="433"/>
        <item x="1637"/>
        <item x="1961"/>
        <item x="1620"/>
        <item x="37"/>
        <item x="840"/>
        <item x="1666"/>
        <item x="1249"/>
        <item x="1575"/>
        <item x="1354"/>
        <item x="1626"/>
        <item x="899"/>
        <item x="98"/>
        <item x="1444"/>
        <item x="307"/>
        <item x="1891"/>
        <item x="153"/>
        <item x="154"/>
        <item x="728"/>
        <item x="286"/>
        <item x="897"/>
        <item x="814"/>
        <item x="1465"/>
        <item x="1690"/>
        <item x="581"/>
        <item x="1804"/>
        <item x="1078"/>
        <item x="676"/>
        <item x="990"/>
        <item x="718"/>
        <item x="755"/>
        <item x="219"/>
        <item x="494"/>
        <item x="1849"/>
        <item x="1812"/>
        <item x="1872"/>
        <item x="1449"/>
        <item x="1496"/>
        <item x="379"/>
        <item x="1887"/>
        <item x="830"/>
        <item x="1284"/>
        <item x="434"/>
        <item x="7"/>
        <item x="347"/>
        <item x="1768"/>
        <item x="868"/>
        <item x="510"/>
        <item x="1731"/>
        <item x="1376"/>
        <item x="1094"/>
        <item x="1748"/>
        <item x="356"/>
        <item x="1920"/>
        <item x="858"/>
        <item x="547"/>
        <item x="1053"/>
        <item x="761"/>
        <item x="388"/>
        <item x="1271"/>
        <item x="680"/>
        <item x="1436"/>
        <item x="1062"/>
        <item x="1074"/>
        <item x="1406"/>
        <item x="473"/>
        <item x="592"/>
        <item x="1320"/>
        <item x="1095"/>
        <item x="707"/>
        <item x="915"/>
        <item x="1652"/>
        <item x="1659"/>
        <item x="432"/>
        <item x="1209"/>
        <item x="1791"/>
        <item x="1590"/>
        <item x="472"/>
        <item x="838"/>
        <item x="85"/>
        <item x="590"/>
        <item x="926"/>
        <item x="480"/>
        <item x="943"/>
        <item x="812"/>
        <item x="1025"/>
        <item x="1727"/>
        <item x="969"/>
        <item x="180"/>
        <item x="1779"/>
        <item x="843"/>
        <item x="1059"/>
        <item x="498"/>
        <item x="214"/>
        <item x="846"/>
        <item x="1622"/>
        <item x="1314"/>
        <item x="985"/>
        <item x="1889"/>
        <item x="507"/>
        <item x="1256"/>
        <item x="1922"/>
        <item x="593"/>
        <item x="1751"/>
        <item x="204"/>
        <item x="195"/>
        <item x="1040"/>
        <item x="624"/>
        <item x="1098"/>
        <item x="1811"/>
        <item x="1257"/>
        <item x="886"/>
        <item x="1110"/>
        <item x="1345"/>
        <item x="1289"/>
        <item x="822"/>
        <item x="1749"/>
        <item x="1548"/>
        <item x="1054"/>
        <item x="353"/>
        <item x="1608"/>
        <item x="1332"/>
        <item x="47"/>
        <item x="1106"/>
        <item x="1993"/>
        <item x="129"/>
        <item x="533"/>
        <item x="916"/>
        <item x="608"/>
        <item x="1827"/>
        <item x="1929"/>
        <item x="535"/>
        <item x="648"/>
        <item x="143"/>
        <item x="596"/>
        <item x="1882"/>
        <item x="1650"/>
        <item x="906"/>
        <item x="1838"/>
        <item x="789"/>
        <item x="1429"/>
        <item x="1353"/>
        <item x="1291"/>
        <item x="1363"/>
        <item x="330"/>
        <item x="1610"/>
        <item x="706"/>
        <item x="808"/>
        <item x="534"/>
        <item x="1857"/>
        <item x="809"/>
        <item x="553"/>
        <item x="570"/>
        <item x="765"/>
        <item x="509"/>
        <item x="1730"/>
        <item x="1016"/>
        <item x="1640"/>
        <item x="446"/>
        <item x="1574"/>
        <item x="1862"/>
        <item x="900"/>
        <item x="1861"/>
        <item x="108"/>
        <item x="1909"/>
        <item x="444"/>
        <item x="1033"/>
        <item x="1902"/>
        <item x="69"/>
        <item x="1057"/>
        <item x="865"/>
        <item x="955"/>
        <item x="1458"/>
        <item x="1473"/>
        <item x="733"/>
        <item x="277"/>
        <item x="1135"/>
        <item x="1080"/>
        <item x="1109"/>
        <item x="305"/>
        <item x="1628"/>
        <item x="744"/>
        <item x="11"/>
        <item x="714"/>
        <item x="1519"/>
        <item x="1475"/>
        <item x="1375"/>
        <item x="322"/>
        <item x="1569"/>
        <item x="1903"/>
        <item x="930"/>
        <item x="1907"/>
        <item x="517"/>
        <item x="1302"/>
        <item x="1299"/>
        <item x="820"/>
        <item x="1702"/>
        <item x="393"/>
        <item x="156"/>
        <item x="1555"/>
        <item x="537"/>
        <item x="1564"/>
        <item x="1413"/>
        <item x="118"/>
        <item x="630"/>
        <item x="1161"/>
        <item x="750"/>
        <item x="341"/>
        <item x="229"/>
        <item x="1163"/>
        <item x="1639"/>
        <item x="806"/>
        <item x="44"/>
        <item x="110"/>
        <item x="189"/>
        <item x="1196"/>
        <item x="1714"/>
        <item x="1251"/>
        <item x="1330"/>
        <item x="1967"/>
        <item x="172"/>
        <item x="1520"/>
        <item x="43"/>
        <item x="1307"/>
        <item x="951"/>
        <item x="1042"/>
        <item x="117"/>
        <item x="887"/>
        <item x="852"/>
        <item x="106"/>
        <item x="290"/>
        <item x="1939"/>
        <item x="1672"/>
        <item x="989"/>
        <item x="958"/>
        <item x="1935"/>
        <item x="1815"/>
        <item x="1430"/>
        <item x="1701"/>
        <item x="1281"/>
        <item x="667"/>
        <item x="763"/>
        <item x="355"/>
        <item x="1826"/>
        <item x="1963"/>
        <item x="938"/>
        <item x="1195"/>
        <item x="1968"/>
        <item x="236"/>
        <item x="79"/>
        <item x="873"/>
        <item x="651"/>
        <item x="698"/>
        <item x="477"/>
        <item x="1390"/>
        <item x="1742"/>
        <item x="1282"/>
        <item x="240"/>
        <item x="352"/>
        <item x="1152"/>
        <item x="627"/>
        <item x="1493"/>
        <item x="1894"/>
        <item x="126"/>
        <item x="1625"/>
        <item x="682"/>
        <item x="1206"/>
        <item x="127"/>
        <item x="215"/>
        <item x="251"/>
        <item x="1835"/>
        <item x="1301"/>
        <item x="1805"/>
        <item x="1777"/>
        <item x="1448"/>
        <item x="360"/>
        <item x="815"/>
        <item x="470"/>
        <item x="538"/>
        <item x="564"/>
        <item x="1875"/>
        <item x="1165"/>
        <item x="476"/>
        <item x="725"/>
        <item x="1113"/>
        <item x="1760"/>
        <item x="416"/>
        <item x="244"/>
        <item x="709"/>
        <item x="1179"/>
        <item x="1824"/>
        <item x="957"/>
        <item x="520"/>
        <item x="1774"/>
        <item x="730"/>
        <item x="406"/>
        <item x="1810"/>
        <item x="303"/>
        <item x="986"/>
        <item x="1310"/>
        <item x="1464"/>
        <item x="247"/>
        <item x="652"/>
        <item x="1233"/>
        <item x="130"/>
        <item x="1798"/>
        <item x="704"/>
        <item x="953"/>
        <item x="67"/>
        <item x="1716"/>
        <item x="620"/>
        <item x="237"/>
        <item x="1720"/>
        <item x="56"/>
        <item x="255"/>
        <item x="135"/>
        <item x="637"/>
        <item x="157"/>
        <item x="833"/>
        <item x="875"/>
        <item x="386"/>
        <item x="993"/>
        <item x="468"/>
        <item x="401"/>
        <item x="429"/>
        <item x="1784"/>
        <item x="935"/>
        <item x="1290"/>
        <item x="734"/>
        <item x="217"/>
        <item x="1657"/>
        <item x="1453"/>
        <item x="133"/>
        <item x="1597"/>
        <item x="1155"/>
        <item x="1120"/>
        <item x="1457"/>
        <item x="218"/>
        <item x="1158"/>
        <item x="1900"/>
        <item x="1943"/>
        <item x="984"/>
        <item x="1407"/>
        <item x="591"/>
        <item x="1885"/>
        <item x="828"/>
        <item x="1418"/>
        <item x="366"/>
        <item x="779"/>
        <item x="1871"/>
        <item x="77"/>
        <item x="252"/>
        <item x="1979"/>
        <item x="594"/>
        <item x="876"/>
        <item x="1946"/>
        <item x="1341"/>
        <item x="1377"/>
        <item x="515"/>
        <item x="1801"/>
        <item x="1794"/>
        <item x="1214"/>
        <item x="551"/>
        <item x="405"/>
        <item x="944"/>
        <item x="184"/>
        <item x="150"/>
        <item x="1018"/>
        <item x="275"/>
        <item x="539"/>
        <item x="222"/>
        <item x="1977"/>
        <item x="1253"/>
        <item x="1831"/>
        <item x="340"/>
        <item x="34"/>
        <item x="1096"/>
        <item x="1858"/>
        <item x="1258"/>
        <item x="973"/>
        <item x="1985"/>
        <item x="1484"/>
        <item x="382"/>
        <item x="344"/>
        <item x="1101"/>
        <item x="171"/>
        <item x="1441"/>
        <item x="1863"/>
        <item x="1942"/>
        <item x="1807"/>
        <item x="427"/>
        <item x="994"/>
        <item x="712"/>
        <item x="482"/>
        <item x="478"/>
        <item x="1603"/>
        <item x="175"/>
        <item x="1559"/>
        <item x="826"/>
        <item x="1814"/>
        <item x="888"/>
        <item x="419"/>
        <item x="1267"/>
        <item x="1808"/>
        <item x="1380"/>
        <item x="287"/>
        <item x="1912"/>
        <item x="1447"/>
        <item x="230"/>
        <item x="787"/>
        <item x="774"/>
        <item x="1100"/>
        <item x="1049"/>
        <item x="163"/>
        <item x="941"/>
        <item x="861"/>
        <item x="1035"/>
        <item x="975"/>
        <item x="1478"/>
        <item x="1137"/>
        <item x="1973"/>
        <item x="350"/>
        <item x="1192"/>
        <item x="467"/>
        <item x="297"/>
        <item x="1527"/>
        <item x="720"/>
        <item x="745"/>
        <item x="1707"/>
        <item x="1833"/>
        <item x="1688"/>
        <item x="1217"/>
        <item x="1732"/>
        <item x="1934"/>
        <item x="974"/>
        <item x="1346"/>
        <item x="545"/>
        <item x="1975"/>
        <item x="121"/>
        <item x="1923"/>
        <item x="1822"/>
        <item x="1678"/>
        <item x="1468"/>
        <item x="1557"/>
        <item x="1525"/>
        <item x="169"/>
        <item x="469"/>
        <item x="1614"/>
        <item x="428"/>
        <item x="1546"/>
        <item x="1047"/>
        <item x="550"/>
        <item x="1107"/>
        <item x="1830"/>
        <item x="571"/>
        <item x="557"/>
        <item x="29"/>
        <item x="811"/>
        <item x="1452"/>
        <item x="1212"/>
        <item x="867"/>
        <item x="743"/>
        <item x="1241"/>
        <item x="678"/>
        <item x="579"/>
        <item x="239"/>
        <item x="1981"/>
        <item x="659"/>
        <item x="304"/>
        <item x="1275"/>
        <item x="336"/>
        <item x="1245"/>
        <item x="1526"/>
        <item x="671"/>
        <item x="1230"/>
        <item x="399"/>
        <item x="1405"/>
        <item x="1088"/>
        <item x="1295"/>
        <item x="196"/>
        <item x="491"/>
        <item x="1840"/>
        <item x="523"/>
        <item x="1884"/>
        <item x="461"/>
        <item x="368"/>
        <item x="1662"/>
        <item x="492"/>
        <item x="1225"/>
        <item x="1151"/>
        <item x="254"/>
        <item x="186"/>
        <item x="932"/>
        <item x="481"/>
        <item x="1075"/>
        <item x="454"/>
        <item x="583"/>
        <item x="1367"/>
        <item x="573"/>
        <item x="1369"/>
        <item x="1953"/>
        <item x="1226"/>
        <item x="1836"/>
        <item x="1782"/>
        <item x="1495"/>
        <item x="1769"/>
        <item x="256"/>
        <item x="243"/>
        <item x="623"/>
        <item x="1899"/>
        <item x="1556"/>
        <item x="931"/>
        <item x="1451"/>
        <item x="1682"/>
        <item x="227"/>
        <item x="1599"/>
        <item x="1644"/>
        <item x="1417"/>
        <item x="23"/>
        <item x="93"/>
        <item x="869"/>
        <item x="599"/>
        <item x="1313"/>
        <item x="1636"/>
        <item x="1865"/>
        <item x="1880"/>
        <item x="1416"/>
        <item x="1211"/>
        <item x="1721"/>
        <item x="807"/>
        <item x="754"/>
        <item x="1947"/>
        <item x="436"/>
        <item x="1409"/>
        <item x="471"/>
        <item x="1379"/>
        <item x="1876"/>
        <item x="112"/>
        <item x="823"/>
        <item x="335"/>
        <item x="1247"/>
        <item x="1630"/>
        <item x="462"/>
        <item x="1431"/>
        <item x="536"/>
        <item x="48"/>
        <item x="54"/>
        <item x="283"/>
        <item x="1820"/>
        <item x="660"/>
        <item x="902"/>
        <item x="1776"/>
        <item x="72"/>
        <item x="1562"/>
        <item x="132"/>
        <item x="1004"/>
        <item x="578"/>
        <item x="1323"/>
        <item x="602"/>
        <item x="1916"/>
        <item x="964"/>
        <item x="1758"/>
        <item x="1130"/>
        <item x="1596"/>
        <item x="488"/>
        <item x="746"/>
        <item x="413"/>
        <item x="338"/>
        <item x="377"/>
        <item x="614"/>
        <item x="1587"/>
        <item x="1681"/>
        <item x="757"/>
        <item x="1239"/>
        <item x="1355"/>
        <item x="854"/>
        <item x="146"/>
        <item x="889"/>
        <item x="1773"/>
        <item x="1970"/>
        <item x="1017"/>
        <item x="1461"/>
        <item x="674"/>
        <item x="1359"/>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264.94 " fld="10"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0" xr10:uid="{7429FD97-F151-4346-A462-E31BEC84F87B}" sourceName="STORE0">
  <pivotTables>
    <pivotTable tabId="9" name="PivotTable5"/>
  </pivotTables>
  <data>
    <tabular pivotCacheId="1751557639">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ibson__Hobbs_and_Weaver" xr10:uid="{D32D3A1C-0264-459F-A58D-68402D9B6859}" sourceName="Gibson, Hobbs and Weaver">
  <pivotTables>
    <pivotTable tabId="9" name="PivotTable6"/>
  </pivotTables>
  <data>
    <tabular pivotCacheId="13683862">
      <items count="100">
        <i x="50" s="1"/>
        <i x="91" s="1"/>
        <i x="35" s="1"/>
        <i x="86" s="1"/>
        <i x="27" s="1"/>
        <i x="84" s="1"/>
        <i x="23" s="1"/>
        <i x="9" s="1"/>
        <i x="43" s="1"/>
        <i x="12" s="1"/>
        <i x="47" s="1"/>
        <i x="83" s="1"/>
        <i x="80" s="1"/>
        <i x="96" s="1"/>
        <i x="97" s="1"/>
        <i x="78" s="1"/>
        <i x="25" s="1"/>
        <i x="64" s="1"/>
        <i x="69" s="1"/>
        <i x="20" s="1"/>
        <i x="33" s="1"/>
        <i x="41" s="1"/>
        <i x="61" s="1"/>
        <i x="40" s="1"/>
        <i x="2" s="1"/>
        <i x="39" s="1"/>
        <i x="8" s="1"/>
        <i x="38" s="1"/>
        <i x="94" s="1"/>
        <i x="3" s="1"/>
        <i x="42" s="1"/>
        <i x="7" s="1"/>
        <i x="71" s="1"/>
        <i x="60" s="1"/>
        <i x="95" s="1"/>
        <i x="55" s="1"/>
        <i x="67" s="1"/>
        <i x="4" s="1"/>
        <i x="59" s="1"/>
        <i x="70" s="1"/>
        <i x="89" s="1"/>
        <i x="85" s="1"/>
        <i x="30" s="1"/>
        <i x="75" s="1"/>
        <i x="31" s="1"/>
        <i x="92" s="1"/>
        <i x="99" s="1"/>
        <i x="56" s="1"/>
        <i x="18" s="1"/>
        <i x="22" s="1"/>
        <i x="73" s="1"/>
        <i x="98" s="1"/>
        <i x="16" s="1"/>
        <i x="24" s="1"/>
        <i x="79" s="1"/>
        <i x="11" s="1"/>
        <i x="90" s="1"/>
        <i x="87" s="1"/>
        <i x="15" s="1"/>
        <i x="1" s="1"/>
        <i x="93" s="1"/>
        <i x="5" s="1"/>
        <i x="72" s="1"/>
        <i x="63" s="1"/>
        <i x="34" s="1"/>
        <i x="66" s="1"/>
        <i x="51" s="1"/>
        <i x="77" s="1"/>
        <i x="58" s="1"/>
        <i x="13" s="1"/>
        <i x="44" s="1"/>
        <i x="76" s="1"/>
        <i x="10" s="1"/>
        <i x="46" s="1"/>
        <i x="0" s="1"/>
        <i x="48" s="1"/>
        <i x="68" s="1"/>
        <i x="45" s="1"/>
        <i x="53" s="1"/>
        <i x="32" s="1"/>
        <i x="82" s="1"/>
        <i x="19" s="1"/>
        <i x="54" s="1"/>
        <i x="28" s="1"/>
        <i x="17" s="1"/>
        <i x="6" s="1"/>
        <i x="65" s="1"/>
        <i x="26" s="1"/>
        <i x="49" s="1"/>
        <i x="52" s="1"/>
        <i x="21" s="1"/>
        <i x="81" s="1"/>
        <i x="62" s="1"/>
        <i x="29" s="1"/>
        <i x="37" s="1"/>
        <i x="14" s="1"/>
        <i x="74" s="1"/>
        <i x="57" s="1"/>
        <i x="88" s="1"/>
        <i x="3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A64DDF1-3B3E-4A9C-A12E-75C487F79239}" sourceName="Gender">
  <pivotTables>
    <pivotTable tabId="9" name="PivotTable8"/>
  </pivotTables>
  <data>
    <tabular pivotCacheId="79230948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71EFC53-CF0C-4DD9-BC2E-C264611DC08E}" sourceName="Years (Order_Date)">
  <pivotTables>
    <pivotTable tabId="9" name="PivotTable8"/>
  </pivotTables>
  <data>
    <tabular pivotCacheId="792309482">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0" xr10:uid="{6D9CCE4E-05EC-401D-B2EB-92A3D9431F82}" cache="Slicer_STORE0" caption="STORE0" startItem="12" rowHeight="241300"/>
  <slicer name="Gibson, Hobbs and Weaver" xr10:uid="{43BA849F-C957-4193-ABFB-C3288D3BE3FC}" cache="Slicer_Gibson__Hobbs_and_Weaver" caption="Gibson, Hobbs and Weaver" startItem="33" rowHeight="241300"/>
  <slicer name="Gender" xr10:uid="{2284D484-A2B2-4E9F-8F2E-43A67805E562}" cache="Slicer_Gender" caption="Gender" rowHeight="241300"/>
  <slicer name="Years (Order_Date)" xr10:uid="{B52A34C8-1303-4E54-B3B6-144EC8DCB512}" cache="Slicer_Years__Order_Date" caption="Years (Order_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504812-FAAC-446A-8284-2CB765B17B0A}" name="Table1" displayName="Table1" ref="A1:E60" totalsRowShown="0">
  <autoFilter ref="A1:E60" xr:uid="{CB504812-FAAC-446A-8284-2CB765B17B0A}"/>
  <tableColumns count="5">
    <tableColumn id="1" xr3:uid="{219FB153-3921-4B6B-A83C-D3CECF5073D7}" name="Age"/>
    <tableColumn id="2" xr3:uid="{2A59A1C4-E07F-4D6F-82BF-F4EAFA3A5E49}" name="Loyalty_Level"/>
    <tableColumn id="3" xr3:uid="{D77BEEAF-EC5E-413C-B196-89A930FB56D5}" name="Forecast(Loyalty_Level)">
      <calculatedColumnFormula>_xlfn.FORECAST.ETS(A2,$B$2:$B$48,$A$2:$A$48,1,1)</calculatedColumnFormula>
    </tableColumn>
    <tableColumn id="4" xr3:uid="{F7EEF8CF-D910-4A06-A366-DEAC193A2B36}" name="Lower Confidence Bound(Loyalty_Level)" dataDxfId="4">
      <calculatedColumnFormula>C2-_xlfn.FORECAST.ETS.CONFINT(A2,$B$2:$B$48,$A$2:$A$48,0.95,1,1)</calculatedColumnFormula>
    </tableColumn>
    <tableColumn id="5" xr3:uid="{130736DC-D536-44C7-8BF8-B6A698EDE343}" name="Upper Confidence Bound(Loyalty_Level)" dataDxfId="3">
      <calculatedColumnFormula>C2+_xlfn.FORECAST.ETS.CONFINT(A2,$B$2:$B$48,$A$2:$A$48,0.95,1,1)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workbookViewId="0">
      <selection activeCell="I11" sqref="I11"/>
    </sheetView>
  </sheetViews>
  <sheetFormatPr defaultRowHeight="15" x14ac:dyDescent="0.25"/>
  <cols>
    <col min="1" max="1" width="19.5703125" customWidth="1"/>
    <col min="2" max="2" width="7.7109375" customWidth="1"/>
    <col min="3" max="3" width="13.5703125" customWidth="1"/>
    <col min="4" max="4" width="17.5703125" customWidth="1"/>
    <col min="5" max="5" width="12.7109375" customWidth="1"/>
    <col min="6" max="6" width="18.5703125" customWidth="1"/>
  </cols>
  <sheetData>
    <row r="1" spans="1:12" x14ac:dyDescent="0.25">
      <c r="A1" s="1" t="s">
        <v>0</v>
      </c>
      <c r="B1" s="1" t="s">
        <v>1</v>
      </c>
      <c r="C1" s="1" t="s">
        <v>2</v>
      </c>
      <c r="D1" s="1" t="s">
        <v>4</v>
      </c>
      <c r="E1" s="1" t="s">
        <v>5</v>
      </c>
      <c r="F1" s="1" t="s">
        <v>6</v>
      </c>
    </row>
    <row r="2" spans="1:12" x14ac:dyDescent="0.25">
      <c r="A2" t="s">
        <v>7</v>
      </c>
      <c r="B2">
        <v>55</v>
      </c>
      <c r="C2" t="s">
        <v>8</v>
      </c>
      <c r="D2" t="s">
        <v>9</v>
      </c>
      <c r="E2" t="s">
        <v>10</v>
      </c>
      <c r="F2" t="str">
        <f>IF(ISBLANK(F20),"UNKNOWN",F20)</f>
        <v>UNKNOWN</v>
      </c>
    </row>
    <row r="3" spans="1:12" x14ac:dyDescent="0.25">
      <c r="A3" t="s">
        <v>12</v>
      </c>
      <c r="B3">
        <v>26</v>
      </c>
      <c r="C3" t="s">
        <v>13</v>
      </c>
      <c r="D3" t="s">
        <v>14</v>
      </c>
      <c r="E3" t="s">
        <v>10</v>
      </c>
      <c r="F3" t="s">
        <v>15</v>
      </c>
    </row>
    <row r="4" spans="1:12" x14ac:dyDescent="0.25">
      <c r="A4" t="s">
        <v>16</v>
      </c>
      <c r="B4">
        <v>29</v>
      </c>
      <c r="C4" t="s">
        <v>13</v>
      </c>
      <c r="D4" t="s">
        <v>17</v>
      </c>
      <c r="E4" t="s">
        <v>10</v>
      </c>
      <c r="F4" t="s">
        <v>15</v>
      </c>
      <c r="H4" t="s">
        <v>2857</v>
      </c>
      <c r="K4" t="s">
        <v>2860</v>
      </c>
      <c r="L4" t="s">
        <v>2859</v>
      </c>
    </row>
    <row r="5" spans="1:12" x14ac:dyDescent="0.25">
      <c r="A5" t="s">
        <v>18</v>
      </c>
      <c r="B5">
        <v>59</v>
      </c>
      <c r="C5" t="s">
        <v>13</v>
      </c>
      <c r="D5" t="s">
        <v>19</v>
      </c>
      <c r="E5" t="s">
        <v>10</v>
      </c>
      <c r="F5" t="s">
        <v>20</v>
      </c>
    </row>
    <row r="6" spans="1:12" x14ac:dyDescent="0.25">
      <c r="A6" t="s">
        <v>21</v>
      </c>
      <c r="B6">
        <v>64</v>
      </c>
      <c r="C6" t="s">
        <v>13</v>
      </c>
      <c r="D6" t="s">
        <v>22</v>
      </c>
      <c r="E6" t="s">
        <v>10</v>
      </c>
      <c r="F6" t="s">
        <v>23</v>
      </c>
      <c r="H6" s="3">
        <f>AVERAGE(B:B)</f>
        <v>41.561999999999998</v>
      </c>
      <c r="J6" s="5" t="s">
        <v>2861</v>
      </c>
    </row>
    <row r="7" spans="1:12" x14ac:dyDescent="0.25">
      <c r="A7" t="s">
        <v>24</v>
      </c>
      <c r="B7">
        <v>24</v>
      </c>
      <c r="C7" t="s">
        <v>8</v>
      </c>
      <c r="D7" t="s">
        <v>25</v>
      </c>
      <c r="E7" t="s">
        <v>10</v>
      </c>
      <c r="F7" t="s">
        <v>20</v>
      </c>
    </row>
    <row r="8" spans="1:12" x14ac:dyDescent="0.25">
      <c r="A8" t="s">
        <v>26</v>
      </c>
      <c r="B8">
        <v>29</v>
      </c>
      <c r="C8" t="s">
        <v>13</v>
      </c>
      <c r="D8" t="s">
        <v>27</v>
      </c>
      <c r="E8" t="s">
        <v>10</v>
      </c>
      <c r="F8" t="s">
        <v>15</v>
      </c>
      <c r="H8" t="s">
        <v>2858</v>
      </c>
    </row>
    <row r="9" spans="1:12" x14ac:dyDescent="0.25">
      <c r="A9" t="s">
        <v>28</v>
      </c>
      <c r="B9">
        <v>29</v>
      </c>
      <c r="C9" t="s">
        <v>13</v>
      </c>
      <c r="D9" t="s">
        <v>29</v>
      </c>
      <c r="E9" t="s">
        <v>10</v>
      </c>
      <c r="F9" t="s">
        <v>20</v>
      </c>
    </row>
    <row r="10" spans="1:12" x14ac:dyDescent="0.25">
      <c r="A10" t="s">
        <v>30</v>
      </c>
      <c r="B10">
        <v>53</v>
      </c>
      <c r="C10" t="s">
        <v>13</v>
      </c>
      <c r="D10" t="s">
        <v>31</v>
      </c>
      <c r="E10" t="s">
        <v>10</v>
      </c>
      <c r="F10" t="s">
        <v>11</v>
      </c>
      <c r="H10">
        <f>COUNTIF(F:F,"Platinum")</f>
        <v>145</v>
      </c>
      <c r="J10" t="s">
        <v>2862</v>
      </c>
    </row>
    <row r="11" spans="1:12" x14ac:dyDescent="0.25">
      <c r="A11" t="s">
        <v>32</v>
      </c>
      <c r="B11">
        <v>64</v>
      </c>
      <c r="C11" t="s">
        <v>8</v>
      </c>
      <c r="D11" t="s">
        <v>33</v>
      </c>
      <c r="E11" t="s">
        <v>10</v>
      </c>
      <c r="F11" t="s">
        <v>15</v>
      </c>
    </row>
    <row r="12" spans="1:12" x14ac:dyDescent="0.25">
      <c r="A12" t="s">
        <v>34</v>
      </c>
      <c r="B12">
        <v>53</v>
      </c>
      <c r="C12" t="s">
        <v>8</v>
      </c>
      <c r="D12" t="s">
        <v>33</v>
      </c>
      <c r="E12" t="s">
        <v>10</v>
      </c>
      <c r="F12" t="s">
        <v>20</v>
      </c>
    </row>
    <row r="13" spans="1:12" x14ac:dyDescent="0.25">
      <c r="A13" t="s">
        <v>35</v>
      </c>
      <c r="B13">
        <v>28</v>
      </c>
      <c r="C13" t="s">
        <v>13</v>
      </c>
      <c r="D13" t="s">
        <v>36</v>
      </c>
      <c r="E13" t="s">
        <v>10</v>
      </c>
      <c r="F13" t="s">
        <v>11</v>
      </c>
    </row>
    <row r="14" spans="1:12" x14ac:dyDescent="0.25">
      <c r="A14" t="s">
        <v>37</v>
      </c>
      <c r="B14">
        <v>55</v>
      </c>
      <c r="C14" t="s">
        <v>13</v>
      </c>
      <c r="D14" t="s">
        <v>38</v>
      </c>
      <c r="E14" t="s">
        <v>10</v>
      </c>
      <c r="F14" t="s">
        <v>15</v>
      </c>
    </row>
    <row r="15" spans="1:12" x14ac:dyDescent="0.25">
      <c r="A15" t="s">
        <v>39</v>
      </c>
      <c r="B15">
        <v>32</v>
      </c>
      <c r="C15" t="s">
        <v>13</v>
      </c>
      <c r="D15" t="s">
        <v>40</v>
      </c>
      <c r="E15" t="s">
        <v>10</v>
      </c>
      <c r="F15" t="s">
        <v>23</v>
      </c>
    </row>
    <row r="16" spans="1:12" x14ac:dyDescent="0.25">
      <c r="A16" t="s">
        <v>41</v>
      </c>
      <c r="B16">
        <v>53</v>
      </c>
      <c r="C16" t="s">
        <v>13</v>
      </c>
      <c r="D16" t="s">
        <v>42</v>
      </c>
      <c r="E16" t="s">
        <v>10</v>
      </c>
      <c r="F16" t="s">
        <v>23</v>
      </c>
    </row>
    <row r="17" spans="1:6" x14ac:dyDescent="0.25">
      <c r="A17" t="s">
        <v>43</v>
      </c>
      <c r="B17">
        <v>49</v>
      </c>
      <c r="C17" t="s">
        <v>13</v>
      </c>
      <c r="D17" t="s">
        <v>44</v>
      </c>
      <c r="E17" t="s">
        <v>10</v>
      </c>
      <c r="F17" t="s">
        <v>15</v>
      </c>
    </row>
    <row r="18" spans="1:6" x14ac:dyDescent="0.25">
      <c r="A18" t="s">
        <v>45</v>
      </c>
      <c r="B18">
        <v>24</v>
      </c>
      <c r="C18" t="s">
        <v>13</v>
      </c>
      <c r="D18" t="s">
        <v>33</v>
      </c>
      <c r="E18" t="s">
        <v>10</v>
      </c>
      <c r="F18" t="s">
        <v>20</v>
      </c>
    </row>
    <row r="19" spans="1:6" x14ac:dyDescent="0.25">
      <c r="A19" t="s">
        <v>46</v>
      </c>
      <c r="B19">
        <v>60</v>
      </c>
      <c r="C19" t="s">
        <v>13</v>
      </c>
      <c r="D19" t="s">
        <v>47</v>
      </c>
      <c r="E19" t="s">
        <v>10</v>
      </c>
      <c r="F19" t="s">
        <v>15</v>
      </c>
    </row>
    <row r="20" spans="1:6" x14ac:dyDescent="0.25">
      <c r="A20" t="s">
        <v>48</v>
      </c>
      <c r="B20">
        <v>43</v>
      </c>
      <c r="C20" t="s">
        <v>8</v>
      </c>
      <c r="D20" t="s">
        <v>38</v>
      </c>
      <c r="E20" t="s">
        <v>10</v>
      </c>
      <c r="F20" t="s">
        <v>2855</v>
      </c>
    </row>
    <row r="21" spans="1:6" x14ac:dyDescent="0.25">
      <c r="A21" t="s">
        <v>49</v>
      </c>
      <c r="B21">
        <v>46</v>
      </c>
      <c r="C21" t="s">
        <v>13</v>
      </c>
      <c r="D21" t="s">
        <v>50</v>
      </c>
      <c r="E21" t="s">
        <v>10</v>
      </c>
      <c r="F21" t="s">
        <v>15</v>
      </c>
    </row>
    <row r="22" spans="1:6" x14ac:dyDescent="0.25">
      <c r="A22" t="s">
        <v>51</v>
      </c>
      <c r="B22">
        <v>59</v>
      </c>
      <c r="C22" t="s">
        <v>8</v>
      </c>
      <c r="D22" t="s">
        <v>52</v>
      </c>
      <c r="E22" t="s">
        <v>10</v>
      </c>
      <c r="F22" t="s">
        <v>23</v>
      </c>
    </row>
    <row r="23" spans="1:6" x14ac:dyDescent="0.25">
      <c r="A23" t="s">
        <v>53</v>
      </c>
      <c r="B23">
        <v>36</v>
      </c>
      <c r="C23" t="s">
        <v>13</v>
      </c>
      <c r="D23" t="s">
        <v>54</v>
      </c>
      <c r="E23" t="s">
        <v>10</v>
      </c>
      <c r="F23" t="s">
        <v>11</v>
      </c>
    </row>
    <row r="24" spans="1:6" x14ac:dyDescent="0.25">
      <c r="A24" t="s">
        <v>55</v>
      </c>
      <c r="B24">
        <v>33</v>
      </c>
      <c r="C24" t="s">
        <v>13</v>
      </c>
      <c r="D24" t="s">
        <v>56</v>
      </c>
      <c r="E24" t="s">
        <v>10</v>
      </c>
      <c r="F24" t="s">
        <v>23</v>
      </c>
    </row>
    <row r="25" spans="1:6" x14ac:dyDescent="0.25">
      <c r="A25" t="s">
        <v>57</v>
      </c>
      <c r="B25">
        <v>52</v>
      </c>
      <c r="C25" t="s">
        <v>13</v>
      </c>
      <c r="D25" t="s">
        <v>25</v>
      </c>
      <c r="E25" t="s">
        <v>10</v>
      </c>
      <c r="F25" t="s">
        <v>23</v>
      </c>
    </row>
    <row r="26" spans="1:6" x14ac:dyDescent="0.25">
      <c r="A26" t="s">
        <v>58</v>
      </c>
      <c r="B26">
        <v>40</v>
      </c>
      <c r="C26" t="s">
        <v>8</v>
      </c>
      <c r="D26" t="s">
        <v>59</v>
      </c>
      <c r="E26" t="s">
        <v>10</v>
      </c>
      <c r="F26" t="s">
        <v>15</v>
      </c>
    </row>
    <row r="27" spans="1:6" x14ac:dyDescent="0.25">
      <c r="A27" t="s">
        <v>60</v>
      </c>
      <c r="B27">
        <v>59</v>
      </c>
      <c r="C27" t="s">
        <v>13</v>
      </c>
      <c r="D27" t="s">
        <v>22</v>
      </c>
      <c r="E27" t="s">
        <v>10</v>
      </c>
      <c r="F27" t="s">
        <v>20</v>
      </c>
    </row>
    <row r="28" spans="1:6" x14ac:dyDescent="0.25">
      <c r="A28" t="s">
        <v>61</v>
      </c>
      <c r="B28">
        <v>18</v>
      </c>
      <c r="C28" t="s">
        <v>13</v>
      </c>
      <c r="D28" t="s">
        <v>62</v>
      </c>
      <c r="E28" t="s">
        <v>10</v>
      </c>
      <c r="F28" t="s">
        <v>11</v>
      </c>
    </row>
    <row r="29" spans="1:6" x14ac:dyDescent="0.25">
      <c r="A29" t="s">
        <v>63</v>
      </c>
      <c r="B29">
        <v>31</v>
      </c>
      <c r="C29" t="s">
        <v>8</v>
      </c>
      <c r="D29" t="s">
        <v>64</v>
      </c>
      <c r="E29" t="s">
        <v>10</v>
      </c>
      <c r="F29" t="s">
        <v>2855</v>
      </c>
    </row>
    <row r="30" spans="1:6" x14ac:dyDescent="0.25">
      <c r="A30" t="s">
        <v>65</v>
      </c>
      <c r="B30">
        <v>27</v>
      </c>
      <c r="C30" t="s">
        <v>13</v>
      </c>
      <c r="D30" t="s">
        <v>50</v>
      </c>
      <c r="E30" t="s">
        <v>10</v>
      </c>
      <c r="F30" t="s">
        <v>15</v>
      </c>
    </row>
    <row r="31" spans="1:6" x14ac:dyDescent="0.25">
      <c r="A31" t="s">
        <v>66</v>
      </c>
      <c r="B31">
        <v>54</v>
      </c>
      <c r="C31" t="s">
        <v>13</v>
      </c>
      <c r="D31" t="s">
        <v>22</v>
      </c>
      <c r="E31" t="s">
        <v>10</v>
      </c>
      <c r="F31" t="s">
        <v>23</v>
      </c>
    </row>
    <row r="32" spans="1:6" x14ac:dyDescent="0.25">
      <c r="A32" t="s">
        <v>67</v>
      </c>
      <c r="B32">
        <v>64</v>
      </c>
      <c r="C32" t="s">
        <v>13</v>
      </c>
      <c r="D32" t="s">
        <v>33</v>
      </c>
      <c r="E32" t="s">
        <v>10</v>
      </c>
      <c r="F32" t="s">
        <v>20</v>
      </c>
    </row>
    <row r="33" spans="1:6" x14ac:dyDescent="0.25">
      <c r="A33" t="s">
        <v>68</v>
      </c>
      <c r="B33">
        <v>41</v>
      </c>
      <c r="C33" t="s">
        <v>8</v>
      </c>
      <c r="D33" t="s">
        <v>25</v>
      </c>
      <c r="E33" t="s">
        <v>10</v>
      </c>
      <c r="F33" t="s">
        <v>23</v>
      </c>
    </row>
    <row r="34" spans="1:6" x14ac:dyDescent="0.25">
      <c r="A34" t="s">
        <v>70</v>
      </c>
      <c r="B34">
        <v>48</v>
      </c>
      <c r="C34" t="s">
        <v>13</v>
      </c>
      <c r="D34" t="s">
        <v>71</v>
      </c>
      <c r="E34" t="s">
        <v>10</v>
      </c>
      <c r="F34" t="s">
        <v>11</v>
      </c>
    </row>
    <row r="35" spans="1:6" x14ac:dyDescent="0.25">
      <c r="A35" t="s">
        <v>72</v>
      </c>
      <c r="B35">
        <v>25</v>
      </c>
      <c r="C35" t="s">
        <v>8</v>
      </c>
      <c r="D35" t="s">
        <v>54</v>
      </c>
      <c r="E35" t="s">
        <v>10</v>
      </c>
      <c r="F35" t="s">
        <v>15</v>
      </c>
    </row>
    <row r="36" spans="1:6" x14ac:dyDescent="0.25">
      <c r="A36" t="s">
        <v>73</v>
      </c>
      <c r="B36">
        <v>27</v>
      </c>
      <c r="C36" t="s">
        <v>13</v>
      </c>
      <c r="D36" t="s">
        <v>74</v>
      </c>
      <c r="E36" t="s">
        <v>10</v>
      </c>
      <c r="F36" t="s">
        <v>15</v>
      </c>
    </row>
    <row r="37" spans="1:6" x14ac:dyDescent="0.25">
      <c r="A37" t="s">
        <v>75</v>
      </c>
      <c r="B37">
        <v>52</v>
      </c>
      <c r="C37" t="s">
        <v>8</v>
      </c>
      <c r="D37" t="s">
        <v>14</v>
      </c>
      <c r="E37" t="s">
        <v>10</v>
      </c>
      <c r="F37" t="s">
        <v>23</v>
      </c>
    </row>
    <row r="38" spans="1:6" x14ac:dyDescent="0.25">
      <c r="A38" t="s">
        <v>76</v>
      </c>
      <c r="B38">
        <v>20</v>
      </c>
      <c r="C38" t="s">
        <v>13</v>
      </c>
      <c r="D38" t="s">
        <v>47</v>
      </c>
      <c r="E38" t="s">
        <v>10</v>
      </c>
      <c r="F38" t="s">
        <v>11</v>
      </c>
    </row>
    <row r="39" spans="1:6" x14ac:dyDescent="0.25">
      <c r="A39" t="s">
        <v>77</v>
      </c>
      <c r="B39">
        <v>27</v>
      </c>
      <c r="C39" t="s">
        <v>13</v>
      </c>
      <c r="D39" t="s">
        <v>27</v>
      </c>
      <c r="E39" t="s">
        <v>10</v>
      </c>
      <c r="F39" t="s">
        <v>2855</v>
      </c>
    </row>
    <row r="40" spans="1:6" x14ac:dyDescent="0.25">
      <c r="A40" t="s">
        <v>78</v>
      </c>
      <c r="B40">
        <v>35</v>
      </c>
      <c r="C40" t="s">
        <v>13</v>
      </c>
      <c r="D40" t="s">
        <v>14</v>
      </c>
      <c r="E40" t="s">
        <v>10</v>
      </c>
      <c r="F40" t="s">
        <v>20</v>
      </c>
    </row>
    <row r="41" spans="1:6" x14ac:dyDescent="0.25">
      <c r="A41" t="s">
        <v>79</v>
      </c>
      <c r="B41">
        <v>55</v>
      </c>
      <c r="C41" t="s">
        <v>13</v>
      </c>
      <c r="D41" t="s">
        <v>80</v>
      </c>
      <c r="E41" t="s">
        <v>10</v>
      </c>
      <c r="F41" t="s">
        <v>11</v>
      </c>
    </row>
    <row r="42" spans="1:6" x14ac:dyDescent="0.25">
      <c r="A42" t="s">
        <v>81</v>
      </c>
      <c r="B42">
        <v>50</v>
      </c>
      <c r="C42" t="s">
        <v>8</v>
      </c>
      <c r="D42" t="s">
        <v>38</v>
      </c>
      <c r="E42" t="s">
        <v>10</v>
      </c>
      <c r="F42" t="s">
        <v>11</v>
      </c>
    </row>
    <row r="43" spans="1:6" x14ac:dyDescent="0.25">
      <c r="A43" t="s">
        <v>82</v>
      </c>
      <c r="B43">
        <v>21</v>
      </c>
      <c r="C43" t="s">
        <v>8</v>
      </c>
      <c r="D43" t="s">
        <v>83</v>
      </c>
      <c r="E43" t="s">
        <v>10</v>
      </c>
      <c r="F43" t="s">
        <v>15</v>
      </c>
    </row>
    <row r="44" spans="1:6" x14ac:dyDescent="0.25">
      <c r="A44" t="s">
        <v>84</v>
      </c>
      <c r="B44">
        <v>19</v>
      </c>
      <c r="C44" t="s">
        <v>8</v>
      </c>
      <c r="D44" t="s">
        <v>85</v>
      </c>
      <c r="E44" t="s">
        <v>10</v>
      </c>
      <c r="F44" t="s">
        <v>15</v>
      </c>
    </row>
    <row r="45" spans="1:6" x14ac:dyDescent="0.25">
      <c r="A45" t="s">
        <v>86</v>
      </c>
      <c r="B45">
        <v>45</v>
      </c>
      <c r="C45" t="s">
        <v>8</v>
      </c>
      <c r="D45" t="s">
        <v>87</v>
      </c>
      <c r="E45" t="s">
        <v>10</v>
      </c>
      <c r="F45" t="s">
        <v>11</v>
      </c>
    </row>
    <row r="46" spans="1:6" x14ac:dyDescent="0.25">
      <c r="A46" t="s">
        <v>88</v>
      </c>
      <c r="B46">
        <v>34</v>
      </c>
      <c r="C46" t="s">
        <v>8</v>
      </c>
      <c r="D46" t="s">
        <v>56</v>
      </c>
      <c r="E46" t="s">
        <v>10</v>
      </c>
      <c r="F46" t="s">
        <v>20</v>
      </c>
    </row>
    <row r="47" spans="1:6" x14ac:dyDescent="0.25">
      <c r="A47" t="s">
        <v>89</v>
      </c>
      <c r="B47">
        <v>54</v>
      </c>
      <c r="C47" t="s">
        <v>8</v>
      </c>
      <c r="D47" t="s">
        <v>71</v>
      </c>
      <c r="E47" t="s">
        <v>10</v>
      </c>
      <c r="F47" t="s">
        <v>11</v>
      </c>
    </row>
    <row r="48" spans="1:6" x14ac:dyDescent="0.25">
      <c r="A48" t="s">
        <v>90</v>
      </c>
      <c r="B48">
        <v>55</v>
      </c>
      <c r="C48" t="s">
        <v>13</v>
      </c>
      <c r="D48" t="s">
        <v>19</v>
      </c>
      <c r="E48" t="s">
        <v>10</v>
      </c>
      <c r="F48" t="s">
        <v>15</v>
      </c>
    </row>
    <row r="49" spans="1:6" x14ac:dyDescent="0.25">
      <c r="A49" t="s">
        <v>91</v>
      </c>
      <c r="B49">
        <v>54</v>
      </c>
      <c r="C49" t="s">
        <v>13</v>
      </c>
      <c r="D49" t="s">
        <v>92</v>
      </c>
      <c r="E49" t="s">
        <v>10</v>
      </c>
      <c r="F49" t="s">
        <v>23</v>
      </c>
    </row>
    <row r="50" spans="1:6" x14ac:dyDescent="0.25">
      <c r="A50" t="s">
        <v>93</v>
      </c>
      <c r="B50">
        <v>54</v>
      </c>
      <c r="C50" t="s">
        <v>8</v>
      </c>
      <c r="D50" t="s">
        <v>9</v>
      </c>
      <c r="E50" t="s">
        <v>10</v>
      </c>
      <c r="F50" t="s">
        <v>15</v>
      </c>
    </row>
    <row r="51" spans="1:6" x14ac:dyDescent="0.25">
      <c r="A51" t="s">
        <v>94</v>
      </c>
      <c r="B51">
        <v>45</v>
      </c>
      <c r="C51" t="s">
        <v>13</v>
      </c>
      <c r="D51" t="s">
        <v>19</v>
      </c>
      <c r="E51" t="s">
        <v>10</v>
      </c>
      <c r="F51" t="s">
        <v>11</v>
      </c>
    </row>
    <row r="52" spans="1:6" x14ac:dyDescent="0.25">
      <c r="A52" t="s">
        <v>95</v>
      </c>
      <c r="B52">
        <v>61</v>
      </c>
      <c r="C52" t="s">
        <v>13</v>
      </c>
      <c r="D52" t="s">
        <v>96</v>
      </c>
      <c r="E52" t="s">
        <v>10</v>
      </c>
      <c r="F52" t="s">
        <v>11</v>
      </c>
    </row>
    <row r="53" spans="1:6" x14ac:dyDescent="0.25">
      <c r="A53" t="s">
        <v>97</v>
      </c>
      <c r="B53">
        <v>23</v>
      </c>
      <c r="C53" t="s">
        <v>13</v>
      </c>
      <c r="D53" t="s">
        <v>29</v>
      </c>
      <c r="E53" t="s">
        <v>10</v>
      </c>
      <c r="F53" t="s">
        <v>11</v>
      </c>
    </row>
    <row r="54" spans="1:6" x14ac:dyDescent="0.25">
      <c r="A54" t="s">
        <v>98</v>
      </c>
      <c r="B54">
        <v>55</v>
      </c>
      <c r="C54" t="s">
        <v>8</v>
      </c>
      <c r="D54" t="s">
        <v>99</v>
      </c>
      <c r="E54" t="s">
        <v>10</v>
      </c>
      <c r="F54" t="s">
        <v>20</v>
      </c>
    </row>
    <row r="55" spans="1:6" x14ac:dyDescent="0.25">
      <c r="A55" t="s">
        <v>100</v>
      </c>
      <c r="B55">
        <v>37</v>
      </c>
      <c r="C55" t="s">
        <v>13</v>
      </c>
      <c r="D55" t="s">
        <v>80</v>
      </c>
      <c r="E55" t="s">
        <v>10</v>
      </c>
      <c r="F55" t="s">
        <v>11</v>
      </c>
    </row>
    <row r="56" spans="1:6" x14ac:dyDescent="0.25">
      <c r="A56" t="s">
        <v>101</v>
      </c>
      <c r="B56">
        <v>24</v>
      </c>
      <c r="C56" t="s">
        <v>8</v>
      </c>
      <c r="D56" t="s">
        <v>54</v>
      </c>
      <c r="E56" t="s">
        <v>10</v>
      </c>
      <c r="F56" t="s">
        <v>15</v>
      </c>
    </row>
    <row r="57" spans="1:6" x14ac:dyDescent="0.25">
      <c r="A57" t="s">
        <v>103</v>
      </c>
      <c r="B57">
        <v>56</v>
      </c>
      <c r="C57" t="s">
        <v>13</v>
      </c>
      <c r="D57" t="s">
        <v>99</v>
      </c>
      <c r="E57" t="s">
        <v>10</v>
      </c>
      <c r="F57" t="s">
        <v>20</v>
      </c>
    </row>
    <row r="58" spans="1:6" x14ac:dyDescent="0.25">
      <c r="A58" t="s">
        <v>104</v>
      </c>
      <c r="B58">
        <v>49</v>
      </c>
      <c r="C58" t="s">
        <v>13</v>
      </c>
      <c r="D58" t="s">
        <v>33</v>
      </c>
      <c r="E58" t="s">
        <v>10</v>
      </c>
      <c r="F58" t="s">
        <v>11</v>
      </c>
    </row>
    <row r="59" spans="1:6" x14ac:dyDescent="0.25">
      <c r="A59" t="s">
        <v>105</v>
      </c>
      <c r="B59">
        <v>43</v>
      </c>
      <c r="C59" t="s">
        <v>13</v>
      </c>
      <c r="D59" t="s">
        <v>106</v>
      </c>
      <c r="E59" t="s">
        <v>10</v>
      </c>
      <c r="F59" t="s">
        <v>15</v>
      </c>
    </row>
    <row r="60" spans="1:6" x14ac:dyDescent="0.25">
      <c r="A60" t="s">
        <v>107</v>
      </c>
      <c r="B60">
        <v>51</v>
      </c>
      <c r="C60" t="s">
        <v>8</v>
      </c>
      <c r="D60" t="s">
        <v>74</v>
      </c>
      <c r="E60" t="s">
        <v>10</v>
      </c>
      <c r="F60" t="s">
        <v>15</v>
      </c>
    </row>
    <row r="61" spans="1:6" x14ac:dyDescent="0.25">
      <c r="A61" t="s">
        <v>108</v>
      </c>
      <c r="B61">
        <v>53</v>
      </c>
      <c r="C61" t="s">
        <v>8</v>
      </c>
      <c r="D61" t="s">
        <v>40</v>
      </c>
      <c r="E61" t="s">
        <v>10</v>
      </c>
      <c r="F61" t="s">
        <v>15</v>
      </c>
    </row>
    <row r="62" spans="1:6" x14ac:dyDescent="0.25">
      <c r="A62" t="s">
        <v>109</v>
      </c>
      <c r="B62">
        <v>22</v>
      </c>
      <c r="C62" t="s">
        <v>13</v>
      </c>
      <c r="D62" t="s">
        <v>83</v>
      </c>
      <c r="E62" t="s">
        <v>10</v>
      </c>
      <c r="F62" t="s">
        <v>23</v>
      </c>
    </row>
    <row r="63" spans="1:6" x14ac:dyDescent="0.25">
      <c r="A63" t="s">
        <v>110</v>
      </c>
      <c r="B63">
        <v>23</v>
      </c>
      <c r="C63" t="s">
        <v>8</v>
      </c>
      <c r="D63" t="s">
        <v>62</v>
      </c>
      <c r="E63" t="s">
        <v>10</v>
      </c>
      <c r="F63" t="s">
        <v>23</v>
      </c>
    </row>
    <row r="64" spans="1:6" x14ac:dyDescent="0.25">
      <c r="A64" t="s">
        <v>111</v>
      </c>
      <c r="B64">
        <v>50</v>
      </c>
      <c r="C64" t="s">
        <v>8</v>
      </c>
      <c r="D64" t="s">
        <v>112</v>
      </c>
      <c r="E64" t="s">
        <v>10</v>
      </c>
      <c r="F64" t="s">
        <v>20</v>
      </c>
    </row>
    <row r="65" spans="1:6" x14ac:dyDescent="0.25">
      <c r="A65" t="s">
        <v>113</v>
      </c>
      <c r="B65">
        <v>51</v>
      </c>
      <c r="C65" t="s">
        <v>8</v>
      </c>
      <c r="D65" t="s">
        <v>114</v>
      </c>
      <c r="E65" t="s">
        <v>10</v>
      </c>
      <c r="F65" t="s">
        <v>15</v>
      </c>
    </row>
    <row r="66" spans="1:6" x14ac:dyDescent="0.25">
      <c r="A66" t="s">
        <v>115</v>
      </c>
      <c r="B66">
        <v>33</v>
      </c>
      <c r="C66" t="s">
        <v>8</v>
      </c>
      <c r="D66" t="s">
        <v>71</v>
      </c>
      <c r="E66" t="s">
        <v>10</v>
      </c>
      <c r="F66" t="s">
        <v>11</v>
      </c>
    </row>
    <row r="67" spans="1:6" x14ac:dyDescent="0.25">
      <c r="A67" t="s">
        <v>116</v>
      </c>
      <c r="B67">
        <v>21</v>
      </c>
      <c r="C67" t="s">
        <v>13</v>
      </c>
      <c r="D67" t="s">
        <v>92</v>
      </c>
      <c r="E67" t="s">
        <v>10</v>
      </c>
      <c r="F67" t="s">
        <v>23</v>
      </c>
    </row>
    <row r="68" spans="1:6" x14ac:dyDescent="0.25">
      <c r="A68" t="s">
        <v>117</v>
      </c>
      <c r="B68">
        <v>27</v>
      </c>
      <c r="C68" t="s">
        <v>13</v>
      </c>
      <c r="D68" t="s">
        <v>31</v>
      </c>
      <c r="E68" t="s">
        <v>10</v>
      </c>
      <c r="F68" t="s">
        <v>23</v>
      </c>
    </row>
    <row r="69" spans="1:6" x14ac:dyDescent="0.25">
      <c r="A69" t="s">
        <v>118</v>
      </c>
      <c r="B69">
        <v>58</v>
      </c>
      <c r="C69" t="s">
        <v>8</v>
      </c>
      <c r="D69" t="s">
        <v>119</v>
      </c>
      <c r="E69" t="s">
        <v>10</v>
      </c>
      <c r="F69" t="s">
        <v>23</v>
      </c>
    </row>
    <row r="70" spans="1:6" x14ac:dyDescent="0.25">
      <c r="A70" t="s">
        <v>120</v>
      </c>
      <c r="B70">
        <v>24</v>
      </c>
      <c r="C70" t="s">
        <v>13</v>
      </c>
      <c r="D70" t="s">
        <v>121</v>
      </c>
      <c r="E70" t="s">
        <v>10</v>
      </c>
      <c r="F70" t="s">
        <v>23</v>
      </c>
    </row>
    <row r="71" spans="1:6" x14ac:dyDescent="0.25">
      <c r="A71" t="s">
        <v>122</v>
      </c>
      <c r="B71">
        <v>24</v>
      </c>
      <c r="C71" t="s">
        <v>13</v>
      </c>
      <c r="D71" t="s">
        <v>50</v>
      </c>
      <c r="E71" t="s">
        <v>10</v>
      </c>
      <c r="F71" t="s">
        <v>15</v>
      </c>
    </row>
    <row r="72" spans="1:6" x14ac:dyDescent="0.25">
      <c r="A72" t="s">
        <v>123</v>
      </c>
      <c r="B72">
        <v>29</v>
      </c>
      <c r="C72" t="s">
        <v>13</v>
      </c>
      <c r="D72" t="s">
        <v>112</v>
      </c>
      <c r="E72" t="s">
        <v>10</v>
      </c>
      <c r="F72" t="s">
        <v>11</v>
      </c>
    </row>
    <row r="73" spans="1:6" x14ac:dyDescent="0.25">
      <c r="A73" t="s">
        <v>124</v>
      </c>
      <c r="B73">
        <v>61</v>
      </c>
      <c r="C73" t="s">
        <v>13</v>
      </c>
      <c r="D73" t="s">
        <v>112</v>
      </c>
      <c r="E73" t="s">
        <v>10</v>
      </c>
      <c r="F73" t="s">
        <v>11</v>
      </c>
    </row>
    <row r="74" spans="1:6" x14ac:dyDescent="0.25">
      <c r="A74" t="s">
        <v>125</v>
      </c>
      <c r="B74">
        <v>39</v>
      </c>
      <c r="C74" t="s">
        <v>13</v>
      </c>
      <c r="D74" t="s">
        <v>126</v>
      </c>
      <c r="E74" t="s">
        <v>10</v>
      </c>
      <c r="F74" t="s">
        <v>11</v>
      </c>
    </row>
    <row r="75" spans="1:6" x14ac:dyDescent="0.25">
      <c r="A75" t="s">
        <v>127</v>
      </c>
      <c r="B75">
        <v>56</v>
      </c>
      <c r="C75" t="s">
        <v>13</v>
      </c>
      <c r="D75" t="s">
        <v>29</v>
      </c>
      <c r="E75" t="s">
        <v>10</v>
      </c>
      <c r="F75" t="s">
        <v>23</v>
      </c>
    </row>
    <row r="76" spans="1:6" x14ac:dyDescent="0.25">
      <c r="A76" t="s">
        <v>128</v>
      </c>
      <c r="B76">
        <v>58</v>
      </c>
      <c r="C76" t="s">
        <v>8</v>
      </c>
      <c r="D76" t="s">
        <v>129</v>
      </c>
      <c r="E76" t="s">
        <v>10</v>
      </c>
      <c r="F76" t="s">
        <v>20</v>
      </c>
    </row>
    <row r="77" spans="1:6" x14ac:dyDescent="0.25">
      <c r="A77" t="s">
        <v>130</v>
      </c>
      <c r="B77">
        <v>61</v>
      </c>
      <c r="C77" t="s">
        <v>13</v>
      </c>
      <c r="D77" t="s">
        <v>22</v>
      </c>
      <c r="E77" t="s">
        <v>10</v>
      </c>
      <c r="F77" t="s">
        <v>11</v>
      </c>
    </row>
    <row r="78" spans="1:6" x14ac:dyDescent="0.25">
      <c r="A78" t="s">
        <v>131</v>
      </c>
      <c r="B78">
        <v>37</v>
      </c>
      <c r="C78" t="s">
        <v>8</v>
      </c>
      <c r="D78" t="s">
        <v>54</v>
      </c>
      <c r="E78" t="s">
        <v>10</v>
      </c>
      <c r="F78" t="s">
        <v>11</v>
      </c>
    </row>
    <row r="79" spans="1:6" x14ac:dyDescent="0.25">
      <c r="A79" t="s">
        <v>132</v>
      </c>
      <c r="B79">
        <v>29</v>
      </c>
      <c r="C79" t="s">
        <v>8</v>
      </c>
      <c r="D79" t="s">
        <v>87</v>
      </c>
      <c r="E79" t="s">
        <v>10</v>
      </c>
      <c r="F79" t="s">
        <v>11</v>
      </c>
    </row>
    <row r="80" spans="1:6" x14ac:dyDescent="0.25">
      <c r="A80" t="s">
        <v>133</v>
      </c>
      <c r="B80">
        <v>21</v>
      </c>
      <c r="C80" t="s">
        <v>8</v>
      </c>
      <c r="D80" t="s">
        <v>134</v>
      </c>
      <c r="E80" t="s">
        <v>10</v>
      </c>
      <c r="F80" t="s">
        <v>11</v>
      </c>
    </row>
    <row r="81" spans="1:6" x14ac:dyDescent="0.25">
      <c r="A81" t="s">
        <v>135</v>
      </c>
      <c r="B81">
        <v>22</v>
      </c>
      <c r="C81" t="s">
        <v>13</v>
      </c>
      <c r="D81" t="s">
        <v>136</v>
      </c>
      <c r="E81" t="s">
        <v>10</v>
      </c>
      <c r="F81" t="s">
        <v>15</v>
      </c>
    </row>
    <row r="82" spans="1:6" x14ac:dyDescent="0.25">
      <c r="A82" t="s">
        <v>137</v>
      </c>
      <c r="B82">
        <v>61</v>
      </c>
      <c r="C82" t="s">
        <v>13</v>
      </c>
      <c r="D82" t="s">
        <v>112</v>
      </c>
      <c r="E82" t="s">
        <v>10</v>
      </c>
      <c r="F82" t="s">
        <v>20</v>
      </c>
    </row>
    <row r="83" spans="1:6" x14ac:dyDescent="0.25">
      <c r="A83" t="s">
        <v>138</v>
      </c>
      <c r="B83">
        <v>34</v>
      </c>
      <c r="C83" t="s">
        <v>13</v>
      </c>
      <c r="D83" t="s">
        <v>71</v>
      </c>
      <c r="E83" t="s">
        <v>10</v>
      </c>
      <c r="F83" t="s">
        <v>15</v>
      </c>
    </row>
    <row r="84" spans="1:6" x14ac:dyDescent="0.25">
      <c r="A84" t="s">
        <v>139</v>
      </c>
      <c r="B84">
        <v>53</v>
      </c>
      <c r="C84" t="s">
        <v>8</v>
      </c>
      <c r="D84" t="s">
        <v>119</v>
      </c>
      <c r="E84" t="s">
        <v>10</v>
      </c>
      <c r="F84" t="s">
        <v>20</v>
      </c>
    </row>
    <row r="85" spans="1:6" x14ac:dyDescent="0.25">
      <c r="A85" t="s">
        <v>140</v>
      </c>
      <c r="B85">
        <v>48</v>
      </c>
      <c r="C85" t="s">
        <v>13</v>
      </c>
      <c r="D85" t="s">
        <v>47</v>
      </c>
      <c r="E85" t="s">
        <v>10</v>
      </c>
      <c r="F85" t="s">
        <v>20</v>
      </c>
    </row>
    <row r="86" spans="1:6" x14ac:dyDescent="0.25">
      <c r="A86" t="s">
        <v>141</v>
      </c>
      <c r="B86">
        <v>26</v>
      </c>
      <c r="C86" t="s">
        <v>13</v>
      </c>
      <c r="D86" t="s">
        <v>121</v>
      </c>
      <c r="E86" t="s">
        <v>10</v>
      </c>
      <c r="F86" t="s">
        <v>15</v>
      </c>
    </row>
    <row r="87" spans="1:6" x14ac:dyDescent="0.25">
      <c r="A87" t="s">
        <v>142</v>
      </c>
      <c r="B87">
        <v>36</v>
      </c>
      <c r="C87" t="s">
        <v>8</v>
      </c>
      <c r="D87" t="s">
        <v>33</v>
      </c>
      <c r="E87" t="s">
        <v>10</v>
      </c>
      <c r="F87" t="s">
        <v>23</v>
      </c>
    </row>
    <row r="88" spans="1:6" x14ac:dyDescent="0.25">
      <c r="A88" t="s">
        <v>143</v>
      </c>
      <c r="B88">
        <v>19</v>
      </c>
      <c r="C88" t="s">
        <v>13</v>
      </c>
      <c r="D88" t="s">
        <v>144</v>
      </c>
      <c r="E88" t="s">
        <v>10</v>
      </c>
      <c r="F88" t="s">
        <v>11</v>
      </c>
    </row>
    <row r="89" spans="1:6" x14ac:dyDescent="0.25">
      <c r="A89" t="s">
        <v>145</v>
      </c>
      <c r="B89">
        <v>58</v>
      </c>
      <c r="C89" t="s">
        <v>13</v>
      </c>
      <c r="D89" t="s">
        <v>146</v>
      </c>
      <c r="E89" t="s">
        <v>10</v>
      </c>
      <c r="F89" t="s">
        <v>20</v>
      </c>
    </row>
    <row r="90" spans="1:6" x14ac:dyDescent="0.25">
      <c r="A90" t="s">
        <v>147</v>
      </c>
      <c r="B90">
        <v>58</v>
      </c>
      <c r="C90" t="s">
        <v>8</v>
      </c>
      <c r="D90" t="s">
        <v>136</v>
      </c>
      <c r="E90" t="s">
        <v>10</v>
      </c>
      <c r="F90" t="s">
        <v>23</v>
      </c>
    </row>
    <row r="91" spans="1:6" x14ac:dyDescent="0.25">
      <c r="A91" t="s">
        <v>148</v>
      </c>
      <c r="B91">
        <v>43</v>
      </c>
      <c r="C91" t="s">
        <v>8</v>
      </c>
      <c r="D91" t="s">
        <v>149</v>
      </c>
      <c r="E91" t="s">
        <v>10</v>
      </c>
      <c r="F91" t="s">
        <v>15</v>
      </c>
    </row>
    <row r="92" spans="1:6" x14ac:dyDescent="0.25">
      <c r="A92" t="s">
        <v>150</v>
      </c>
      <c r="B92">
        <v>58</v>
      </c>
      <c r="C92" t="s">
        <v>13</v>
      </c>
      <c r="D92" t="s">
        <v>151</v>
      </c>
      <c r="E92" t="s">
        <v>10</v>
      </c>
      <c r="F92" t="s">
        <v>15</v>
      </c>
    </row>
    <row r="93" spans="1:6" x14ac:dyDescent="0.25">
      <c r="A93" t="s">
        <v>152</v>
      </c>
      <c r="B93">
        <v>29</v>
      </c>
      <c r="C93" t="s">
        <v>13</v>
      </c>
      <c r="D93" t="s">
        <v>71</v>
      </c>
      <c r="E93" t="s">
        <v>10</v>
      </c>
      <c r="F93" t="s">
        <v>23</v>
      </c>
    </row>
    <row r="94" spans="1:6" x14ac:dyDescent="0.25">
      <c r="A94" t="s">
        <v>153</v>
      </c>
      <c r="B94">
        <v>44</v>
      </c>
      <c r="C94" t="s">
        <v>13</v>
      </c>
      <c r="D94" t="s">
        <v>114</v>
      </c>
      <c r="E94" t="s">
        <v>10</v>
      </c>
      <c r="F94" t="s">
        <v>15</v>
      </c>
    </row>
    <row r="95" spans="1:6" x14ac:dyDescent="0.25">
      <c r="A95" t="s">
        <v>154</v>
      </c>
      <c r="B95">
        <v>28</v>
      </c>
      <c r="C95" t="s">
        <v>13</v>
      </c>
      <c r="D95" t="s">
        <v>146</v>
      </c>
      <c r="E95" t="s">
        <v>10</v>
      </c>
      <c r="F95" t="s">
        <v>11</v>
      </c>
    </row>
    <row r="96" spans="1:6" x14ac:dyDescent="0.25">
      <c r="A96" t="s">
        <v>155</v>
      </c>
      <c r="B96">
        <v>43</v>
      </c>
      <c r="C96" t="s">
        <v>13</v>
      </c>
      <c r="D96" t="s">
        <v>92</v>
      </c>
      <c r="E96" t="s">
        <v>10</v>
      </c>
      <c r="F96" t="s">
        <v>11</v>
      </c>
    </row>
    <row r="97" spans="1:6" x14ac:dyDescent="0.25">
      <c r="A97" t="s">
        <v>156</v>
      </c>
      <c r="B97">
        <v>62</v>
      </c>
      <c r="C97" t="s">
        <v>13</v>
      </c>
      <c r="D97" t="s">
        <v>36</v>
      </c>
      <c r="E97" t="s">
        <v>10</v>
      </c>
      <c r="F97" t="s">
        <v>15</v>
      </c>
    </row>
    <row r="98" spans="1:6" x14ac:dyDescent="0.25">
      <c r="A98" t="s">
        <v>157</v>
      </c>
      <c r="B98">
        <v>30</v>
      </c>
      <c r="C98" t="s">
        <v>13</v>
      </c>
      <c r="D98" t="s">
        <v>151</v>
      </c>
      <c r="E98" t="s">
        <v>10</v>
      </c>
      <c r="F98" t="s">
        <v>15</v>
      </c>
    </row>
    <row r="99" spans="1:6" x14ac:dyDescent="0.25">
      <c r="A99" t="s">
        <v>158</v>
      </c>
      <c r="B99">
        <v>36</v>
      </c>
      <c r="C99" t="s">
        <v>8</v>
      </c>
      <c r="D99" t="s">
        <v>27</v>
      </c>
      <c r="E99" t="s">
        <v>10</v>
      </c>
      <c r="F99" t="s">
        <v>23</v>
      </c>
    </row>
    <row r="100" spans="1:6" x14ac:dyDescent="0.25">
      <c r="A100" t="s">
        <v>159</v>
      </c>
      <c r="B100">
        <v>24</v>
      </c>
      <c r="C100" t="s">
        <v>8</v>
      </c>
      <c r="D100" t="s">
        <v>83</v>
      </c>
      <c r="E100" t="s">
        <v>10</v>
      </c>
      <c r="F100" t="s">
        <v>11</v>
      </c>
    </row>
    <row r="101" spans="1:6" x14ac:dyDescent="0.25">
      <c r="A101" t="s">
        <v>160</v>
      </c>
      <c r="B101">
        <v>35</v>
      </c>
      <c r="C101" t="s">
        <v>8</v>
      </c>
      <c r="D101" t="s">
        <v>114</v>
      </c>
      <c r="E101" t="s">
        <v>10</v>
      </c>
      <c r="F101" t="s">
        <v>23</v>
      </c>
    </row>
    <row r="102" spans="1:6" x14ac:dyDescent="0.25">
      <c r="A102" t="s">
        <v>161</v>
      </c>
      <c r="B102">
        <v>53</v>
      </c>
      <c r="C102" t="s">
        <v>13</v>
      </c>
      <c r="D102" t="s">
        <v>162</v>
      </c>
      <c r="E102" t="s">
        <v>10</v>
      </c>
      <c r="F102" t="s">
        <v>15</v>
      </c>
    </row>
    <row r="103" spans="1:6" x14ac:dyDescent="0.25">
      <c r="A103" t="s">
        <v>163</v>
      </c>
      <c r="B103">
        <v>29</v>
      </c>
      <c r="C103" t="s">
        <v>8</v>
      </c>
      <c r="D103" t="s">
        <v>64</v>
      </c>
      <c r="E103" t="s">
        <v>10</v>
      </c>
      <c r="F103" t="s">
        <v>11</v>
      </c>
    </row>
    <row r="104" spans="1:6" x14ac:dyDescent="0.25">
      <c r="A104" t="s">
        <v>164</v>
      </c>
      <c r="B104">
        <v>34</v>
      </c>
      <c r="C104" t="s">
        <v>13</v>
      </c>
      <c r="D104" t="s">
        <v>33</v>
      </c>
      <c r="E104" t="s">
        <v>10</v>
      </c>
      <c r="F104" t="s">
        <v>20</v>
      </c>
    </row>
    <row r="105" spans="1:6" x14ac:dyDescent="0.25">
      <c r="A105" t="s">
        <v>165</v>
      </c>
      <c r="B105">
        <v>21</v>
      </c>
      <c r="C105" t="s">
        <v>8</v>
      </c>
      <c r="D105" t="s">
        <v>85</v>
      </c>
      <c r="E105" t="s">
        <v>10</v>
      </c>
      <c r="F105" t="s">
        <v>20</v>
      </c>
    </row>
    <row r="106" spans="1:6" x14ac:dyDescent="0.25">
      <c r="A106" t="s">
        <v>166</v>
      </c>
      <c r="B106">
        <v>64</v>
      </c>
      <c r="C106" t="s">
        <v>8</v>
      </c>
      <c r="D106" t="s">
        <v>47</v>
      </c>
      <c r="E106" t="s">
        <v>10</v>
      </c>
      <c r="F106" t="s">
        <v>23</v>
      </c>
    </row>
    <row r="107" spans="1:6" x14ac:dyDescent="0.25">
      <c r="A107" t="s">
        <v>167</v>
      </c>
      <c r="B107">
        <v>50</v>
      </c>
      <c r="C107" t="s">
        <v>13</v>
      </c>
      <c r="D107" t="s">
        <v>119</v>
      </c>
      <c r="E107" t="s">
        <v>10</v>
      </c>
      <c r="F107" t="s">
        <v>11</v>
      </c>
    </row>
    <row r="108" spans="1:6" x14ac:dyDescent="0.25">
      <c r="A108" t="s">
        <v>168</v>
      </c>
      <c r="B108">
        <v>53</v>
      </c>
      <c r="C108" t="s">
        <v>13</v>
      </c>
      <c r="D108" t="s">
        <v>106</v>
      </c>
      <c r="E108" t="s">
        <v>10</v>
      </c>
      <c r="F108" t="s">
        <v>20</v>
      </c>
    </row>
    <row r="109" spans="1:6" x14ac:dyDescent="0.25">
      <c r="A109" t="s">
        <v>169</v>
      </c>
      <c r="B109">
        <v>62</v>
      </c>
      <c r="C109" t="s">
        <v>13</v>
      </c>
      <c r="D109" t="s">
        <v>14</v>
      </c>
      <c r="E109" t="s">
        <v>10</v>
      </c>
      <c r="F109" t="s">
        <v>15</v>
      </c>
    </row>
    <row r="110" spans="1:6" x14ac:dyDescent="0.25">
      <c r="A110" t="s">
        <v>170</v>
      </c>
      <c r="B110">
        <v>38</v>
      </c>
      <c r="C110" t="s">
        <v>8</v>
      </c>
      <c r="D110" t="s">
        <v>31</v>
      </c>
      <c r="E110" t="s">
        <v>10</v>
      </c>
      <c r="F110" t="s">
        <v>20</v>
      </c>
    </row>
    <row r="111" spans="1:6" x14ac:dyDescent="0.25">
      <c r="A111" t="s">
        <v>171</v>
      </c>
      <c r="B111">
        <v>27</v>
      </c>
      <c r="C111" t="s">
        <v>8</v>
      </c>
      <c r="D111" t="s">
        <v>29</v>
      </c>
      <c r="E111" t="s">
        <v>10</v>
      </c>
      <c r="F111" t="s">
        <v>23</v>
      </c>
    </row>
    <row r="112" spans="1:6" x14ac:dyDescent="0.25">
      <c r="A112" t="s">
        <v>172</v>
      </c>
      <c r="B112">
        <v>40</v>
      </c>
      <c r="C112" t="s">
        <v>13</v>
      </c>
      <c r="D112" t="s">
        <v>74</v>
      </c>
      <c r="E112" t="s">
        <v>10</v>
      </c>
      <c r="F112" t="s">
        <v>11</v>
      </c>
    </row>
    <row r="113" spans="1:6" x14ac:dyDescent="0.25">
      <c r="A113" t="s">
        <v>173</v>
      </c>
      <c r="B113">
        <v>18</v>
      </c>
      <c r="C113" t="s">
        <v>13</v>
      </c>
      <c r="D113" t="s">
        <v>71</v>
      </c>
      <c r="E113" t="s">
        <v>10</v>
      </c>
      <c r="F113" t="s">
        <v>15</v>
      </c>
    </row>
    <row r="114" spans="1:6" x14ac:dyDescent="0.25">
      <c r="A114" t="s">
        <v>174</v>
      </c>
      <c r="B114">
        <v>27</v>
      </c>
      <c r="C114" t="s">
        <v>13</v>
      </c>
      <c r="D114" t="s">
        <v>80</v>
      </c>
      <c r="E114" t="s">
        <v>10</v>
      </c>
      <c r="F114" t="s">
        <v>23</v>
      </c>
    </row>
    <row r="115" spans="1:6" x14ac:dyDescent="0.25">
      <c r="A115" t="s">
        <v>176</v>
      </c>
      <c r="B115">
        <v>51</v>
      </c>
      <c r="C115" t="s">
        <v>8</v>
      </c>
      <c r="D115" t="s">
        <v>112</v>
      </c>
      <c r="E115" t="s">
        <v>10</v>
      </c>
      <c r="F115" t="s">
        <v>11</v>
      </c>
    </row>
    <row r="116" spans="1:6" x14ac:dyDescent="0.25">
      <c r="A116" t="s">
        <v>177</v>
      </c>
      <c r="B116">
        <v>30</v>
      </c>
      <c r="C116" t="s">
        <v>8</v>
      </c>
      <c r="D116" t="s">
        <v>92</v>
      </c>
      <c r="E116" t="s">
        <v>10</v>
      </c>
      <c r="F116" t="s">
        <v>20</v>
      </c>
    </row>
    <row r="117" spans="1:6" x14ac:dyDescent="0.25">
      <c r="A117" t="s">
        <v>178</v>
      </c>
      <c r="B117">
        <v>53</v>
      </c>
      <c r="C117" t="s">
        <v>13</v>
      </c>
      <c r="D117" t="s">
        <v>14</v>
      </c>
      <c r="E117" t="s">
        <v>10</v>
      </c>
      <c r="F117" t="s">
        <v>15</v>
      </c>
    </row>
    <row r="118" spans="1:6" x14ac:dyDescent="0.25">
      <c r="A118" t="s">
        <v>179</v>
      </c>
      <c r="B118">
        <v>18</v>
      </c>
      <c r="C118" t="s">
        <v>13</v>
      </c>
      <c r="D118" t="s">
        <v>106</v>
      </c>
      <c r="E118" t="s">
        <v>10</v>
      </c>
      <c r="F118" t="s">
        <v>15</v>
      </c>
    </row>
    <row r="119" spans="1:6" x14ac:dyDescent="0.25">
      <c r="A119" t="s">
        <v>180</v>
      </c>
      <c r="B119">
        <v>21</v>
      </c>
      <c r="C119" t="s">
        <v>13</v>
      </c>
      <c r="D119" t="s">
        <v>44</v>
      </c>
      <c r="E119" t="s">
        <v>10</v>
      </c>
      <c r="F119" t="s">
        <v>15</v>
      </c>
    </row>
    <row r="120" spans="1:6" x14ac:dyDescent="0.25">
      <c r="A120" t="s">
        <v>181</v>
      </c>
      <c r="B120">
        <v>36</v>
      </c>
      <c r="C120" t="s">
        <v>8</v>
      </c>
      <c r="D120" t="s">
        <v>42</v>
      </c>
      <c r="E120" t="s">
        <v>10</v>
      </c>
      <c r="F120" t="s">
        <v>15</v>
      </c>
    </row>
    <row r="121" spans="1:6" x14ac:dyDescent="0.25">
      <c r="A121" t="s">
        <v>182</v>
      </c>
      <c r="B121">
        <v>40</v>
      </c>
      <c r="C121" t="s">
        <v>8</v>
      </c>
      <c r="D121" t="s">
        <v>114</v>
      </c>
      <c r="E121" t="s">
        <v>10</v>
      </c>
      <c r="F121" t="s">
        <v>20</v>
      </c>
    </row>
    <row r="122" spans="1:6" x14ac:dyDescent="0.25">
      <c r="A122" t="s">
        <v>183</v>
      </c>
      <c r="B122">
        <v>44</v>
      </c>
      <c r="C122" t="s">
        <v>13</v>
      </c>
      <c r="D122" t="s">
        <v>33</v>
      </c>
      <c r="E122" t="s">
        <v>10</v>
      </c>
      <c r="F122" t="s">
        <v>15</v>
      </c>
    </row>
    <row r="123" spans="1:6" x14ac:dyDescent="0.25">
      <c r="A123" t="s">
        <v>184</v>
      </c>
      <c r="B123">
        <v>62</v>
      </c>
      <c r="C123" t="s">
        <v>8</v>
      </c>
      <c r="D123" t="s">
        <v>56</v>
      </c>
      <c r="E123" t="s">
        <v>10</v>
      </c>
      <c r="F123" t="s">
        <v>15</v>
      </c>
    </row>
    <row r="124" spans="1:6" x14ac:dyDescent="0.25">
      <c r="A124" t="s">
        <v>185</v>
      </c>
      <c r="B124">
        <v>50</v>
      </c>
      <c r="C124" t="s">
        <v>8</v>
      </c>
      <c r="D124" t="s">
        <v>9</v>
      </c>
      <c r="E124" t="s">
        <v>10</v>
      </c>
      <c r="F124" t="s">
        <v>15</v>
      </c>
    </row>
    <row r="125" spans="1:6" x14ac:dyDescent="0.25">
      <c r="A125" t="s">
        <v>186</v>
      </c>
      <c r="B125">
        <v>40</v>
      </c>
      <c r="C125" t="s">
        <v>8</v>
      </c>
      <c r="D125" t="s">
        <v>126</v>
      </c>
      <c r="E125" t="s">
        <v>10</v>
      </c>
      <c r="F125" t="s">
        <v>23</v>
      </c>
    </row>
    <row r="126" spans="1:6" x14ac:dyDescent="0.25">
      <c r="A126" t="s">
        <v>187</v>
      </c>
      <c r="B126">
        <v>26</v>
      </c>
      <c r="C126" t="s">
        <v>8</v>
      </c>
      <c r="D126" t="s">
        <v>96</v>
      </c>
      <c r="E126" t="s">
        <v>10</v>
      </c>
      <c r="F126" t="s">
        <v>20</v>
      </c>
    </row>
    <row r="127" spans="1:6" x14ac:dyDescent="0.25">
      <c r="A127" t="s">
        <v>188</v>
      </c>
      <c r="B127">
        <v>64</v>
      </c>
      <c r="C127" t="s">
        <v>13</v>
      </c>
      <c r="D127" t="s">
        <v>189</v>
      </c>
      <c r="E127" t="s">
        <v>10</v>
      </c>
      <c r="F127" t="s">
        <v>15</v>
      </c>
    </row>
    <row r="128" spans="1:6" x14ac:dyDescent="0.25">
      <c r="A128" t="s">
        <v>190</v>
      </c>
      <c r="B128">
        <v>62</v>
      </c>
      <c r="C128" t="s">
        <v>13</v>
      </c>
      <c r="D128" t="s">
        <v>71</v>
      </c>
      <c r="E128" t="s">
        <v>10</v>
      </c>
      <c r="F128" t="s">
        <v>11</v>
      </c>
    </row>
    <row r="129" spans="1:6" x14ac:dyDescent="0.25">
      <c r="A129" t="s">
        <v>191</v>
      </c>
      <c r="B129">
        <v>39</v>
      </c>
      <c r="C129" t="s">
        <v>8</v>
      </c>
      <c r="D129" t="s">
        <v>87</v>
      </c>
      <c r="E129" t="s">
        <v>10</v>
      </c>
      <c r="F129" t="s">
        <v>15</v>
      </c>
    </row>
    <row r="130" spans="1:6" x14ac:dyDescent="0.25">
      <c r="A130" t="s">
        <v>192</v>
      </c>
      <c r="B130">
        <v>45</v>
      </c>
      <c r="C130" t="s">
        <v>8</v>
      </c>
      <c r="D130" t="s">
        <v>136</v>
      </c>
      <c r="E130" t="s">
        <v>10</v>
      </c>
      <c r="F130" t="s">
        <v>23</v>
      </c>
    </row>
    <row r="131" spans="1:6" x14ac:dyDescent="0.25">
      <c r="A131" t="s">
        <v>193</v>
      </c>
      <c r="B131">
        <v>43</v>
      </c>
      <c r="C131" t="s">
        <v>13</v>
      </c>
      <c r="D131" t="s">
        <v>27</v>
      </c>
      <c r="E131" t="s">
        <v>10</v>
      </c>
      <c r="F131" t="s">
        <v>23</v>
      </c>
    </row>
    <row r="132" spans="1:6" x14ac:dyDescent="0.25">
      <c r="A132" t="s">
        <v>194</v>
      </c>
      <c r="B132">
        <v>29</v>
      </c>
      <c r="C132" t="s">
        <v>8</v>
      </c>
      <c r="D132" t="s">
        <v>85</v>
      </c>
      <c r="E132" t="s">
        <v>10</v>
      </c>
      <c r="F132" t="s">
        <v>15</v>
      </c>
    </row>
    <row r="133" spans="1:6" x14ac:dyDescent="0.25">
      <c r="A133" t="s">
        <v>195</v>
      </c>
      <c r="B133">
        <v>34</v>
      </c>
      <c r="C133" t="s">
        <v>13</v>
      </c>
      <c r="D133" t="s">
        <v>17</v>
      </c>
      <c r="E133" t="s">
        <v>10</v>
      </c>
      <c r="F133" t="s">
        <v>20</v>
      </c>
    </row>
    <row r="134" spans="1:6" x14ac:dyDescent="0.25">
      <c r="A134" t="s">
        <v>196</v>
      </c>
      <c r="B134">
        <v>57</v>
      </c>
      <c r="C134" t="s">
        <v>13</v>
      </c>
      <c r="D134" t="s">
        <v>19</v>
      </c>
      <c r="E134" t="s">
        <v>10</v>
      </c>
      <c r="F134" t="s">
        <v>11</v>
      </c>
    </row>
    <row r="135" spans="1:6" x14ac:dyDescent="0.25">
      <c r="A135" t="s">
        <v>197</v>
      </c>
      <c r="B135">
        <v>62</v>
      </c>
      <c r="C135" t="s">
        <v>13</v>
      </c>
      <c r="D135" t="s">
        <v>119</v>
      </c>
      <c r="E135" t="s">
        <v>10</v>
      </c>
      <c r="F135" t="s">
        <v>20</v>
      </c>
    </row>
    <row r="136" spans="1:6" x14ac:dyDescent="0.25">
      <c r="A136" t="s">
        <v>198</v>
      </c>
      <c r="B136">
        <v>54</v>
      </c>
      <c r="C136" t="s">
        <v>8</v>
      </c>
      <c r="D136" t="s">
        <v>44</v>
      </c>
      <c r="E136" t="s">
        <v>10</v>
      </c>
      <c r="F136" t="s">
        <v>11</v>
      </c>
    </row>
    <row r="137" spans="1:6" x14ac:dyDescent="0.25">
      <c r="A137" t="s">
        <v>199</v>
      </c>
      <c r="B137">
        <v>33</v>
      </c>
      <c r="C137" t="s">
        <v>13</v>
      </c>
      <c r="D137" t="s">
        <v>80</v>
      </c>
      <c r="E137" t="s">
        <v>10</v>
      </c>
      <c r="F137" t="s">
        <v>15</v>
      </c>
    </row>
    <row r="138" spans="1:6" x14ac:dyDescent="0.25">
      <c r="A138" t="s">
        <v>200</v>
      </c>
      <c r="B138">
        <v>29</v>
      </c>
      <c r="C138" t="s">
        <v>8</v>
      </c>
      <c r="D138" t="s">
        <v>42</v>
      </c>
      <c r="E138" t="s">
        <v>10</v>
      </c>
      <c r="F138" t="s">
        <v>23</v>
      </c>
    </row>
    <row r="139" spans="1:6" x14ac:dyDescent="0.25">
      <c r="A139" t="s">
        <v>201</v>
      </c>
      <c r="B139">
        <v>55</v>
      </c>
      <c r="C139" t="s">
        <v>13</v>
      </c>
      <c r="D139" t="s">
        <v>19</v>
      </c>
      <c r="E139" t="s">
        <v>10</v>
      </c>
      <c r="F139" t="s">
        <v>15</v>
      </c>
    </row>
    <row r="140" spans="1:6" x14ac:dyDescent="0.25">
      <c r="A140" t="s">
        <v>202</v>
      </c>
      <c r="B140">
        <v>43</v>
      </c>
      <c r="C140" t="s">
        <v>8</v>
      </c>
      <c r="D140" t="s">
        <v>134</v>
      </c>
      <c r="E140" t="s">
        <v>10</v>
      </c>
      <c r="F140" t="s">
        <v>11</v>
      </c>
    </row>
    <row r="141" spans="1:6" x14ac:dyDescent="0.25">
      <c r="A141" t="s">
        <v>203</v>
      </c>
      <c r="B141">
        <v>32</v>
      </c>
      <c r="C141" t="s">
        <v>8</v>
      </c>
      <c r="D141" t="s">
        <v>64</v>
      </c>
      <c r="E141" t="s">
        <v>10</v>
      </c>
      <c r="F141" t="s">
        <v>20</v>
      </c>
    </row>
    <row r="142" spans="1:6" x14ac:dyDescent="0.25">
      <c r="A142" t="s">
        <v>204</v>
      </c>
      <c r="B142">
        <v>63</v>
      </c>
      <c r="C142" t="s">
        <v>13</v>
      </c>
      <c r="D142" t="s">
        <v>33</v>
      </c>
      <c r="E142" t="s">
        <v>10</v>
      </c>
      <c r="F142" t="s">
        <v>11</v>
      </c>
    </row>
    <row r="143" spans="1:6" x14ac:dyDescent="0.25">
      <c r="A143" t="s">
        <v>205</v>
      </c>
      <c r="B143">
        <v>30</v>
      </c>
      <c r="C143" t="s">
        <v>8</v>
      </c>
      <c r="D143" t="s">
        <v>22</v>
      </c>
      <c r="E143" t="s">
        <v>10</v>
      </c>
      <c r="F143" t="s">
        <v>20</v>
      </c>
    </row>
    <row r="144" spans="1:6" x14ac:dyDescent="0.25">
      <c r="A144" t="s">
        <v>206</v>
      </c>
      <c r="B144">
        <v>37</v>
      </c>
      <c r="C144" t="s">
        <v>8</v>
      </c>
      <c r="D144" t="s">
        <v>40</v>
      </c>
      <c r="E144" t="s">
        <v>10</v>
      </c>
      <c r="F144" t="s">
        <v>20</v>
      </c>
    </row>
    <row r="145" spans="1:6" x14ac:dyDescent="0.25">
      <c r="A145" t="s">
        <v>207</v>
      </c>
      <c r="B145">
        <v>46</v>
      </c>
      <c r="C145" t="s">
        <v>8</v>
      </c>
      <c r="D145" t="s">
        <v>17</v>
      </c>
      <c r="E145" t="s">
        <v>10</v>
      </c>
      <c r="F145" t="s">
        <v>20</v>
      </c>
    </row>
    <row r="146" spans="1:6" x14ac:dyDescent="0.25">
      <c r="A146" t="s">
        <v>208</v>
      </c>
      <c r="B146">
        <v>62</v>
      </c>
      <c r="C146" t="s">
        <v>13</v>
      </c>
      <c r="D146" t="s">
        <v>92</v>
      </c>
      <c r="E146" t="s">
        <v>10</v>
      </c>
      <c r="F146" t="s">
        <v>20</v>
      </c>
    </row>
    <row r="147" spans="1:6" x14ac:dyDescent="0.25">
      <c r="A147" t="s">
        <v>209</v>
      </c>
      <c r="B147">
        <v>46</v>
      </c>
      <c r="C147" t="s">
        <v>8</v>
      </c>
      <c r="D147" t="s">
        <v>121</v>
      </c>
      <c r="E147" t="s">
        <v>10</v>
      </c>
      <c r="F147" t="s">
        <v>15</v>
      </c>
    </row>
    <row r="148" spans="1:6" x14ac:dyDescent="0.25">
      <c r="A148" t="s">
        <v>210</v>
      </c>
      <c r="B148">
        <v>32</v>
      </c>
      <c r="C148" t="s">
        <v>13</v>
      </c>
      <c r="D148" t="s">
        <v>146</v>
      </c>
      <c r="E148" t="s">
        <v>10</v>
      </c>
      <c r="F148" t="s">
        <v>11</v>
      </c>
    </row>
    <row r="149" spans="1:6" x14ac:dyDescent="0.25">
      <c r="A149" t="s">
        <v>211</v>
      </c>
      <c r="B149">
        <v>49</v>
      </c>
      <c r="C149" t="s">
        <v>13</v>
      </c>
      <c r="D149" t="s">
        <v>83</v>
      </c>
      <c r="E149" t="s">
        <v>10</v>
      </c>
      <c r="F149" t="s">
        <v>15</v>
      </c>
    </row>
    <row r="150" spans="1:6" x14ac:dyDescent="0.25">
      <c r="A150" t="s">
        <v>212</v>
      </c>
      <c r="B150">
        <v>42</v>
      </c>
      <c r="C150" t="s">
        <v>13</v>
      </c>
      <c r="D150" t="s">
        <v>149</v>
      </c>
      <c r="E150" t="s">
        <v>10</v>
      </c>
      <c r="F150" t="s">
        <v>20</v>
      </c>
    </row>
    <row r="151" spans="1:6" x14ac:dyDescent="0.25">
      <c r="A151" t="s">
        <v>213</v>
      </c>
      <c r="B151">
        <v>33</v>
      </c>
      <c r="C151" t="s">
        <v>8</v>
      </c>
      <c r="D151" t="s">
        <v>119</v>
      </c>
      <c r="E151" t="s">
        <v>10</v>
      </c>
      <c r="F151" t="s">
        <v>15</v>
      </c>
    </row>
    <row r="152" spans="1:6" x14ac:dyDescent="0.25">
      <c r="A152" t="s">
        <v>214</v>
      </c>
      <c r="B152">
        <v>24</v>
      </c>
      <c r="C152" t="s">
        <v>8</v>
      </c>
      <c r="D152" t="s">
        <v>144</v>
      </c>
      <c r="E152" t="s">
        <v>10</v>
      </c>
      <c r="F152" t="s">
        <v>11</v>
      </c>
    </row>
    <row r="153" spans="1:6" x14ac:dyDescent="0.25">
      <c r="A153" t="s">
        <v>215</v>
      </c>
      <c r="B153">
        <v>25</v>
      </c>
      <c r="C153" t="s">
        <v>13</v>
      </c>
      <c r="D153" t="s">
        <v>25</v>
      </c>
      <c r="E153" t="s">
        <v>10</v>
      </c>
      <c r="F153" t="s">
        <v>11</v>
      </c>
    </row>
    <row r="154" spans="1:6" x14ac:dyDescent="0.25">
      <c r="A154" t="s">
        <v>216</v>
      </c>
      <c r="B154">
        <v>41</v>
      </c>
      <c r="C154" t="s">
        <v>13</v>
      </c>
      <c r="D154" t="s">
        <v>62</v>
      </c>
      <c r="E154" t="s">
        <v>10</v>
      </c>
      <c r="F154" t="s">
        <v>15</v>
      </c>
    </row>
    <row r="155" spans="1:6" x14ac:dyDescent="0.25">
      <c r="A155" t="s">
        <v>217</v>
      </c>
      <c r="B155">
        <v>31</v>
      </c>
      <c r="C155" t="s">
        <v>8</v>
      </c>
      <c r="D155" t="s">
        <v>14</v>
      </c>
      <c r="E155" t="s">
        <v>10</v>
      </c>
      <c r="F155" t="s">
        <v>20</v>
      </c>
    </row>
    <row r="156" spans="1:6" x14ac:dyDescent="0.25">
      <c r="A156" t="s">
        <v>218</v>
      </c>
      <c r="B156">
        <v>35</v>
      </c>
      <c r="C156" t="s">
        <v>13</v>
      </c>
      <c r="D156" t="s">
        <v>87</v>
      </c>
      <c r="E156" t="s">
        <v>10</v>
      </c>
      <c r="F156" t="s">
        <v>11</v>
      </c>
    </row>
    <row r="157" spans="1:6" x14ac:dyDescent="0.25">
      <c r="A157" t="s">
        <v>219</v>
      </c>
      <c r="B157">
        <v>60</v>
      </c>
      <c r="C157" t="s">
        <v>13</v>
      </c>
      <c r="D157" t="s">
        <v>126</v>
      </c>
      <c r="E157" t="s">
        <v>10</v>
      </c>
      <c r="F157" t="s">
        <v>11</v>
      </c>
    </row>
    <row r="158" spans="1:6" x14ac:dyDescent="0.25">
      <c r="A158" t="s">
        <v>220</v>
      </c>
      <c r="B158">
        <v>46</v>
      </c>
      <c r="C158" t="s">
        <v>8</v>
      </c>
      <c r="D158" t="s">
        <v>14</v>
      </c>
      <c r="E158" t="s">
        <v>10</v>
      </c>
      <c r="F158" t="s">
        <v>20</v>
      </c>
    </row>
    <row r="159" spans="1:6" x14ac:dyDescent="0.25">
      <c r="A159" t="s">
        <v>221</v>
      </c>
      <c r="B159">
        <v>59</v>
      </c>
      <c r="C159" t="s">
        <v>8</v>
      </c>
      <c r="D159" t="s">
        <v>14</v>
      </c>
      <c r="E159" t="s">
        <v>10</v>
      </c>
      <c r="F159" t="s">
        <v>15</v>
      </c>
    </row>
    <row r="160" spans="1:6" x14ac:dyDescent="0.25">
      <c r="A160" t="s">
        <v>222</v>
      </c>
      <c r="B160">
        <v>43</v>
      </c>
      <c r="C160" t="s">
        <v>8</v>
      </c>
      <c r="D160" t="s">
        <v>87</v>
      </c>
      <c r="E160" t="s">
        <v>10</v>
      </c>
      <c r="F160" t="s">
        <v>20</v>
      </c>
    </row>
    <row r="161" spans="1:6" x14ac:dyDescent="0.25">
      <c r="A161" t="s">
        <v>223</v>
      </c>
      <c r="B161">
        <v>46</v>
      </c>
      <c r="C161" t="s">
        <v>13</v>
      </c>
      <c r="D161" t="s">
        <v>50</v>
      </c>
      <c r="E161" t="s">
        <v>10</v>
      </c>
      <c r="F161" t="s">
        <v>11</v>
      </c>
    </row>
    <row r="162" spans="1:6" x14ac:dyDescent="0.25">
      <c r="A162" t="s">
        <v>224</v>
      </c>
      <c r="B162">
        <v>41</v>
      </c>
      <c r="C162" t="s">
        <v>13</v>
      </c>
      <c r="D162" t="s">
        <v>9</v>
      </c>
      <c r="E162" t="s">
        <v>10</v>
      </c>
      <c r="F162" t="s">
        <v>15</v>
      </c>
    </row>
    <row r="163" spans="1:6" x14ac:dyDescent="0.25">
      <c r="A163" t="s">
        <v>225</v>
      </c>
      <c r="B163">
        <v>18</v>
      </c>
      <c r="C163" t="s">
        <v>13</v>
      </c>
      <c r="D163" t="s">
        <v>71</v>
      </c>
      <c r="E163" t="s">
        <v>10</v>
      </c>
      <c r="F163" t="s">
        <v>23</v>
      </c>
    </row>
    <row r="164" spans="1:6" x14ac:dyDescent="0.25">
      <c r="A164" t="s">
        <v>226</v>
      </c>
      <c r="B164">
        <v>37</v>
      </c>
      <c r="C164" t="s">
        <v>8</v>
      </c>
      <c r="D164" t="s">
        <v>114</v>
      </c>
      <c r="E164" t="s">
        <v>10</v>
      </c>
      <c r="F164" t="s">
        <v>23</v>
      </c>
    </row>
    <row r="165" spans="1:6" x14ac:dyDescent="0.25">
      <c r="A165" t="s">
        <v>227</v>
      </c>
      <c r="B165">
        <v>21</v>
      </c>
      <c r="C165" t="s">
        <v>8</v>
      </c>
      <c r="D165" t="s">
        <v>96</v>
      </c>
      <c r="E165" t="s">
        <v>10</v>
      </c>
      <c r="F165" t="s">
        <v>20</v>
      </c>
    </row>
    <row r="166" spans="1:6" x14ac:dyDescent="0.25">
      <c r="A166" t="s">
        <v>228</v>
      </c>
      <c r="B166">
        <v>39</v>
      </c>
      <c r="C166" t="s">
        <v>13</v>
      </c>
      <c r="D166" t="s">
        <v>47</v>
      </c>
      <c r="E166" t="s">
        <v>10</v>
      </c>
      <c r="F166" t="s">
        <v>23</v>
      </c>
    </row>
    <row r="167" spans="1:6" x14ac:dyDescent="0.25">
      <c r="A167" t="s">
        <v>229</v>
      </c>
      <c r="B167">
        <v>47</v>
      </c>
      <c r="C167" t="s">
        <v>13</v>
      </c>
      <c r="D167" t="s">
        <v>96</v>
      </c>
      <c r="E167" t="s">
        <v>10</v>
      </c>
      <c r="F167" t="s">
        <v>15</v>
      </c>
    </row>
    <row r="168" spans="1:6" x14ac:dyDescent="0.25">
      <c r="A168" t="s">
        <v>230</v>
      </c>
      <c r="B168">
        <v>25</v>
      </c>
      <c r="C168" t="s">
        <v>13</v>
      </c>
      <c r="D168" t="s">
        <v>80</v>
      </c>
      <c r="E168" t="s">
        <v>10</v>
      </c>
      <c r="F168" t="s">
        <v>23</v>
      </c>
    </row>
    <row r="169" spans="1:6" x14ac:dyDescent="0.25">
      <c r="A169" t="s">
        <v>231</v>
      </c>
      <c r="B169">
        <v>36</v>
      </c>
      <c r="C169" t="s">
        <v>13</v>
      </c>
      <c r="D169" t="s">
        <v>114</v>
      </c>
      <c r="E169" t="s">
        <v>10</v>
      </c>
      <c r="F169" t="s">
        <v>11</v>
      </c>
    </row>
    <row r="170" spans="1:6" x14ac:dyDescent="0.25">
      <c r="A170" t="s">
        <v>232</v>
      </c>
      <c r="B170">
        <v>36</v>
      </c>
      <c r="C170" t="s">
        <v>13</v>
      </c>
      <c r="D170" t="s">
        <v>119</v>
      </c>
      <c r="E170" t="s">
        <v>10</v>
      </c>
      <c r="F170" t="s">
        <v>15</v>
      </c>
    </row>
    <row r="171" spans="1:6" x14ac:dyDescent="0.25">
      <c r="A171" t="s">
        <v>233</v>
      </c>
      <c r="B171">
        <v>64</v>
      </c>
      <c r="C171" t="s">
        <v>8</v>
      </c>
      <c r="D171" t="s">
        <v>31</v>
      </c>
      <c r="E171" t="s">
        <v>10</v>
      </c>
      <c r="F171" t="s">
        <v>20</v>
      </c>
    </row>
    <row r="172" spans="1:6" x14ac:dyDescent="0.25">
      <c r="A172" t="s">
        <v>234</v>
      </c>
      <c r="B172">
        <v>18</v>
      </c>
      <c r="C172" t="s">
        <v>8</v>
      </c>
      <c r="D172" t="s">
        <v>62</v>
      </c>
      <c r="E172" t="s">
        <v>10</v>
      </c>
      <c r="F172" t="s">
        <v>11</v>
      </c>
    </row>
    <row r="173" spans="1:6" x14ac:dyDescent="0.25">
      <c r="A173" t="s">
        <v>235</v>
      </c>
      <c r="B173">
        <v>44</v>
      </c>
      <c r="C173" t="s">
        <v>13</v>
      </c>
      <c r="D173" t="s">
        <v>121</v>
      </c>
      <c r="E173" t="s">
        <v>10</v>
      </c>
      <c r="F173" t="s">
        <v>15</v>
      </c>
    </row>
    <row r="174" spans="1:6" x14ac:dyDescent="0.25">
      <c r="A174" t="s">
        <v>236</v>
      </c>
      <c r="B174">
        <v>41</v>
      </c>
      <c r="C174" t="s">
        <v>13</v>
      </c>
      <c r="D174" t="s">
        <v>29</v>
      </c>
      <c r="E174" t="s">
        <v>10</v>
      </c>
      <c r="F174" t="s">
        <v>20</v>
      </c>
    </row>
    <row r="175" spans="1:6" x14ac:dyDescent="0.25">
      <c r="A175" t="s">
        <v>237</v>
      </c>
      <c r="B175">
        <v>41</v>
      </c>
      <c r="C175" t="s">
        <v>13</v>
      </c>
      <c r="D175" t="s">
        <v>126</v>
      </c>
      <c r="E175" t="s">
        <v>2854</v>
      </c>
      <c r="F175" t="s">
        <v>15</v>
      </c>
    </row>
    <row r="176" spans="1:6" x14ac:dyDescent="0.25">
      <c r="A176" t="s">
        <v>238</v>
      </c>
      <c r="B176">
        <v>26</v>
      </c>
      <c r="C176" t="s">
        <v>13</v>
      </c>
      <c r="D176" t="s">
        <v>87</v>
      </c>
      <c r="E176" t="s">
        <v>10</v>
      </c>
      <c r="F176" t="s">
        <v>11</v>
      </c>
    </row>
    <row r="177" spans="1:6" x14ac:dyDescent="0.25">
      <c r="A177" t="s">
        <v>239</v>
      </c>
      <c r="B177">
        <v>56</v>
      </c>
      <c r="C177" t="s">
        <v>8</v>
      </c>
      <c r="D177" t="s">
        <v>56</v>
      </c>
      <c r="E177" t="s">
        <v>10</v>
      </c>
      <c r="F177" t="s">
        <v>15</v>
      </c>
    </row>
    <row r="178" spans="1:6" x14ac:dyDescent="0.25">
      <c r="A178" t="s">
        <v>240</v>
      </c>
      <c r="B178">
        <v>48</v>
      </c>
      <c r="C178" t="s">
        <v>8</v>
      </c>
      <c r="D178" t="s">
        <v>87</v>
      </c>
      <c r="E178" t="s">
        <v>10</v>
      </c>
      <c r="F178" t="s">
        <v>23</v>
      </c>
    </row>
    <row r="179" spans="1:6" x14ac:dyDescent="0.25">
      <c r="A179" t="s">
        <v>241</v>
      </c>
      <c r="B179">
        <v>55</v>
      </c>
      <c r="C179" t="s">
        <v>8</v>
      </c>
      <c r="D179" t="s">
        <v>242</v>
      </c>
      <c r="E179" t="s">
        <v>10</v>
      </c>
      <c r="F179" t="s">
        <v>15</v>
      </c>
    </row>
    <row r="180" spans="1:6" x14ac:dyDescent="0.25">
      <c r="A180" t="s">
        <v>243</v>
      </c>
      <c r="B180">
        <v>33</v>
      </c>
      <c r="C180" t="s">
        <v>13</v>
      </c>
      <c r="D180" t="s">
        <v>146</v>
      </c>
      <c r="E180" t="s">
        <v>10</v>
      </c>
      <c r="F180" t="s">
        <v>20</v>
      </c>
    </row>
    <row r="181" spans="1:6" x14ac:dyDescent="0.25">
      <c r="A181" t="s">
        <v>244</v>
      </c>
      <c r="B181">
        <v>43</v>
      </c>
      <c r="C181" t="s">
        <v>13</v>
      </c>
      <c r="D181" t="s">
        <v>64</v>
      </c>
      <c r="E181" t="s">
        <v>10</v>
      </c>
      <c r="F181" t="s">
        <v>23</v>
      </c>
    </row>
    <row r="182" spans="1:6" x14ac:dyDescent="0.25">
      <c r="A182" t="s">
        <v>245</v>
      </c>
      <c r="B182">
        <v>38</v>
      </c>
      <c r="C182" t="s">
        <v>8</v>
      </c>
      <c r="D182" t="s">
        <v>189</v>
      </c>
      <c r="E182" t="s">
        <v>10</v>
      </c>
      <c r="F182" t="s">
        <v>20</v>
      </c>
    </row>
    <row r="183" spans="1:6" x14ac:dyDescent="0.25">
      <c r="A183" t="s">
        <v>246</v>
      </c>
      <c r="B183">
        <v>60</v>
      </c>
      <c r="C183" t="s">
        <v>8</v>
      </c>
      <c r="D183" t="s">
        <v>36</v>
      </c>
      <c r="E183" t="s">
        <v>10</v>
      </c>
      <c r="F183" t="s">
        <v>20</v>
      </c>
    </row>
    <row r="184" spans="1:6" x14ac:dyDescent="0.25">
      <c r="A184" t="s">
        <v>247</v>
      </c>
      <c r="B184">
        <v>23</v>
      </c>
      <c r="C184" t="s">
        <v>13</v>
      </c>
      <c r="D184" t="s">
        <v>54</v>
      </c>
      <c r="E184" t="s">
        <v>10</v>
      </c>
      <c r="F184" t="s">
        <v>23</v>
      </c>
    </row>
    <row r="185" spans="1:6" x14ac:dyDescent="0.25">
      <c r="A185" t="s">
        <v>248</v>
      </c>
      <c r="B185">
        <v>18</v>
      </c>
      <c r="C185" t="s">
        <v>8</v>
      </c>
      <c r="D185" t="s">
        <v>36</v>
      </c>
      <c r="E185" t="s">
        <v>10</v>
      </c>
      <c r="F185" t="s">
        <v>15</v>
      </c>
    </row>
    <row r="186" spans="1:6" x14ac:dyDescent="0.25">
      <c r="A186" t="s">
        <v>249</v>
      </c>
      <c r="B186">
        <v>46</v>
      </c>
      <c r="C186" t="s">
        <v>13</v>
      </c>
      <c r="D186" t="s">
        <v>14</v>
      </c>
      <c r="E186" t="s">
        <v>10</v>
      </c>
      <c r="F186" t="s">
        <v>23</v>
      </c>
    </row>
    <row r="187" spans="1:6" x14ac:dyDescent="0.25">
      <c r="A187" t="s">
        <v>250</v>
      </c>
      <c r="B187">
        <v>54</v>
      </c>
      <c r="C187" t="s">
        <v>13</v>
      </c>
      <c r="D187" t="s">
        <v>50</v>
      </c>
      <c r="E187" t="s">
        <v>10</v>
      </c>
      <c r="F187" t="s">
        <v>15</v>
      </c>
    </row>
    <row r="188" spans="1:6" x14ac:dyDescent="0.25">
      <c r="A188" t="s">
        <v>251</v>
      </c>
      <c r="B188">
        <v>53</v>
      </c>
      <c r="C188" t="s">
        <v>8</v>
      </c>
      <c r="D188" t="s">
        <v>62</v>
      </c>
      <c r="E188" t="s">
        <v>10</v>
      </c>
      <c r="F188" t="s">
        <v>23</v>
      </c>
    </row>
    <row r="189" spans="1:6" x14ac:dyDescent="0.25">
      <c r="A189" t="s">
        <v>252</v>
      </c>
      <c r="B189">
        <v>60</v>
      </c>
      <c r="C189" t="s">
        <v>13</v>
      </c>
      <c r="D189" t="s">
        <v>17</v>
      </c>
      <c r="E189" t="s">
        <v>10</v>
      </c>
      <c r="F189" t="s">
        <v>15</v>
      </c>
    </row>
    <row r="190" spans="1:6" x14ac:dyDescent="0.25">
      <c r="A190" t="s">
        <v>253</v>
      </c>
      <c r="B190">
        <v>42</v>
      </c>
      <c r="C190" t="s">
        <v>8</v>
      </c>
      <c r="D190" t="s">
        <v>112</v>
      </c>
      <c r="E190" t="s">
        <v>10</v>
      </c>
      <c r="F190" t="s">
        <v>23</v>
      </c>
    </row>
    <row r="191" spans="1:6" x14ac:dyDescent="0.25">
      <c r="A191" t="s">
        <v>254</v>
      </c>
      <c r="B191">
        <v>29</v>
      </c>
      <c r="C191" t="s">
        <v>8</v>
      </c>
      <c r="D191" t="s">
        <v>242</v>
      </c>
      <c r="E191" t="s">
        <v>10</v>
      </c>
      <c r="F191" t="s">
        <v>11</v>
      </c>
    </row>
    <row r="192" spans="1:6" x14ac:dyDescent="0.25">
      <c r="A192" t="s">
        <v>255</v>
      </c>
      <c r="B192">
        <v>21</v>
      </c>
      <c r="C192" t="s">
        <v>8</v>
      </c>
      <c r="D192" t="s">
        <v>36</v>
      </c>
      <c r="E192" t="s">
        <v>10</v>
      </c>
      <c r="F192" t="s">
        <v>20</v>
      </c>
    </row>
    <row r="193" spans="1:6" x14ac:dyDescent="0.25">
      <c r="A193" t="s">
        <v>256</v>
      </c>
      <c r="B193">
        <v>29</v>
      </c>
      <c r="C193" t="s">
        <v>13</v>
      </c>
      <c r="D193" t="s">
        <v>19</v>
      </c>
      <c r="E193" t="s">
        <v>10</v>
      </c>
      <c r="F193" t="s">
        <v>20</v>
      </c>
    </row>
    <row r="194" spans="1:6" x14ac:dyDescent="0.25">
      <c r="A194" t="s">
        <v>257</v>
      </c>
      <c r="B194">
        <v>26</v>
      </c>
      <c r="C194" t="s">
        <v>8</v>
      </c>
      <c r="D194" t="s">
        <v>59</v>
      </c>
      <c r="E194" t="s">
        <v>10</v>
      </c>
      <c r="F194" t="s">
        <v>11</v>
      </c>
    </row>
    <row r="195" spans="1:6" x14ac:dyDescent="0.25">
      <c r="A195" t="s">
        <v>258</v>
      </c>
      <c r="B195">
        <v>38</v>
      </c>
      <c r="C195" t="s">
        <v>8</v>
      </c>
      <c r="D195" t="s">
        <v>47</v>
      </c>
      <c r="E195" t="s">
        <v>10</v>
      </c>
      <c r="F195" t="s">
        <v>11</v>
      </c>
    </row>
    <row r="196" spans="1:6" x14ac:dyDescent="0.25">
      <c r="A196" t="s">
        <v>259</v>
      </c>
      <c r="B196">
        <v>46</v>
      </c>
      <c r="C196" t="s">
        <v>8</v>
      </c>
      <c r="D196" t="s">
        <v>33</v>
      </c>
      <c r="E196" t="s">
        <v>10</v>
      </c>
      <c r="F196" t="s">
        <v>11</v>
      </c>
    </row>
    <row r="197" spans="1:6" x14ac:dyDescent="0.25">
      <c r="A197" t="s">
        <v>260</v>
      </c>
      <c r="B197">
        <v>60</v>
      </c>
      <c r="C197" t="s">
        <v>8</v>
      </c>
      <c r="D197" t="s">
        <v>71</v>
      </c>
      <c r="E197" t="s">
        <v>10</v>
      </c>
      <c r="F197" t="s">
        <v>23</v>
      </c>
    </row>
    <row r="198" spans="1:6" x14ac:dyDescent="0.25">
      <c r="A198" t="s">
        <v>261</v>
      </c>
      <c r="B198">
        <v>18</v>
      </c>
      <c r="C198" t="s">
        <v>13</v>
      </c>
      <c r="D198" t="s">
        <v>83</v>
      </c>
      <c r="E198" t="s">
        <v>10</v>
      </c>
      <c r="F198" t="s">
        <v>15</v>
      </c>
    </row>
    <row r="199" spans="1:6" x14ac:dyDescent="0.25">
      <c r="A199" t="s">
        <v>262</v>
      </c>
      <c r="B199">
        <v>45</v>
      </c>
      <c r="C199" t="s">
        <v>13</v>
      </c>
      <c r="D199" t="s">
        <v>99</v>
      </c>
      <c r="E199" t="s">
        <v>10</v>
      </c>
      <c r="F199" t="s">
        <v>15</v>
      </c>
    </row>
    <row r="200" spans="1:6" x14ac:dyDescent="0.25">
      <c r="A200" t="s">
        <v>263</v>
      </c>
      <c r="B200">
        <v>54</v>
      </c>
      <c r="C200" t="s">
        <v>8</v>
      </c>
      <c r="D200" t="s">
        <v>87</v>
      </c>
      <c r="E200" t="s">
        <v>10</v>
      </c>
      <c r="F200" t="s">
        <v>20</v>
      </c>
    </row>
    <row r="201" spans="1:6" x14ac:dyDescent="0.25">
      <c r="A201" t="s">
        <v>264</v>
      </c>
      <c r="B201">
        <v>46</v>
      </c>
      <c r="C201" t="s">
        <v>8</v>
      </c>
      <c r="D201" t="s">
        <v>114</v>
      </c>
      <c r="E201" t="s">
        <v>10</v>
      </c>
      <c r="F201" t="s">
        <v>20</v>
      </c>
    </row>
    <row r="202" spans="1:6" x14ac:dyDescent="0.25">
      <c r="A202" t="s">
        <v>265</v>
      </c>
      <c r="B202">
        <v>30</v>
      </c>
      <c r="C202" t="s">
        <v>8</v>
      </c>
      <c r="D202" t="s">
        <v>189</v>
      </c>
      <c r="E202" t="s">
        <v>10</v>
      </c>
      <c r="F202" t="s">
        <v>15</v>
      </c>
    </row>
    <row r="203" spans="1:6" x14ac:dyDescent="0.25">
      <c r="A203" t="s">
        <v>266</v>
      </c>
      <c r="B203">
        <v>25</v>
      </c>
      <c r="C203" t="s">
        <v>13</v>
      </c>
      <c r="D203" t="s">
        <v>80</v>
      </c>
      <c r="E203" t="s">
        <v>10</v>
      </c>
      <c r="F203" t="s">
        <v>20</v>
      </c>
    </row>
    <row r="204" spans="1:6" x14ac:dyDescent="0.25">
      <c r="A204" t="s">
        <v>267</v>
      </c>
      <c r="B204">
        <v>37</v>
      </c>
      <c r="C204" t="s">
        <v>13</v>
      </c>
      <c r="D204" t="s">
        <v>38</v>
      </c>
      <c r="E204" t="s">
        <v>10</v>
      </c>
      <c r="F204" t="s">
        <v>15</v>
      </c>
    </row>
    <row r="205" spans="1:6" x14ac:dyDescent="0.25">
      <c r="A205" t="s">
        <v>268</v>
      </c>
      <c r="B205">
        <v>47</v>
      </c>
      <c r="C205" t="s">
        <v>8</v>
      </c>
      <c r="D205" t="s">
        <v>126</v>
      </c>
      <c r="E205" t="s">
        <v>10</v>
      </c>
      <c r="F205" t="s">
        <v>15</v>
      </c>
    </row>
    <row r="206" spans="1:6" x14ac:dyDescent="0.25">
      <c r="A206" t="s">
        <v>269</v>
      </c>
      <c r="B206">
        <v>52</v>
      </c>
      <c r="C206" t="s">
        <v>8</v>
      </c>
      <c r="D206" t="s">
        <v>134</v>
      </c>
      <c r="E206" t="s">
        <v>10</v>
      </c>
      <c r="F206" t="s">
        <v>15</v>
      </c>
    </row>
    <row r="207" spans="1:6" x14ac:dyDescent="0.25">
      <c r="A207" t="s">
        <v>270</v>
      </c>
      <c r="B207">
        <v>44</v>
      </c>
      <c r="C207" t="s">
        <v>13</v>
      </c>
      <c r="D207" t="s">
        <v>50</v>
      </c>
      <c r="E207" t="s">
        <v>10</v>
      </c>
      <c r="F207" t="s">
        <v>11</v>
      </c>
    </row>
    <row r="208" spans="1:6" x14ac:dyDescent="0.25">
      <c r="A208" t="s">
        <v>271</v>
      </c>
      <c r="B208">
        <v>26</v>
      </c>
      <c r="C208" t="s">
        <v>13</v>
      </c>
      <c r="D208" t="s">
        <v>114</v>
      </c>
      <c r="E208" t="s">
        <v>10</v>
      </c>
      <c r="F208" t="s">
        <v>23</v>
      </c>
    </row>
    <row r="209" spans="1:6" x14ac:dyDescent="0.25">
      <c r="A209" t="s">
        <v>272</v>
      </c>
      <c r="B209">
        <v>28</v>
      </c>
      <c r="C209" t="s">
        <v>13</v>
      </c>
      <c r="D209" t="s">
        <v>50</v>
      </c>
      <c r="E209" t="s">
        <v>10</v>
      </c>
      <c r="F209" t="s">
        <v>20</v>
      </c>
    </row>
    <row r="210" spans="1:6" x14ac:dyDescent="0.25">
      <c r="A210" t="s">
        <v>273</v>
      </c>
      <c r="B210">
        <v>54</v>
      </c>
      <c r="C210" t="s">
        <v>8</v>
      </c>
      <c r="D210" t="s">
        <v>151</v>
      </c>
      <c r="E210" t="s">
        <v>10</v>
      </c>
      <c r="F210" t="s">
        <v>15</v>
      </c>
    </row>
    <row r="211" spans="1:6" x14ac:dyDescent="0.25">
      <c r="A211" t="s">
        <v>274</v>
      </c>
      <c r="B211">
        <v>50</v>
      </c>
      <c r="C211" t="s">
        <v>13</v>
      </c>
      <c r="D211" t="s">
        <v>189</v>
      </c>
      <c r="E211" t="s">
        <v>10</v>
      </c>
      <c r="F211" t="s">
        <v>15</v>
      </c>
    </row>
    <row r="212" spans="1:6" x14ac:dyDescent="0.25">
      <c r="A212" t="s">
        <v>275</v>
      </c>
      <c r="B212">
        <v>48</v>
      </c>
      <c r="C212" t="s">
        <v>8</v>
      </c>
      <c r="D212" t="s">
        <v>47</v>
      </c>
      <c r="E212" t="s">
        <v>10</v>
      </c>
      <c r="F212" t="s">
        <v>23</v>
      </c>
    </row>
    <row r="213" spans="1:6" x14ac:dyDescent="0.25">
      <c r="A213" t="s">
        <v>276</v>
      </c>
      <c r="B213">
        <v>20</v>
      </c>
      <c r="C213" t="s">
        <v>13</v>
      </c>
      <c r="D213" t="s">
        <v>52</v>
      </c>
      <c r="E213" t="s">
        <v>10</v>
      </c>
      <c r="F213" t="s">
        <v>23</v>
      </c>
    </row>
    <row r="214" spans="1:6" x14ac:dyDescent="0.25">
      <c r="A214" t="s">
        <v>277</v>
      </c>
      <c r="B214">
        <v>63</v>
      </c>
      <c r="C214" t="s">
        <v>13</v>
      </c>
      <c r="D214" t="s">
        <v>44</v>
      </c>
      <c r="E214" t="s">
        <v>10</v>
      </c>
      <c r="F214" t="s">
        <v>15</v>
      </c>
    </row>
    <row r="215" spans="1:6" x14ac:dyDescent="0.25">
      <c r="A215" t="s">
        <v>278</v>
      </c>
      <c r="B215">
        <v>42</v>
      </c>
      <c r="C215" t="s">
        <v>13</v>
      </c>
      <c r="D215" t="s">
        <v>14</v>
      </c>
      <c r="E215" t="s">
        <v>10</v>
      </c>
      <c r="F215" t="s">
        <v>15</v>
      </c>
    </row>
    <row r="216" spans="1:6" x14ac:dyDescent="0.25">
      <c r="A216" t="s">
        <v>279</v>
      </c>
      <c r="B216">
        <v>61</v>
      </c>
      <c r="C216" t="s">
        <v>8</v>
      </c>
      <c r="D216" t="s">
        <v>40</v>
      </c>
      <c r="E216" t="s">
        <v>10</v>
      </c>
      <c r="F216" t="s">
        <v>11</v>
      </c>
    </row>
    <row r="217" spans="1:6" x14ac:dyDescent="0.25">
      <c r="A217" t="s">
        <v>280</v>
      </c>
      <c r="B217">
        <v>50</v>
      </c>
      <c r="C217" t="s">
        <v>13</v>
      </c>
      <c r="D217" t="s">
        <v>25</v>
      </c>
      <c r="E217" t="s">
        <v>10</v>
      </c>
      <c r="F217" t="s">
        <v>11</v>
      </c>
    </row>
    <row r="218" spans="1:6" x14ac:dyDescent="0.25">
      <c r="A218" t="s">
        <v>281</v>
      </c>
      <c r="B218">
        <v>44</v>
      </c>
      <c r="C218" t="s">
        <v>8</v>
      </c>
      <c r="D218" t="s">
        <v>22</v>
      </c>
      <c r="E218" t="s">
        <v>10</v>
      </c>
      <c r="F218" t="s">
        <v>15</v>
      </c>
    </row>
    <row r="219" spans="1:6" x14ac:dyDescent="0.25">
      <c r="A219" t="s">
        <v>282</v>
      </c>
      <c r="B219">
        <v>42</v>
      </c>
      <c r="C219" t="s">
        <v>8</v>
      </c>
      <c r="D219" t="s">
        <v>62</v>
      </c>
      <c r="E219" t="s">
        <v>10</v>
      </c>
      <c r="F219" t="s">
        <v>23</v>
      </c>
    </row>
    <row r="220" spans="1:6" x14ac:dyDescent="0.25">
      <c r="A220" t="s">
        <v>283</v>
      </c>
      <c r="B220">
        <v>46</v>
      </c>
      <c r="C220" t="s">
        <v>8</v>
      </c>
      <c r="D220" t="s">
        <v>22</v>
      </c>
      <c r="E220" t="s">
        <v>10</v>
      </c>
      <c r="F220" t="s">
        <v>15</v>
      </c>
    </row>
    <row r="221" spans="1:6" x14ac:dyDescent="0.25">
      <c r="A221" t="s">
        <v>284</v>
      </c>
      <c r="B221">
        <v>47</v>
      </c>
      <c r="C221" t="s">
        <v>13</v>
      </c>
      <c r="D221" t="s">
        <v>50</v>
      </c>
      <c r="E221" t="s">
        <v>10</v>
      </c>
      <c r="F221" t="s">
        <v>11</v>
      </c>
    </row>
    <row r="222" spans="1:6" x14ac:dyDescent="0.25">
      <c r="A222" t="s">
        <v>285</v>
      </c>
      <c r="B222">
        <v>50</v>
      </c>
      <c r="C222" t="s">
        <v>13</v>
      </c>
      <c r="D222" t="s">
        <v>286</v>
      </c>
      <c r="E222" t="s">
        <v>2854</v>
      </c>
      <c r="F222" t="s">
        <v>20</v>
      </c>
    </row>
    <row r="223" spans="1:6" x14ac:dyDescent="0.25">
      <c r="A223" t="s">
        <v>287</v>
      </c>
      <c r="B223">
        <v>38</v>
      </c>
      <c r="C223" t="s">
        <v>8</v>
      </c>
      <c r="D223" t="s">
        <v>47</v>
      </c>
      <c r="E223" t="s">
        <v>10</v>
      </c>
      <c r="F223" t="s">
        <v>15</v>
      </c>
    </row>
    <row r="224" spans="1:6" x14ac:dyDescent="0.25">
      <c r="A224" t="s">
        <v>288</v>
      </c>
      <c r="B224">
        <v>35</v>
      </c>
      <c r="C224" t="s">
        <v>8</v>
      </c>
      <c r="D224" t="s">
        <v>112</v>
      </c>
      <c r="E224" t="s">
        <v>10</v>
      </c>
      <c r="F224" t="s">
        <v>15</v>
      </c>
    </row>
    <row r="225" spans="1:6" x14ac:dyDescent="0.25">
      <c r="A225" t="s">
        <v>289</v>
      </c>
      <c r="B225">
        <v>50</v>
      </c>
      <c r="C225" t="s">
        <v>8</v>
      </c>
      <c r="D225" t="s">
        <v>126</v>
      </c>
      <c r="E225" t="s">
        <v>10</v>
      </c>
      <c r="F225" t="s">
        <v>15</v>
      </c>
    </row>
    <row r="226" spans="1:6" x14ac:dyDescent="0.25">
      <c r="A226" t="s">
        <v>290</v>
      </c>
      <c r="B226">
        <v>29</v>
      </c>
      <c r="C226" t="s">
        <v>8</v>
      </c>
      <c r="D226" t="s">
        <v>62</v>
      </c>
      <c r="E226" t="s">
        <v>10</v>
      </c>
      <c r="F226" t="s">
        <v>23</v>
      </c>
    </row>
    <row r="227" spans="1:6" x14ac:dyDescent="0.25">
      <c r="A227" t="s">
        <v>291</v>
      </c>
      <c r="B227">
        <v>46</v>
      </c>
      <c r="C227" t="s">
        <v>13</v>
      </c>
      <c r="D227" t="s">
        <v>64</v>
      </c>
      <c r="E227" t="s">
        <v>10</v>
      </c>
      <c r="F227" t="s">
        <v>15</v>
      </c>
    </row>
    <row r="228" spans="1:6" x14ac:dyDescent="0.25">
      <c r="A228" t="s">
        <v>292</v>
      </c>
      <c r="B228">
        <v>54</v>
      </c>
      <c r="C228" t="s">
        <v>8</v>
      </c>
      <c r="D228" t="s">
        <v>83</v>
      </c>
      <c r="E228" t="s">
        <v>10</v>
      </c>
      <c r="F228" t="s">
        <v>11</v>
      </c>
    </row>
    <row r="229" spans="1:6" x14ac:dyDescent="0.25">
      <c r="A229" t="s">
        <v>293</v>
      </c>
      <c r="B229">
        <v>63</v>
      </c>
      <c r="C229" t="s">
        <v>13</v>
      </c>
      <c r="D229" t="s">
        <v>38</v>
      </c>
      <c r="E229" t="s">
        <v>10</v>
      </c>
      <c r="F229" t="s">
        <v>11</v>
      </c>
    </row>
    <row r="230" spans="1:6" x14ac:dyDescent="0.25">
      <c r="A230" t="s">
        <v>294</v>
      </c>
      <c r="B230">
        <v>52</v>
      </c>
      <c r="C230" t="s">
        <v>13</v>
      </c>
      <c r="D230" t="s">
        <v>64</v>
      </c>
      <c r="E230" t="s">
        <v>10</v>
      </c>
      <c r="F230" t="s">
        <v>11</v>
      </c>
    </row>
    <row r="231" spans="1:6" x14ac:dyDescent="0.25">
      <c r="A231" t="s">
        <v>295</v>
      </c>
      <c r="B231">
        <v>32</v>
      </c>
      <c r="C231" t="s">
        <v>13</v>
      </c>
      <c r="D231" t="s">
        <v>74</v>
      </c>
      <c r="E231" t="s">
        <v>10</v>
      </c>
      <c r="F231" t="s">
        <v>20</v>
      </c>
    </row>
    <row r="232" spans="1:6" x14ac:dyDescent="0.25">
      <c r="A232" t="s">
        <v>296</v>
      </c>
      <c r="B232">
        <v>29</v>
      </c>
      <c r="C232" t="s">
        <v>8</v>
      </c>
      <c r="D232" t="s">
        <v>119</v>
      </c>
      <c r="E232" t="s">
        <v>10</v>
      </c>
      <c r="F232" t="s">
        <v>20</v>
      </c>
    </row>
    <row r="233" spans="1:6" x14ac:dyDescent="0.25">
      <c r="A233" t="s">
        <v>297</v>
      </c>
      <c r="B233">
        <v>22</v>
      </c>
      <c r="C233" t="s">
        <v>13</v>
      </c>
      <c r="D233" t="s">
        <v>146</v>
      </c>
      <c r="E233" t="s">
        <v>10</v>
      </c>
      <c r="F233" t="s">
        <v>20</v>
      </c>
    </row>
    <row r="234" spans="1:6" x14ac:dyDescent="0.25">
      <c r="A234" t="s">
        <v>298</v>
      </c>
      <c r="B234">
        <v>27</v>
      </c>
      <c r="C234" t="s">
        <v>13</v>
      </c>
      <c r="D234" t="s">
        <v>50</v>
      </c>
      <c r="E234" t="s">
        <v>10</v>
      </c>
      <c r="F234" t="s">
        <v>15</v>
      </c>
    </row>
    <row r="235" spans="1:6" x14ac:dyDescent="0.25">
      <c r="A235" t="s">
        <v>299</v>
      </c>
      <c r="B235">
        <v>59</v>
      </c>
      <c r="C235" t="s">
        <v>8</v>
      </c>
      <c r="D235" t="s">
        <v>29</v>
      </c>
      <c r="E235" t="s">
        <v>10</v>
      </c>
      <c r="F235" t="s">
        <v>23</v>
      </c>
    </row>
    <row r="236" spans="1:6" x14ac:dyDescent="0.25">
      <c r="A236" t="s">
        <v>300</v>
      </c>
      <c r="B236">
        <v>43</v>
      </c>
      <c r="C236" t="s">
        <v>13</v>
      </c>
      <c r="D236" t="s">
        <v>38</v>
      </c>
      <c r="E236" t="s">
        <v>10</v>
      </c>
      <c r="F236" t="s">
        <v>11</v>
      </c>
    </row>
    <row r="237" spans="1:6" x14ac:dyDescent="0.25">
      <c r="A237" t="s">
        <v>301</v>
      </c>
      <c r="B237">
        <v>28</v>
      </c>
      <c r="C237" t="s">
        <v>13</v>
      </c>
      <c r="D237" t="s">
        <v>52</v>
      </c>
      <c r="E237" t="s">
        <v>10</v>
      </c>
      <c r="F237" t="s">
        <v>20</v>
      </c>
    </row>
    <row r="238" spans="1:6" x14ac:dyDescent="0.25">
      <c r="A238" t="s">
        <v>302</v>
      </c>
      <c r="B238">
        <v>42</v>
      </c>
      <c r="C238" t="s">
        <v>13</v>
      </c>
      <c r="D238" t="s">
        <v>134</v>
      </c>
      <c r="E238" t="s">
        <v>10</v>
      </c>
      <c r="F238" t="s">
        <v>20</v>
      </c>
    </row>
    <row r="239" spans="1:6" x14ac:dyDescent="0.25">
      <c r="A239" t="s">
        <v>303</v>
      </c>
      <c r="B239">
        <v>41</v>
      </c>
      <c r="C239" t="s">
        <v>13</v>
      </c>
      <c r="D239" t="s">
        <v>40</v>
      </c>
      <c r="E239" t="s">
        <v>10</v>
      </c>
      <c r="F239" t="s">
        <v>11</v>
      </c>
    </row>
    <row r="240" spans="1:6" x14ac:dyDescent="0.25">
      <c r="A240" t="s">
        <v>304</v>
      </c>
      <c r="B240">
        <v>40</v>
      </c>
      <c r="C240" t="s">
        <v>8</v>
      </c>
      <c r="D240" t="s">
        <v>29</v>
      </c>
      <c r="E240" t="s">
        <v>10</v>
      </c>
      <c r="F240" t="s">
        <v>15</v>
      </c>
    </row>
    <row r="241" spans="1:6" x14ac:dyDescent="0.25">
      <c r="A241" t="s">
        <v>305</v>
      </c>
      <c r="B241">
        <v>58</v>
      </c>
      <c r="C241" t="s">
        <v>13</v>
      </c>
      <c r="D241" t="s">
        <v>92</v>
      </c>
      <c r="E241" t="s">
        <v>10</v>
      </c>
      <c r="F241" t="s">
        <v>15</v>
      </c>
    </row>
    <row r="242" spans="1:6" x14ac:dyDescent="0.25">
      <c r="A242" t="s">
        <v>306</v>
      </c>
      <c r="B242">
        <v>59</v>
      </c>
      <c r="C242" t="s">
        <v>13</v>
      </c>
      <c r="D242" t="s">
        <v>80</v>
      </c>
      <c r="E242" t="s">
        <v>10</v>
      </c>
      <c r="F242" t="s">
        <v>15</v>
      </c>
    </row>
    <row r="243" spans="1:6" x14ac:dyDescent="0.25">
      <c r="A243" t="s">
        <v>307</v>
      </c>
      <c r="B243">
        <v>31</v>
      </c>
      <c r="C243" t="s">
        <v>8</v>
      </c>
      <c r="D243" t="s">
        <v>134</v>
      </c>
      <c r="E243" t="s">
        <v>10</v>
      </c>
      <c r="F243" t="s">
        <v>15</v>
      </c>
    </row>
    <row r="244" spans="1:6" x14ac:dyDescent="0.25">
      <c r="A244" t="s">
        <v>308</v>
      </c>
      <c r="B244">
        <v>58</v>
      </c>
      <c r="C244" t="s">
        <v>13</v>
      </c>
      <c r="D244" t="s">
        <v>85</v>
      </c>
      <c r="E244" t="s">
        <v>10</v>
      </c>
      <c r="F244" t="s">
        <v>23</v>
      </c>
    </row>
    <row r="245" spans="1:6" x14ac:dyDescent="0.25">
      <c r="A245" t="s">
        <v>309</v>
      </c>
      <c r="B245">
        <v>56</v>
      </c>
      <c r="C245" t="s">
        <v>13</v>
      </c>
      <c r="D245" t="s">
        <v>162</v>
      </c>
      <c r="E245" t="s">
        <v>10</v>
      </c>
      <c r="F245" t="s">
        <v>11</v>
      </c>
    </row>
    <row r="246" spans="1:6" x14ac:dyDescent="0.25">
      <c r="A246" t="s">
        <v>310</v>
      </c>
      <c r="B246">
        <v>19</v>
      </c>
      <c r="C246" t="s">
        <v>8</v>
      </c>
      <c r="D246" t="s">
        <v>64</v>
      </c>
      <c r="E246" t="s">
        <v>10</v>
      </c>
      <c r="F246" t="s">
        <v>20</v>
      </c>
    </row>
    <row r="247" spans="1:6" x14ac:dyDescent="0.25">
      <c r="A247" t="s">
        <v>311</v>
      </c>
      <c r="B247">
        <v>57</v>
      </c>
      <c r="C247" t="s">
        <v>13</v>
      </c>
      <c r="D247" t="s">
        <v>80</v>
      </c>
      <c r="E247" t="s">
        <v>10</v>
      </c>
      <c r="F247" t="s">
        <v>15</v>
      </c>
    </row>
    <row r="248" spans="1:6" x14ac:dyDescent="0.25">
      <c r="A248" t="s">
        <v>312</v>
      </c>
      <c r="B248">
        <v>58</v>
      </c>
      <c r="C248" t="s">
        <v>8</v>
      </c>
      <c r="D248" t="s">
        <v>136</v>
      </c>
      <c r="E248" t="s">
        <v>10</v>
      </c>
      <c r="F248" t="s">
        <v>20</v>
      </c>
    </row>
    <row r="249" spans="1:6" x14ac:dyDescent="0.25">
      <c r="A249" t="s">
        <v>313</v>
      </c>
      <c r="B249">
        <v>32</v>
      </c>
      <c r="C249" t="s">
        <v>8</v>
      </c>
      <c r="D249" t="s">
        <v>31</v>
      </c>
      <c r="E249" t="s">
        <v>10</v>
      </c>
      <c r="F249" t="s">
        <v>15</v>
      </c>
    </row>
    <row r="250" spans="1:6" x14ac:dyDescent="0.25">
      <c r="A250" t="s">
        <v>314</v>
      </c>
      <c r="B250">
        <v>19</v>
      </c>
      <c r="C250" t="s">
        <v>8</v>
      </c>
      <c r="D250" t="s">
        <v>92</v>
      </c>
      <c r="E250" t="s">
        <v>10</v>
      </c>
      <c r="F250" t="s">
        <v>11</v>
      </c>
    </row>
    <row r="251" spans="1:6" x14ac:dyDescent="0.25">
      <c r="A251" t="s">
        <v>315</v>
      </c>
      <c r="B251">
        <v>41</v>
      </c>
      <c r="C251" t="s">
        <v>13</v>
      </c>
      <c r="D251" t="s">
        <v>36</v>
      </c>
      <c r="E251" t="s">
        <v>10</v>
      </c>
      <c r="F251" t="s">
        <v>11</v>
      </c>
    </row>
    <row r="252" spans="1:6" x14ac:dyDescent="0.25">
      <c r="A252" t="s">
        <v>316</v>
      </c>
      <c r="B252">
        <v>48</v>
      </c>
      <c r="C252" t="s">
        <v>8</v>
      </c>
      <c r="D252" t="s">
        <v>52</v>
      </c>
      <c r="E252" t="s">
        <v>10</v>
      </c>
      <c r="F252" t="s">
        <v>15</v>
      </c>
    </row>
    <row r="253" spans="1:6" x14ac:dyDescent="0.25">
      <c r="A253" t="s">
        <v>317</v>
      </c>
      <c r="B253">
        <v>64</v>
      </c>
      <c r="C253" t="s">
        <v>8</v>
      </c>
      <c r="D253" t="s">
        <v>17</v>
      </c>
      <c r="E253" t="s">
        <v>10</v>
      </c>
      <c r="F253" t="s">
        <v>23</v>
      </c>
    </row>
    <row r="254" spans="1:6" x14ac:dyDescent="0.25">
      <c r="A254" t="s">
        <v>318</v>
      </c>
      <c r="B254">
        <v>26</v>
      </c>
      <c r="C254" t="s">
        <v>8</v>
      </c>
      <c r="D254" t="s">
        <v>27</v>
      </c>
      <c r="E254" t="s">
        <v>10</v>
      </c>
      <c r="F254" t="s">
        <v>23</v>
      </c>
    </row>
    <row r="255" spans="1:6" x14ac:dyDescent="0.25">
      <c r="A255" t="s">
        <v>319</v>
      </c>
      <c r="B255">
        <v>32</v>
      </c>
      <c r="C255" t="s">
        <v>8</v>
      </c>
      <c r="D255" t="s">
        <v>149</v>
      </c>
      <c r="E255" t="s">
        <v>10</v>
      </c>
      <c r="F255" t="s">
        <v>20</v>
      </c>
    </row>
    <row r="256" spans="1:6" x14ac:dyDescent="0.25">
      <c r="A256" t="s">
        <v>320</v>
      </c>
      <c r="B256">
        <v>34</v>
      </c>
      <c r="C256" t="s">
        <v>8</v>
      </c>
      <c r="D256" t="s">
        <v>83</v>
      </c>
      <c r="E256" t="s">
        <v>10</v>
      </c>
      <c r="F256" t="s">
        <v>23</v>
      </c>
    </row>
    <row r="257" spans="1:6" x14ac:dyDescent="0.25">
      <c r="A257" t="s">
        <v>321</v>
      </c>
      <c r="B257">
        <v>21</v>
      </c>
      <c r="C257" t="s">
        <v>8</v>
      </c>
      <c r="D257" t="s">
        <v>19</v>
      </c>
      <c r="E257" t="s">
        <v>10</v>
      </c>
      <c r="F257" t="s">
        <v>11</v>
      </c>
    </row>
    <row r="258" spans="1:6" x14ac:dyDescent="0.25">
      <c r="A258" t="s">
        <v>322</v>
      </c>
      <c r="B258">
        <v>57</v>
      </c>
      <c r="C258" t="s">
        <v>8</v>
      </c>
      <c r="D258" t="s">
        <v>136</v>
      </c>
      <c r="E258" t="s">
        <v>10</v>
      </c>
      <c r="F258" t="s">
        <v>15</v>
      </c>
    </row>
    <row r="259" spans="1:6" x14ac:dyDescent="0.25">
      <c r="A259" t="s">
        <v>323</v>
      </c>
      <c r="B259">
        <v>42</v>
      </c>
      <c r="C259" t="s">
        <v>8</v>
      </c>
      <c r="D259" t="s">
        <v>286</v>
      </c>
      <c r="E259" t="s">
        <v>10</v>
      </c>
      <c r="F259" t="s">
        <v>23</v>
      </c>
    </row>
    <row r="260" spans="1:6" x14ac:dyDescent="0.25">
      <c r="A260" t="s">
        <v>324</v>
      </c>
      <c r="B260">
        <v>24</v>
      </c>
      <c r="C260" t="s">
        <v>13</v>
      </c>
      <c r="D260" t="s">
        <v>162</v>
      </c>
      <c r="E260" t="s">
        <v>10</v>
      </c>
      <c r="F260" t="s">
        <v>15</v>
      </c>
    </row>
    <row r="261" spans="1:6" x14ac:dyDescent="0.25">
      <c r="A261" t="s">
        <v>325</v>
      </c>
      <c r="B261">
        <v>32</v>
      </c>
      <c r="C261" t="s">
        <v>13</v>
      </c>
      <c r="D261" t="s">
        <v>54</v>
      </c>
      <c r="E261" t="s">
        <v>10</v>
      </c>
      <c r="F261" t="s">
        <v>23</v>
      </c>
    </row>
    <row r="262" spans="1:6" x14ac:dyDescent="0.25">
      <c r="A262" t="s">
        <v>326</v>
      </c>
      <c r="B262">
        <v>63</v>
      </c>
      <c r="C262" t="s">
        <v>13</v>
      </c>
      <c r="D262" t="s">
        <v>71</v>
      </c>
      <c r="E262" t="s">
        <v>10</v>
      </c>
      <c r="F262" t="s">
        <v>15</v>
      </c>
    </row>
    <row r="263" spans="1:6" x14ac:dyDescent="0.25">
      <c r="A263" t="s">
        <v>327</v>
      </c>
      <c r="B263">
        <v>27</v>
      </c>
      <c r="C263" t="s">
        <v>13</v>
      </c>
      <c r="D263" t="s">
        <v>25</v>
      </c>
      <c r="E263" t="s">
        <v>10</v>
      </c>
      <c r="F263" t="s">
        <v>23</v>
      </c>
    </row>
    <row r="264" spans="1:6" x14ac:dyDescent="0.25">
      <c r="A264" t="s">
        <v>328</v>
      </c>
      <c r="B264">
        <v>60</v>
      </c>
      <c r="C264" t="s">
        <v>13</v>
      </c>
      <c r="D264" t="s">
        <v>40</v>
      </c>
      <c r="E264" t="s">
        <v>10</v>
      </c>
      <c r="F264" t="s">
        <v>23</v>
      </c>
    </row>
    <row r="265" spans="1:6" x14ac:dyDescent="0.25">
      <c r="A265" t="s">
        <v>329</v>
      </c>
      <c r="B265">
        <v>50</v>
      </c>
      <c r="C265" t="s">
        <v>8</v>
      </c>
      <c r="D265" t="s">
        <v>151</v>
      </c>
      <c r="E265" t="s">
        <v>10</v>
      </c>
      <c r="F265" t="s">
        <v>20</v>
      </c>
    </row>
    <row r="266" spans="1:6" x14ac:dyDescent="0.25">
      <c r="A266" t="s">
        <v>330</v>
      </c>
      <c r="B266">
        <v>25</v>
      </c>
      <c r="C266" t="s">
        <v>8</v>
      </c>
      <c r="D266" t="s">
        <v>331</v>
      </c>
      <c r="E266" t="s">
        <v>10</v>
      </c>
      <c r="F266" t="s">
        <v>11</v>
      </c>
    </row>
    <row r="267" spans="1:6" x14ac:dyDescent="0.25">
      <c r="A267" t="s">
        <v>332</v>
      </c>
      <c r="B267">
        <v>38</v>
      </c>
      <c r="C267" t="s">
        <v>8</v>
      </c>
      <c r="D267" t="s">
        <v>114</v>
      </c>
      <c r="E267" t="s">
        <v>10</v>
      </c>
      <c r="F267" t="s">
        <v>23</v>
      </c>
    </row>
    <row r="268" spans="1:6" x14ac:dyDescent="0.25">
      <c r="A268" t="s">
        <v>333</v>
      </c>
      <c r="B268">
        <v>32</v>
      </c>
      <c r="C268" t="s">
        <v>13</v>
      </c>
      <c r="D268" t="s">
        <v>242</v>
      </c>
      <c r="E268" t="s">
        <v>10</v>
      </c>
      <c r="F268" t="s">
        <v>20</v>
      </c>
    </row>
    <row r="269" spans="1:6" x14ac:dyDescent="0.25">
      <c r="A269" t="s">
        <v>334</v>
      </c>
      <c r="B269">
        <v>18</v>
      </c>
      <c r="C269" t="s">
        <v>8</v>
      </c>
      <c r="D269" t="s">
        <v>40</v>
      </c>
      <c r="E269" t="s">
        <v>10</v>
      </c>
      <c r="F269" t="s">
        <v>20</v>
      </c>
    </row>
    <row r="270" spans="1:6" x14ac:dyDescent="0.25">
      <c r="A270" t="s">
        <v>335</v>
      </c>
      <c r="B270">
        <v>53</v>
      </c>
      <c r="C270" t="s">
        <v>13</v>
      </c>
      <c r="D270" t="s">
        <v>99</v>
      </c>
      <c r="E270" t="s">
        <v>10</v>
      </c>
      <c r="F270" t="s">
        <v>20</v>
      </c>
    </row>
    <row r="271" spans="1:6" x14ac:dyDescent="0.25">
      <c r="A271" t="s">
        <v>336</v>
      </c>
      <c r="B271">
        <v>45</v>
      </c>
      <c r="C271" t="s">
        <v>13</v>
      </c>
      <c r="D271" t="s">
        <v>22</v>
      </c>
      <c r="E271" t="s">
        <v>10</v>
      </c>
      <c r="F271" t="s">
        <v>23</v>
      </c>
    </row>
    <row r="272" spans="1:6" x14ac:dyDescent="0.25">
      <c r="A272" t="s">
        <v>337</v>
      </c>
      <c r="B272">
        <v>31</v>
      </c>
      <c r="C272" t="s">
        <v>13</v>
      </c>
      <c r="D272" t="s">
        <v>151</v>
      </c>
      <c r="E272" t="s">
        <v>10</v>
      </c>
      <c r="F272" t="s">
        <v>11</v>
      </c>
    </row>
    <row r="273" spans="1:6" x14ac:dyDescent="0.25">
      <c r="A273" t="s">
        <v>338</v>
      </c>
      <c r="B273">
        <v>64</v>
      </c>
      <c r="C273" t="s">
        <v>8</v>
      </c>
      <c r="D273" t="s">
        <v>42</v>
      </c>
      <c r="E273" t="s">
        <v>10</v>
      </c>
      <c r="F273" t="s">
        <v>15</v>
      </c>
    </row>
    <row r="274" spans="1:6" x14ac:dyDescent="0.25">
      <c r="A274" t="s">
        <v>339</v>
      </c>
      <c r="B274">
        <v>48</v>
      </c>
      <c r="C274" t="s">
        <v>13</v>
      </c>
      <c r="D274" t="s">
        <v>22</v>
      </c>
      <c r="E274" t="s">
        <v>10</v>
      </c>
      <c r="F274" t="s">
        <v>11</v>
      </c>
    </row>
    <row r="275" spans="1:6" x14ac:dyDescent="0.25">
      <c r="A275" t="s">
        <v>340</v>
      </c>
      <c r="B275">
        <v>23</v>
      </c>
      <c r="C275" t="s">
        <v>8</v>
      </c>
      <c r="D275" t="s">
        <v>144</v>
      </c>
      <c r="E275" t="s">
        <v>10</v>
      </c>
      <c r="F275" t="s">
        <v>20</v>
      </c>
    </row>
    <row r="276" spans="1:6" x14ac:dyDescent="0.25">
      <c r="A276" t="s">
        <v>341</v>
      </c>
      <c r="B276">
        <v>38</v>
      </c>
      <c r="C276" t="s">
        <v>8</v>
      </c>
      <c r="D276" t="s">
        <v>87</v>
      </c>
      <c r="E276" t="s">
        <v>10</v>
      </c>
      <c r="F276" t="s">
        <v>23</v>
      </c>
    </row>
    <row r="277" spans="1:6" x14ac:dyDescent="0.25">
      <c r="A277" t="s">
        <v>342</v>
      </c>
      <c r="B277">
        <v>22</v>
      </c>
      <c r="C277" t="s">
        <v>8</v>
      </c>
      <c r="D277" t="s">
        <v>242</v>
      </c>
      <c r="E277" t="s">
        <v>10</v>
      </c>
      <c r="F277" t="s">
        <v>11</v>
      </c>
    </row>
    <row r="278" spans="1:6" x14ac:dyDescent="0.25">
      <c r="A278" t="s">
        <v>343</v>
      </c>
      <c r="B278">
        <v>38</v>
      </c>
      <c r="C278" t="s">
        <v>8</v>
      </c>
      <c r="D278" t="s">
        <v>92</v>
      </c>
      <c r="E278" t="s">
        <v>10</v>
      </c>
      <c r="F278" t="s">
        <v>11</v>
      </c>
    </row>
    <row r="279" spans="1:6" x14ac:dyDescent="0.25">
      <c r="A279" t="s">
        <v>344</v>
      </c>
      <c r="B279">
        <v>22</v>
      </c>
      <c r="C279" t="s">
        <v>13</v>
      </c>
      <c r="D279" t="s">
        <v>129</v>
      </c>
      <c r="E279" t="s">
        <v>10</v>
      </c>
      <c r="F279" t="s">
        <v>15</v>
      </c>
    </row>
    <row r="280" spans="1:6" x14ac:dyDescent="0.25">
      <c r="A280" t="s">
        <v>345</v>
      </c>
      <c r="B280">
        <v>42</v>
      </c>
      <c r="C280" t="s">
        <v>13</v>
      </c>
      <c r="D280" t="s">
        <v>106</v>
      </c>
      <c r="E280" t="s">
        <v>10</v>
      </c>
      <c r="F280" t="s">
        <v>15</v>
      </c>
    </row>
    <row r="281" spans="1:6" x14ac:dyDescent="0.25">
      <c r="A281" t="s">
        <v>346</v>
      </c>
      <c r="B281">
        <v>21</v>
      </c>
      <c r="C281" t="s">
        <v>13</v>
      </c>
      <c r="D281" t="s">
        <v>19</v>
      </c>
      <c r="E281" t="s">
        <v>10</v>
      </c>
      <c r="F281" t="s">
        <v>20</v>
      </c>
    </row>
    <row r="282" spans="1:6" x14ac:dyDescent="0.25">
      <c r="A282" t="s">
        <v>347</v>
      </c>
      <c r="B282">
        <v>48</v>
      </c>
      <c r="C282" t="s">
        <v>8</v>
      </c>
      <c r="D282" t="s">
        <v>56</v>
      </c>
      <c r="E282" t="s">
        <v>10</v>
      </c>
      <c r="F282" t="s">
        <v>20</v>
      </c>
    </row>
    <row r="283" spans="1:6" x14ac:dyDescent="0.25">
      <c r="A283" t="s">
        <v>348</v>
      </c>
      <c r="B283">
        <v>59</v>
      </c>
      <c r="C283" t="s">
        <v>8</v>
      </c>
      <c r="D283" t="s">
        <v>85</v>
      </c>
      <c r="E283" t="s">
        <v>10</v>
      </c>
      <c r="F283" t="s">
        <v>15</v>
      </c>
    </row>
    <row r="284" spans="1:6" x14ac:dyDescent="0.25">
      <c r="A284" t="s">
        <v>349</v>
      </c>
      <c r="B284">
        <v>46</v>
      </c>
      <c r="C284" t="s">
        <v>13</v>
      </c>
      <c r="D284" t="s">
        <v>50</v>
      </c>
      <c r="E284" t="s">
        <v>10</v>
      </c>
      <c r="F284" t="s">
        <v>11</v>
      </c>
    </row>
    <row r="285" spans="1:6" x14ac:dyDescent="0.25">
      <c r="A285" t="s">
        <v>350</v>
      </c>
      <c r="B285">
        <v>54</v>
      </c>
      <c r="C285" t="s">
        <v>13</v>
      </c>
      <c r="D285" t="s">
        <v>331</v>
      </c>
      <c r="E285" t="s">
        <v>10</v>
      </c>
      <c r="F285" t="s">
        <v>23</v>
      </c>
    </row>
    <row r="286" spans="1:6" x14ac:dyDescent="0.25">
      <c r="A286" t="s">
        <v>351</v>
      </c>
      <c r="B286">
        <v>54</v>
      </c>
      <c r="C286" t="s">
        <v>8</v>
      </c>
      <c r="D286" t="s">
        <v>85</v>
      </c>
      <c r="E286" t="s">
        <v>10</v>
      </c>
      <c r="F286" t="s">
        <v>11</v>
      </c>
    </row>
    <row r="287" spans="1:6" x14ac:dyDescent="0.25">
      <c r="A287" t="s">
        <v>352</v>
      </c>
      <c r="B287">
        <v>46</v>
      </c>
      <c r="C287" t="s">
        <v>13</v>
      </c>
      <c r="D287" t="s">
        <v>286</v>
      </c>
      <c r="E287" t="s">
        <v>10</v>
      </c>
      <c r="F287" t="s">
        <v>23</v>
      </c>
    </row>
    <row r="288" spans="1:6" x14ac:dyDescent="0.25">
      <c r="A288" t="s">
        <v>353</v>
      </c>
      <c r="B288">
        <v>22</v>
      </c>
      <c r="C288" t="s">
        <v>8</v>
      </c>
      <c r="D288" t="s">
        <v>27</v>
      </c>
      <c r="E288" t="s">
        <v>10</v>
      </c>
      <c r="F288" t="s">
        <v>23</v>
      </c>
    </row>
    <row r="289" spans="1:6" x14ac:dyDescent="0.25">
      <c r="A289" t="s">
        <v>354</v>
      </c>
      <c r="B289">
        <v>22</v>
      </c>
      <c r="C289" t="s">
        <v>13</v>
      </c>
      <c r="D289" t="s">
        <v>87</v>
      </c>
      <c r="E289" t="s">
        <v>10</v>
      </c>
      <c r="F289" t="s">
        <v>11</v>
      </c>
    </row>
    <row r="290" spans="1:6" x14ac:dyDescent="0.25">
      <c r="A290" t="s">
        <v>355</v>
      </c>
      <c r="B290">
        <v>58</v>
      </c>
      <c r="C290" t="s">
        <v>8</v>
      </c>
      <c r="D290" t="s">
        <v>85</v>
      </c>
      <c r="E290" t="s">
        <v>10</v>
      </c>
      <c r="F290" t="s">
        <v>11</v>
      </c>
    </row>
    <row r="291" spans="1:6" x14ac:dyDescent="0.25">
      <c r="A291" t="s">
        <v>356</v>
      </c>
      <c r="B291">
        <v>45</v>
      </c>
      <c r="C291" t="s">
        <v>8</v>
      </c>
      <c r="D291" t="s">
        <v>19</v>
      </c>
      <c r="E291" t="s">
        <v>10</v>
      </c>
      <c r="F291" t="s">
        <v>20</v>
      </c>
    </row>
    <row r="292" spans="1:6" x14ac:dyDescent="0.25">
      <c r="A292" t="s">
        <v>357</v>
      </c>
      <c r="B292">
        <v>52</v>
      </c>
      <c r="C292" t="s">
        <v>13</v>
      </c>
      <c r="D292" t="s">
        <v>134</v>
      </c>
      <c r="E292" t="s">
        <v>10</v>
      </c>
      <c r="F292" t="s">
        <v>23</v>
      </c>
    </row>
    <row r="293" spans="1:6" x14ac:dyDescent="0.25">
      <c r="A293" t="s">
        <v>358</v>
      </c>
      <c r="B293">
        <v>40</v>
      </c>
      <c r="C293" t="s">
        <v>13</v>
      </c>
      <c r="D293" t="s">
        <v>62</v>
      </c>
      <c r="E293" t="s">
        <v>10</v>
      </c>
      <c r="F293" t="s">
        <v>20</v>
      </c>
    </row>
    <row r="294" spans="1:6" x14ac:dyDescent="0.25">
      <c r="A294" t="s">
        <v>359</v>
      </c>
      <c r="B294">
        <v>30</v>
      </c>
      <c r="C294" t="s">
        <v>8</v>
      </c>
      <c r="D294" t="s">
        <v>99</v>
      </c>
      <c r="E294" t="s">
        <v>10</v>
      </c>
      <c r="F294" t="s">
        <v>23</v>
      </c>
    </row>
    <row r="295" spans="1:6" x14ac:dyDescent="0.25">
      <c r="A295" t="s">
        <v>360</v>
      </c>
      <c r="B295">
        <v>56</v>
      </c>
      <c r="C295" t="s">
        <v>13</v>
      </c>
      <c r="D295" t="s">
        <v>151</v>
      </c>
      <c r="E295" t="s">
        <v>10</v>
      </c>
      <c r="F295" t="s">
        <v>15</v>
      </c>
    </row>
    <row r="296" spans="1:6" x14ac:dyDescent="0.25">
      <c r="A296" t="s">
        <v>361</v>
      </c>
      <c r="B296">
        <v>29</v>
      </c>
      <c r="C296" t="s">
        <v>8</v>
      </c>
      <c r="D296" t="s">
        <v>40</v>
      </c>
      <c r="E296" t="s">
        <v>10</v>
      </c>
      <c r="F296" t="s">
        <v>15</v>
      </c>
    </row>
    <row r="297" spans="1:6" x14ac:dyDescent="0.25">
      <c r="A297" t="s">
        <v>362</v>
      </c>
      <c r="B297">
        <v>19</v>
      </c>
      <c r="C297" t="s">
        <v>13</v>
      </c>
      <c r="D297" t="s">
        <v>38</v>
      </c>
      <c r="E297" t="s">
        <v>10</v>
      </c>
      <c r="F297" t="s">
        <v>20</v>
      </c>
    </row>
    <row r="298" spans="1:6" x14ac:dyDescent="0.25">
      <c r="A298" t="s">
        <v>363</v>
      </c>
      <c r="B298">
        <v>28</v>
      </c>
      <c r="C298" t="s">
        <v>13</v>
      </c>
      <c r="D298" t="s">
        <v>29</v>
      </c>
      <c r="E298" t="s">
        <v>10</v>
      </c>
      <c r="F298" t="s">
        <v>20</v>
      </c>
    </row>
    <row r="299" spans="1:6" x14ac:dyDescent="0.25">
      <c r="A299" t="s">
        <v>364</v>
      </c>
      <c r="B299">
        <v>47</v>
      </c>
      <c r="C299" t="s">
        <v>13</v>
      </c>
      <c r="D299" t="s">
        <v>62</v>
      </c>
      <c r="E299" t="s">
        <v>10</v>
      </c>
      <c r="F299" t="s">
        <v>23</v>
      </c>
    </row>
    <row r="300" spans="1:6" x14ac:dyDescent="0.25">
      <c r="A300" t="s">
        <v>365</v>
      </c>
      <c r="B300">
        <v>64</v>
      </c>
      <c r="C300" t="s">
        <v>8</v>
      </c>
      <c r="D300" t="s">
        <v>189</v>
      </c>
      <c r="E300" t="s">
        <v>10</v>
      </c>
      <c r="F300" t="s">
        <v>15</v>
      </c>
    </row>
    <row r="301" spans="1:6" x14ac:dyDescent="0.25">
      <c r="A301" t="s">
        <v>366</v>
      </c>
      <c r="B301">
        <v>48</v>
      </c>
      <c r="C301" t="s">
        <v>13</v>
      </c>
      <c r="D301" t="s">
        <v>151</v>
      </c>
      <c r="E301" t="s">
        <v>10</v>
      </c>
      <c r="F301" t="s">
        <v>15</v>
      </c>
    </row>
    <row r="302" spans="1:6" x14ac:dyDescent="0.25">
      <c r="A302" t="s">
        <v>367</v>
      </c>
      <c r="B302">
        <v>29</v>
      </c>
      <c r="C302" t="s">
        <v>8</v>
      </c>
      <c r="D302" t="s">
        <v>25</v>
      </c>
      <c r="E302" t="s">
        <v>10</v>
      </c>
      <c r="F302" t="s">
        <v>23</v>
      </c>
    </row>
    <row r="303" spans="1:6" x14ac:dyDescent="0.25">
      <c r="A303" t="s">
        <v>368</v>
      </c>
      <c r="B303">
        <v>50</v>
      </c>
      <c r="C303" t="s">
        <v>8</v>
      </c>
      <c r="D303" t="s">
        <v>134</v>
      </c>
      <c r="E303" t="s">
        <v>10</v>
      </c>
      <c r="F303" t="s">
        <v>11</v>
      </c>
    </row>
    <row r="304" spans="1:6" x14ac:dyDescent="0.25">
      <c r="A304" t="s">
        <v>369</v>
      </c>
      <c r="B304">
        <v>36</v>
      </c>
      <c r="C304" t="s">
        <v>8</v>
      </c>
      <c r="D304" t="s">
        <v>71</v>
      </c>
      <c r="E304" t="s">
        <v>10</v>
      </c>
      <c r="F304" t="s">
        <v>11</v>
      </c>
    </row>
    <row r="305" spans="1:6" x14ac:dyDescent="0.25">
      <c r="A305" t="s">
        <v>370</v>
      </c>
      <c r="B305">
        <v>23</v>
      </c>
      <c r="C305" t="s">
        <v>13</v>
      </c>
      <c r="D305" t="s">
        <v>52</v>
      </c>
      <c r="E305" t="s">
        <v>10</v>
      </c>
      <c r="F305" t="s">
        <v>15</v>
      </c>
    </row>
    <row r="306" spans="1:6" x14ac:dyDescent="0.25">
      <c r="A306" t="s">
        <v>371</v>
      </c>
      <c r="B306">
        <v>41</v>
      </c>
      <c r="C306" t="s">
        <v>8</v>
      </c>
      <c r="D306" t="s">
        <v>38</v>
      </c>
      <c r="E306" t="s">
        <v>10</v>
      </c>
      <c r="F306" t="s">
        <v>23</v>
      </c>
    </row>
    <row r="307" spans="1:6" x14ac:dyDescent="0.25">
      <c r="A307" t="s">
        <v>372</v>
      </c>
      <c r="B307">
        <v>64</v>
      </c>
      <c r="C307" t="s">
        <v>8</v>
      </c>
      <c r="D307" t="s">
        <v>44</v>
      </c>
      <c r="E307" t="s">
        <v>10</v>
      </c>
      <c r="F307" t="s">
        <v>15</v>
      </c>
    </row>
    <row r="308" spans="1:6" x14ac:dyDescent="0.25">
      <c r="A308" t="s">
        <v>373</v>
      </c>
      <c r="B308">
        <v>44</v>
      </c>
      <c r="C308" t="s">
        <v>8</v>
      </c>
      <c r="D308" t="s">
        <v>114</v>
      </c>
      <c r="E308" t="s">
        <v>10</v>
      </c>
      <c r="F308" t="s">
        <v>15</v>
      </c>
    </row>
    <row r="309" spans="1:6" x14ac:dyDescent="0.25">
      <c r="A309" t="s">
        <v>374</v>
      </c>
      <c r="B309">
        <v>56</v>
      </c>
      <c r="C309" t="s">
        <v>13</v>
      </c>
      <c r="D309" t="s">
        <v>17</v>
      </c>
      <c r="E309" t="s">
        <v>10</v>
      </c>
      <c r="F309" t="s">
        <v>20</v>
      </c>
    </row>
    <row r="310" spans="1:6" x14ac:dyDescent="0.25">
      <c r="A310" t="s">
        <v>375</v>
      </c>
      <c r="B310">
        <v>60</v>
      </c>
      <c r="C310" t="s">
        <v>13</v>
      </c>
      <c r="D310" t="s">
        <v>126</v>
      </c>
      <c r="E310" t="s">
        <v>10</v>
      </c>
      <c r="F310" t="s">
        <v>11</v>
      </c>
    </row>
    <row r="311" spans="1:6" x14ac:dyDescent="0.25">
      <c r="A311" t="s">
        <v>376</v>
      </c>
      <c r="B311">
        <v>41</v>
      </c>
      <c r="C311" t="s">
        <v>13</v>
      </c>
      <c r="D311" t="s">
        <v>22</v>
      </c>
      <c r="E311" t="s">
        <v>10</v>
      </c>
      <c r="F311" t="s">
        <v>20</v>
      </c>
    </row>
    <row r="312" spans="1:6" x14ac:dyDescent="0.25">
      <c r="A312" t="s">
        <v>377</v>
      </c>
      <c r="B312">
        <v>20</v>
      </c>
      <c r="C312" t="s">
        <v>8</v>
      </c>
      <c r="D312" t="s">
        <v>87</v>
      </c>
      <c r="E312" t="s">
        <v>10</v>
      </c>
      <c r="F312" t="s">
        <v>23</v>
      </c>
    </row>
    <row r="313" spans="1:6" x14ac:dyDescent="0.25">
      <c r="A313" t="s">
        <v>378</v>
      </c>
      <c r="B313">
        <v>35</v>
      </c>
      <c r="C313" t="s">
        <v>8</v>
      </c>
      <c r="D313" t="s">
        <v>25</v>
      </c>
      <c r="E313" t="s">
        <v>10</v>
      </c>
      <c r="F313" t="s">
        <v>15</v>
      </c>
    </row>
    <row r="314" spans="1:6" x14ac:dyDescent="0.25">
      <c r="A314" t="s">
        <v>379</v>
      </c>
      <c r="B314">
        <v>47</v>
      </c>
      <c r="C314" t="s">
        <v>13</v>
      </c>
      <c r="D314" t="s">
        <v>52</v>
      </c>
      <c r="E314" t="s">
        <v>10</v>
      </c>
      <c r="F314" t="s">
        <v>23</v>
      </c>
    </row>
    <row r="315" spans="1:6" x14ac:dyDescent="0.25">
      <c r="A315" t="s">
        <v>380</v>
      </c>
      <c r="B315">
        <v>62</v>
      </c>
      <c r="C315" t="s">
        <v>8</v>
      </c>
      <c r="D315" t="s">
        <v>74</v>
      </c>
      <c r="E315" t="s">
        <v>10</v>
      </c>
      <c r="F315" t="s">
        <v>15</v>
      </c>
    </row>
    <row r="316" spans="1:6" x14ac:dyDescent="0.25">
      <c r="A316" t="s">
        <v>381</v>
      </c>
      <c r="B316">
        <v>53</v>
      </c>
      <c r="C316" t="s">
        <v>13</v>
      </c>
      <c r="D316" t="s">
        <v>44</v>
      </c>
      <c r="E316" t="s">
        <v>10</v>
      </c>
      <c r="F316" t="s">
        <v>23</v>
      </c>
    </row>
    <row r="317" spans="1:6" x14ac:dyDescent="0.25">
      <c r="A317" t="s">
        <v>382</v>
      </c>
      <c r="B317">
        <v>49</v>
      </c>
      <c r="C317" t="s">
        <v>8</v>
      </c>
      <c r="D317" t="s">
        <v>286</v>
      </c>
      <c r="E317" t="s">
        <v>10</v>
      </c>
      <c r="F317" t="s">
        <v>23</v>
      </c>
    </row>
    <row r="318" spans="1:6" x14ac:dyDescent="0.25">
      <c r="A318" t="s">
        <v>383</v>
      </c>
      <c r="B318">
        <v>34</v>
      </c>
      <c r="C318" t="s">
        <v>8</v>
      </c>
      <c r="D318" t="s">
        <v>74</v>
      </c>
      <c r="E318" t="s">
        <v>10</v>
      </c>
      <c r="F318" t="s">
        <v>11</v>
      </c>
    </row>
    <row r="319" spans="1:6" x14ac:dyDescent="0.25">
      <c r="A319" t="s">
        <v>384</v>
      </c>
      <c r="B319">
        <v>64</v>
      </c>
      <c r="C319" t="s">
        <v>13</v>
      </c>
      <c r="D319" t="s">
        <v>31</v>
      </c>
      <c r="E319" t="s">
        <v>10</v>
      </c>
      <c r="F319" t="s">
        <v>11</v>
      </c>
    </row>
    <row r="320" spans="1:6" x14ac:dyDescent="0.25">
      <c r="A320" t="s">
        <v>385</v>
      </c>
      <c r="B320">
        <v>25</v>
      </c>
      <c r="C320" t="s">
        <v>8</v>
      </c>
      <c r="D320" t="s">
        <v>38</v>
      </c>
      <c r="E320" t="s">
        <v>10</v>
      </c>
      <c r="F320" t="s">
        <v>15</v>
      </c>
    </row>
    <row r="321" spans="1:6" x14ac:dyDescent="0.25">
      <c r="A321" t="s">
        <v>386</v>
      </c>
      <c r="B321">
        <v>54</v>
      </c>
      <c r="C321" t="s">
        <v>8</v>
      </c>
      <c r="D321" t="s">
        <v>144</v>
      </c>
      <c r="E321" t="s">
        <v>10</v>
      </c>
      <c r="F321" t="s">
        <v>15</v>
      </c>
    </row>
    <row r="322" spans="1:6" x14ac:dyDescent="0.25">
      <c r="A322" t="s">
        <v>387</v>
      </c>
      <c r="B322">
        <v>34</v>
      </c>
      <c r="C322" t="s">
        <v>13</v>
      </c>
      <c r="D322" t="s">
        <v>126</v>
      </c>
      <c r="E322" t="s">
        <v>10</v>
      </c>
      <c r="F322" t="s">
        <v>20</v>
      </c>
    </row>
    <row r="323" spans="1:6" x14ac:dyDescent="0.25">
      <c r="A323" t="s">
        <v>388</v>
      </c>
      <c r="B323">
        <v>21</v>
      </c>
      <c r="C323" t="s">
        <v>13</v>
      </c>
      <c r="D323" t="s">
        <v>114</v>
      </c>
      <c r="E323" t="s">
        <v>10</v>
      </c>
      <c r="F323" t="s">
        <v>20</v>
      </c>
    </row>
    <row r="324" spans="1:6" x14ac:dyDescent="0.25">
      <c r="A324" t="s">
        <v>389</v>
      </c>
      <c r="B324">
        <v>54</v>
      </c>
      <c r="C324" t="s">
        <v>8</v>
      </c>
      <c r="D324" t="s">
        <v>331</v>
      </c>
      <c r="E324" t="s">
        <v>10</v>
      </c>
      <c r="F324" t="s">
        <v>20</v>
      </c>
    </row>
    <row r="325" spans="1:6" x14ac:dyDescent="0.25">
      <c r="A325" t="s">
        <v>390</v>
      </c>
      <c r="B325">
        <v>64</v>
      </c>
      <c r="C325" t="s">
        <v>13</v>
      </c>
      <c r="D325" t="s">
        <v>9</v>
      </c>
      <c r="E325" t="s">
        <v>10</v>
      </c>
      <c r="F325" t="s">
        <v>15</v>
      </c>
    </row>
    <row r="326" spans="1:6" x14ac:dyDescent="0.25">
      <c r="A326" t="s">
        <v>391</v>
      </c>
      <c r="B326">
        <v>58</v>
      </c>
      <c r="C326" t="s">
        <v>8</v>
      </c>
      <c r="D326" t="s">
        <v>54</v>
      </c>
      <c r="E326" t="s">
        <v>10</v>
      </c>
      <c r="F326" t="s">
        <v>20</v>
      </c>
    </row>
    <row r="327" spans="1:6" x14ac:dyDescent="0.25">
      <c r="A327" t="s">
        <v>392</v>
      </c>
      <c r="B327">
        <v>60</v>
      </c>
      <c r="C327" t="s">
        <v>8</v>
      </c>
      <c r="D327" t="s">
        <v>149</v>
      </c>
      <c r="E327" t="s">
        <v>10</v>
      </c>
      <c r="F327" t="s">
        <v>20</v>
      </c>
    </row>
    <row r="328" spans="1:6" x14ac:dyDescent="0.25">
      <c r="A328" t="s">
        <v>393</v>
      </c>
      <c r="B328">
        <v>58</v>
      </c>
      <c r="C328" t="s">
        <v>13</v>
      </c>
      <c r="D328" t="s">
        <v>106</v>
      </c>
      <c r="E328" t="s">
        <v>10</v>
      </c>
      <c r="F328" t="s">
        <v>11</v>
      </c>
    </row>
    <row r="329" spans="1:6" x14ac:dyDescent="0.25">
      <c r="A329" t="s">
        <v>394</v>
      </c>
      <c r="B329">
        <v>62</v>
      </c>
      <c r="C329" t="s">
        <v>13</v>
      </c>
      <c r="D329" t="s">
        <v>36</v>
      </c>
      <c r="E329" t="s">
        <v>10</v>
      </c>
      <c r="F329" t="s">
        <v>20</v>
      </c>
    </row>
    <row r="330" spans="1:6" x14ac:dyDescent="0.25">
      <c r="A330" t="s">
        <v>395</v>
      </c>
      <c r="B330">
        <v>46</v>
      </c>
      <c r="C330" t="s">
        <v>8</v>
      </c>
      <c r="D330" t="s">
        <v>99</v>
      </c>
      <c r="E330" t="s">
        <v>10</v>
      </c>
      <c r="F330" t="s">
        <v>15</v>
      </c>
    </row>
    <row r="331" spans="1:6" x14ac:dyDescent="0.25">
      <c r="A331" t="s">
        <v>396</v>
      </c>
      <c r="B331">
        <v>62</v>
      </c>
      <c r="C331" t="s">
        <v>13</v>
      </c>
      <c r="D331" t="s">
        <v>99</v>
      </c>
      <c r="E331" t="s">
        <v>10</v>
      </c>
      <c r="F331" t="s">
        <v>20</v>
      </c>
    </row>
    <row r="332" spans="1:6" x14ac:dyDescent="0.25">
      <c r="A332" t="s">
        <v>397</v>
      </c>
      <c r="B332">
        <v>54</v>
      </c>
      <c r="C332" t="s">
        <v>8</v>
      </c>
      <c r="D332" t="s">
        <v>96</v>
      </c>
      <c r="E332" t="s">
        <v>10</v>
      </c>
      <c r="F332" t="s">
        <v>15</v>
      </c>
    </row>
    <row r="333" spans="1:6" x14ac:dyDescent="0.25">
      <c r="A333" t="s">
        <v>398</v>
      </c>
      <c r="B333">
        <v>38</v>
      </c>
      <c r="C333" t="s">
        <v>13</v>
      </c>
      <c r="D333" t="s">
        <v>40</v>
      </c>
      <c r="E333" t="s">
        <v>10</v>
      </c>
      <c r="F333" t="s">
        <v>20</v>
      </c>
    </row>
    <row r="334" spans="1:6" x14ac:dyDescent="0.25">
      <c r="A334" t="s">
        <v>399</v>
      </c>
      <c r="B334">
        <v>34</v>
      </c>
      <c r="C334" t="s">
        <v>13</v>
      </c>
      <c r="D334" t="s">
        <v>56</v>
      </c>
      <c r="E334" t="s">
        <v>10</v>
      </c>
      <c r="F334" t="s">
        <v>20</v>
      </c>
    </row>
    <row r="335" spans="1:6" x14ac:dyDescent="0.25">
      <c r="A335" t="s">
        <v>400</v>
      </c>
      <c r="B335">
        <v>64</v>
      </c>
      <c r="C335" t="s">
        <v>13</v>
      </c>
      <c r="D335" t="s">
        <v>47</v>
      </c>
      <c r="E335" t="s">
        <v>10</v>
      </c>
      <c r="F335" t="s">
        <v>11</v>
      </c>
    </row>
    <row r="336" spans="1:6" x14ac:dyDescent="0.25">
      <c r="A336" t="s">
        <v>401</v>
      </c>
      <c r="B336">
        <v>50</v>
      </c>
      <c r="C336" t="s">
        <v>13</v>
      </c>
      <c r="D336" t="s">
        <v>85</v>
      </c>
      <c r="E336" t="s">
        <v>10</v>
      </c>
      <c r="F336" t="s">
        <v>23</v>
      </c>
    </row>
    <row r="337" spans="1:6" x14ac:dyDescent="0.25">
      <c r="A337" t="s">
        <v>402</v>
      </c>
      <c r="B337">
        <v>37</v>
      </c>
      <c r="C337" t="s">
        <v>8</v>
      </c>
      <c r="D337" t="s">
        <v>9</v>
      </c>
      <c r="E337" t="s">
        <v>10</v>
      </c>
      <c r="F337" t="s">
        <v>15</v>
      </c>
    </row>
    <row r="338" spans="1:6" x14ac:dyDescent="0.25">
      <c r="A338" t="s">
        <v>403</v>
      </c>
      <c r="B338">
        <v>58</v>
      </c>
      <c r="C338" t="s">
        <v>13</v>
      </c>
      <c r="D338" t="s">
        <v>25</v>
      </c>
      <c r="E338" t="s">
        <v>10</v>
      </c>
      <c r="F338" t="s">
        <v>23</v>
      </c>
    </row>
    <row r="339" spans="1:6" x14ac:dyDescent="0.25">
      <c r="A339" t="s">
        <v>404</v>
      </c>
      <c r="B339">
        <v>40</v>
      </c>
      <c r="C339" t="s">
        <v>13</v>
      </c>
      <c r="D339" t="s">
        <v>9</v>
      </c>
      <c r="E339" t="s">
        <v>10</v>
      </c>
      <c r="F339" t="s">
        <v>20</v>
      </c>
    </row>
    <row r="340" spans="1:6" x14ac:dyDescent="0.25">
      <c r="A340" t="s">
        <v>405</v>
      </c>
      <c r="B340">
        <v>46</v>
      </c>
      <c r="C340" t="s">
        <v>13</v>
      </c>
      <c r="D340" t="s">
        <v>85</v>
      </c>
      <c r="E340" t="s">
        <v>10</v>
      </c>
      <c r="F340" t="s">
        <v>23</v>
      </c>
    </row>
    <row r="341" spans="1:6" x14ac:dyDescent="0.25">
      <c r="A341" t="s">
        <v>406</v>
      </c>
      <c r="B341">
        <v>52</v>
      </c>
      <c r="C341" t="s">
        <v>13</v>
      </c>
      <c r="D341" t="s">
        <v>71</v>
      </c>
      <c r="E341" t="s">
        <v>10</v>
      </c>
      <c r="F341" t="s">
        <v>15</v>
      </c>
    </row>
    <row r="342" spans="1:6" x14ac:dyDescent="0.25">
      <c r="A342" t="s">
        <v>407</v>
      </c>
      <c r="B342">
        <v>27</v>
      </c>
      <c r="C342" t="s">
        <v>8</v>
      </c>
      <c r="D342" t="s">
        <v>129</v>
      </c>
      <c r="E342" t="s">
        <v>10</v>
      </c>
      <c r="F342" t="s">
        <v>20</v>
      </c>
    </row>
    <row r="343" spans="1:6" x14ac:dyDescent="0.25">
      <c r="A343" t="s">
        <v>408</v>
      </c>
      <c r="B343">
        <v>56</v>
      </c>
      <c r="C343" t="s">
        <v>13</v>
      </c>
      <c r="D343" t="s">
        <v>96</v>
      </c>
      <c r="E343" t="s">
        <v>10</v>
      </c>
      <c r="F343" t="s">
        <v>20</v>
      </c>
    </row>
    <row r="344" spans="1:6" x14ac:dyDescent="0.25">
      <c r="A344" t="s">
        <v>409</v>
      </c>
      <c r="B344">
        <v>30</v>
      </c>
      <c r="C344" t="s">
        <v>13</v>
      </c>
      <c r="D344" t="s">
        <v>85</v>
      </c>
      <c r="E344" t="s">
        <v>10</v>
      </c>
      <c r="F344" t="s">
        <v>20</v>
      </c>
    </row>
    <row r="345" spans="1:6" x14ac:dyDescent="0.25">
      <c r="A345" t="s">
        <v>410</v>
      </c>
      <c r="B345">
        <v>38</v>
      </c>
      <c r="C345" t="s">
        <v>8</v>
      </c>
      <c r="D345" t="s">
        <v>134</v>
      </c>
      <c r="E345" t="s">
        <v>10</v>
      </c>
      <c r="F345" t="s">
        <v>20</v>
      </c>
    </row>
    <row r="346" spans="1:6" x14ac:dyDescent="0.25">
      <c r="A346" t="s">
        <v>411</v>
      </c>
      <c r="B346">
        <v>39</v>
      </c>
      <c r="C346" t="s">
        <v>8</v>
      </c>
      <c r="D346" t="s">
        <v>112</v>
      </c>
      <c r="E346" t="s">
        <v>10</v>
      </c>
      <c r="F346" t="s">
        <v>11</v>
      </c>
    </row>
    <row r="347" spans="1:6" x14ac:dyDescent="0.25">
      <c r="A347" t="s">
        <v>412</v>
      </c>
      <c r="B347">
        <v>33</v>
      </c>
      <c r="C347" t="s">
        <v>8</v>
      </c>
      <c r="D347" t="s">
        <v>54</v>
      </c>
      <c r="E347" t="s">
        <v>10</v>
      </c>
      <c r="F347" t="s">
        <v>20</v>
      </c>
    </row>
    <row r="348" spans="1:6" x14ac:dyDescent="0.25">
      <c r="A348" t="s">
        <v>413</v>
      </c>
      <c r="B348">
        <v>58</v>
      </c>
      <c r="C348" t="s">
        <v>13</v>
      </c>
      <c r="D348" t="s">
        <v>114</v>
      </c>
      <c r="E348" t="s">
        <v>10</v>
      </c>
      <c r="F348" t="s">
        <v>15</v>
      </c>
    </row>
    <row r="349" spans="1:6" x14ac:dyDescent="0.25">
      <c r="A349" t="s">
        <v>414</v>
      </c>
      <c r="B349">
        <v>39</v>
      </c>
      <c r="C349" t="s">
        <v>13</v>
      </c>
      <c r="D349" t="s">
        <v>85</v>
      </c>
      <c r="E349" t="s">
        <v>10</v>
      </c>
      <c r="F349" t="s">
        <v>11</v>
      </c>
    </row>
    <row r="350" spans="1:6" x14ac:dyDescent="0.25">
      <c r="A350" t="s">
        <v>415</v>
      </c>
      <c r="B350">
        <v>55</v>
      </c>
      <c r="C350" t="s">
        <v>8</v>
      </c>
      <c r="D350" t="s">
        <v>33</v>
      </c>
      <c r="E350" t="s">
        <v>10</v>
      </c>
      <c r="F350" t="s">
        <v>23</v>
      </c>
    </row>
    <row r="351" spans="1:6" x14ac:dyDescent="0.25">
      <c r="A351" t="s">
        <v>416</v>
      </c>
      <c r="B351">
        <v>31</v>
      </c>
      <c r="C351" t="s">
        <v>8</v>
      </c>
      <c r="D351" t="s">
        <v>83</v>
      </c>
      <c r="E351" t="s">
        <v>10</v>
      </c>
      <c r="F351" t="s">
        <v>20</v>
      </c>
    </row>
    <row r="352" spans="1:6" x14ac:dyDescent="0.25">
      <c r="A352" t="s">
        <v>417</v>
      </c>
      <c r="B352">
        <v>26</v>
      </c>
      <c r="C352" t="s">
        <v>8</v>
      </c>
      <c r="D352" t="s">
        <v>126</v>
      </c>
      <c r="E352" t="s">
        <v>10</v>
      </c>
      <c r="F352" t="s">
        <v>23</v>
      </c>
    </row>
    <row r="353" spans="1:6" x14ac:dyDescent="0.25">
      <c r="A353" t="s">
        <v>418</v>
      </c>
      <c r="B353">
        <v>25</v>
      </c>
      <c r="C353" t="s">
        <v>13</v>
      </c>
      <c r="D353" t="s">
        <v>42</v>
      </c>
      <c r="E353" t="s">
        <v>10</v>
      </c>
      <c r="F353" t="s">
        <v>20</v>
      </c>
    </row>
    <row r="354" spans="1:6" x14ac:dyDescent="0.25">
      <c r="A354" t="s">
        <v>419</v>
      </c>
      <c r="B354">
        <v>52</v>
      </c>
      <c r="C354" t="s">
        <v>13</v>
      </c>
      <c r="D354" t="s">
        <v>149</v>
      </c>
      <c r="E354" t="s">
        <v>10</v>
      </c>
      <c r="F354" t="s">
        <v>23</v>
      </c>
    </row>
    <row r="355" spans="1:6" x14ac:dyDescent="0.25">
      <c r="A355" t="s">
        <v>420</v>
      </c>
      <c r="B355">
        <v>56</v>
      </c>
      <c r="C355" t="s">
        <v>13</v>
      </c>
      <c r="D355" t="s">
        <v>25</v>
      </c>
      <c r="E355" t="s">
        <v>10</v>
      </c>
      <c r="F355" t="s">
        <v>15</v>
      </c>
    </row>
    <row r="356" spans="1:6" x14ac:dyDescent="0.25">
      <c r="A356" t="s">
        <v>421</v>
      </c>
      <c r="B356">
        <v>38</v>
      </c>
      <c r="C356" t="s">
        <v>8</v>
      </c>
      <c r="D356" t="s">
        <v>85</v>
      </c>
      <c r="E356" t="s">
        <v>10</v>
      </c>
      <c r="F356" t="s">
        <v>23</v>
      </c>
    </row>
    <row r="357" spans="1:6" x14ac:dyDescent="0.25">
      <c r="A357" t="s">
        <v>422</v>
      </c>
      <c r="B357">
        <v>20</v>
      </c>
      <c r="C357" t="s">
        <v>8</v>
      </c>
      <c r="D357" t="s">
        <v>44</v>
      </c>
      <c r="E357" t="s">
        <v>10</v>
      </c>
      <c r="F357" t="s">
        <v>11</v>
      </c>
    </row>
    <row r="358" spans="1:6" x14ac:dyDescent="0.25">
      <c r="A358" t="s">
        <v>423</v>
      </c>
      <c r="B358">
        <v>54</v>
      </c>
      <c r="C358" t="s">
        <v>8</v>
      </c>
      <c r="D358" t="s">
        <v>134</v>
      </c>
      <c r="E358" t="s">
        <v>10</v>
      </c>
      <c r="F358" t="s">
        <v>20</v>
      </c>
    </row>
    <row r="359" spans="1:6" x14ac:dyDescent="0.25">
      <c r="A359" t="s">
        <v>424</v>
      </c>
      <c r="B359">
        <v>41</v>
      </c>
      <c r="C359" t="s">
        <v>8</v>
      </c>
      <c r="D359" t="s">
        <v>114</v>
      </c>
      <c r="E359" t="s">
        <v>10</v>
      </c>
      <c r="F359" t="s">
        <v>11</v>
      </c>
    </row>
    <row r="360" spans="1:6" x14ac:dyDescent="0.25">
      <c r="A360" t="s">
        <v>425</v>
      </c>
      <c r="B360">
        <v>60</v>
      </c>
      <c r="C360" t="s">
        <v>13</v>
      </c>
      <c r="D360" t="s">
        <v>144</v>
      </c>
      <c r="E360" t="s">
        <v>10</v>
      </c>
      <c r="F360" t="s">
        <v>11</v>
      </c>
    </row>
    <row r="361" spans="1:6" x14ac:dyDescent="0.25">
      <c r="A361" t="s">
        <v>426</v>
      </c>
      <c r="B361">
        <v>32</v>
      </c>
      <c r="C361" t="s">
        <v>8</v>
      </c>
      <c r="D361" t="s">
        <v>38</v>
      </c>
      <c r="E361" t="s">
        <v>10</v>
      </c>
      <c r="F361" t="s">
        <v>23</v>
      </c>
    </row>
    <row r="362" spans="1:6" x14ac:dyDescent="0.25">
      <c r="A362" t="s">
        <v>427</v>
      </c>
      <c r="B362">
        <v>34</v>
      </c>
      <c r="C362" t="s">
        <v>8</v>
      </c>
      <c r="D362" t="s">
        <v>136</v>
      </c>
      <c r="E362" t="s">
        <v>10</v>
      </c>
      <c r="F362" t="s">
        <v>15</v>
      </c>
    </row>
    <row r="363" spans="1:6" x14ac:dyDescent="0.25">
      <c r="A363" t="s">
        <v>428</v>
      </c>
      <c r="B363">
        <v>64</v>
      </c>
      <c r="C363" t="s">
        <v>8</v>
      </c>
      <c r="D363" t="s">
        <v>121</v>
      </c>
      <c r="E363" t="s">
        <v>10</v>
      </c>
      <c r="F363" t="s">
        <v>15</v>
      </c>
    </row>
    <row r="364" spans="1:6" x14ac:dyDescent="0.25">
      <c r="A364" t="s">
        <v>429</v>
      </c>
      <c r="B364">
        <v>60</v>
      </c>
      <c r="C364" t="s">
        <v>8</v>
      </c>
      <c r="D364" t="s">
        <v>83</v>
      </c>
      <c r="E364" t="s">
        <v>10</v>
      </c>
      <c r="F364" t="s">
        <v>11</v>
      </c>
    </row>
    <row r="365" spans="1:6" x14ac:dyDescent="0.25">
      <c r="A365" t="s">
        <v>430</v>
      </c>
      <c r="B365">
        <v>23</v>
      </c>
      <c r="C365" t="s">
        <v>8</v>
      </c>
      <c r="D365" t="s">
        <v>19</v>
      </c>
      <c r="E365" t="s">
        <v>10</v>
      </c>
      <c r="F365" t="s">
        <v>20</v>
      </c>
    </row>
    <row r="366" spans="1:6" x14ac:dyDescent="0.25">
      <c r="A366" t="s">
        <v>431</v>
      </c>
      <c r="B366">
        <v>58</v>
      </c>
      <c r="C366" t="s">
        <v>8</v>
      </c>
      <c r="D366" t="s">
        <v>71</v>
      </c>
      <c r="E366" t="s">
        <v>10</v>
      </c>
      <c r="F366" t="s">
        <v>20</v>
      </c>
    </row>
    <row r="367" spans="1:6" x14ac:dyDescent="0.25">
      <c r="A367" t="s">
        <v>432</v>
      </c>
      <c r="B367">
        <v>63</v>
      </c>
      <c r="C367" t="s">
        <v>13</v>
      </c>
      <c r="D367" t="s">
        <v>83</v>
      </c>
      <c r="E367" t="s">
        <v>10</v>
      </c>
      <c r="F367" t="s">
        <v>15</v>
      </c>
    </row>
    <row r="368" spans="1:6" x14ac:dyDescent="0.25">
      <c r="A368" t="s">
        <v>433</v>
      </c>
      <c r="B368">
        <v>40</v>
      </c>
      <c r="C368" t="s">
        <v>13</v>
      </c>
      <c r="D368" t="s">
        <v>17</v>
      </c>
      <c r="E368" t="s">
        <v>10</v>
      </c>
      <c r="F368" t="s">
        <v>15</v>
      </c>
    </row>
    <row r="369" spans="1:6" x14ac:dyDescent="0.25">
      <c r="A369" t="s">
        <v>434</v>
      </c>
      <c r="B369">
        <v>51</v>
      </c>
      <c r="C369" t="s">
        <v>8</v>
      </c>
      <c r="D369" t="s">
        <v>19</v>
      </c>
      <c r="E369" t="s">
        <v>10</v>
      </c>
      <c r="F369" t="s">
        <v>20</v>
      </c>
    </row>
    <row r="370" spans="1:6" x14ac:dyDescent="0.25">
      <c r="A370" t="s">
        <v>435</v>
      </c>
      <c r="B370">
        <v>34</v>
      </c>
      <c r="C370" t="s">
        <v>13</v>
      </c>
      <c r="D370" t="s">
        <v>36</v>
      </c>
      <c r="E370" t="s">
        <v>10</v>
      </c>
      <c r="F370" t="s">
        <v>15</v>
      </c>
    </row>
    <row r="371" spans="1:6" x14ac:dyDescent="0.25">
      <c r="A371" t="s">
        <v>436</v>
      </c>
      <c r="B371">
        <v>20</v>
      </c>
      <c r="C371" t="s">
        <v>13</v>
      </c>
      <c r="D371" t="s">
        <v>87</v>
      </c>
      <c r="E371" t="s">
        <v>10</v>
      </c>
      <c r="F371" t="s">
        <v>15</v>
      </c>
    </row>
    <row r="372" spans="1:6" x14ac:dyDescent="0.25">
      <c r="A372" t="s">
        <v>437</v>
      </c>
      <c r="B372">
        <v>45</v>
      </c>
      <c r="C372" t="s">
        <v>8</v>
      </c>
      <c r="D372" t="s">
        <v>121</v>
      </c>
      <c r="E372" t="s">
        <v>10</v>
      </c>
      <c r="F372" t="s">
        <v>23</v>
      </c>
    </row>
    <row r="373" spans="1:6" x14ac:dyDescent="0.25">
      <c r="A373" t="s">
        <v>438</v>
      </c>
      <c r="B373">
        <v>21</v>
      </c>
      <c r="C373" t="s">
        <v>13</v>
      </c>
      <c r="D373" t="s">
        <v>31</v>
      </c>
      <c r="E373" t="s">
        <v>10</v>
      </c>
      <c r="F373" t="s">
        <v>15</v>
      </c>
    </row>
    <row r="374" spans="1:6" x14ac:dyDescent="0.25">
      <c r="A374" t="s">
        <v>439</v>
      </c>
      <c r="B374">
        <v>28</v>
      </c>
      <c r="C374" t="s">
        <v>8</v>
      </c>
      <c r="D374" t="s">
        <v>19</v>
      </c>
      <c r="E374" t="s">
        <v>10</v>
      </c>
      <c r="F374" t="s">
        <v>20</v>
      </c>
    </row>
    <row r="375" spans="1:6" x14ac:dyDescent="0.25">
      <c r="A375" t="s">
        <v>440</v>
      </c>
      <c r="B375">
        <v>37</v>
      </c>
      <c r="C375" t="s">
        <v>13</v>
      </c>
      <c r="D375" t="s">
        <v>189</v>
      </c>
      <c r="E375" t="s">
        <v>10</v>
      </c>
      <c r="F375" t="s">
        <v>11</v>
      </c>
    </row>
    <row r="376" spans="1:6" x14ac:dyDescent="0.25">
      <c r="A376" t="s">
        <v>441</v>
      </c>
      <c r="B376">
        <v>60</v>
      </c>
      <c r="C376" t="s">
        <v>8</v>
      </c>
      <c r="D376" t="s">
        <v>56</v>
      </c>
      <c r="E376" t="s">
        <v>10</v>
      </c>
      <c r="F376" t="s">
        <v>15</v>
      </c>
    </row>
    <row r="377" spans="1:6" x14ac:dyDescent="0.25">
      <c r="A377" t="s">
        <v>442</v>
      </c>
      <c r="B377">
        <v>26</v>
      </c>
      <c r="C377" t="s">
        <v>8</v>
      </c>
      <c r="D377" t="s">
        <v>99</v>
      </c>
      <c r="E377" t="s">
        <v>10</v>
      </c>
      <c r="F377" t="s">
        <v>15</v>
      </c>
    </row>
    <row r="378" spans="1:6" x14ac:dyDescent="0.25">
      <c r="A378" t="s">
        <v>443</v>
      </c>
      <c r="B378">
        <v>30</v>
      </c>
      <c r="C378" t="s">
        <v>8</v>
      </c>
      <c r="D378" t="s">
        <v>85</v>
      </c>
      <c r="E378" t="s">
        <v>10</v>
      </c>
      <c r="F378" t="s">
        <v>20</v>
      </c>
    </row>
    <row r="379" spans="1:6" x14ac:dyDescent="0.25">
      <c r="A379" t="s">
        <v>444</v>
      </c>
      <c r="B379">
        <v>39</v>
      </c>
      <c r="C379" t="s">
        <v>13</v>
      </c>
      <c r="D379" t="s">
        <v>189</v>
      </c>
      <c r="E379" t="s">
        <v>10</v>
      </c>
      <c r="F379" t="s">
        <v>11</v>
      </c>
    </row>
    <row r="380" spans="1:6" x14ac:dyDescent="0.25">
      <c r="A380" t="s">
        <v>445</v>
      </c>
      <c r="B380">
        <v>44</v>
      </c>
      <c r="C380" t="s">
        <v>13</v>
      </c>
      <c r="D380" t="s">
        <v>52</v>
      </c>
      <c r="E380" t="s">
        <v>10</v>
      </c>
      <c r="F380" t="s">
        <v>20</v>
      </c>
    </row>
    <row r="381" spans="1:6" x14ac:dyDescent="0.25">
      <c r="A381" t="s">
        <v>446</v>
      </c>
      <c r="B381">
        <v>34</v>
      </c>
      <c r="C381" t="s">
        <v>13</v>
      </c>
      <c r="D381" t="s">
        <v>126</v>
      </c>
      <c r="E381" t="s">
        <v>10</v>
      </c>
      <c r="F381" t="s">
        <v>11</v>
      </c>
    </row>
    <row r="382" spans="1:6" x14ac:dyDescent="0.25">
      <c r="A382" t="s">
        <v>447</v>
      </c>
      <c r="B382">
        <v>23</v>
      </c>
      <c r="C382" t="s">
        <v>8</v>
      </c>
      <c r="D382" t="s">
        <v>106</v>
      </c>
      <c r="E382" t="s">
        <v>10</v>
      </c>
      <c r="F382" t="s">
        <v>11</v>
      </c>
    </row>
    <row r="383" spans="1:6" x14ac:dyDescent="0.25">
      <c r="A383" t="s">
        <v>448</v>
      </c>
      <c r="B383">
        <v>50</v>
      </c>
      <c r="C383" t="s">
        <v>8</v>
      </c>
      <c r="D383" t="s">
        <v>17</v>
      </c>
      <c r="E383" t="s">
        <v>10</v>
      </c>
      <c r="F383" t="s">
        <v>23</v>
      </c>
    </row>
    <row r="384" spans="1:6" x14ac:dyDescent="0.25">
      <c r="A384" t="s">
        <v>449</v>
      </c>
      <c r="B384">
        <v>20</v>
      </c>
      <c r="C384" t="s">
        <v>13</v>
      </c>
      <c r="D384" t="s">
        <v>22</v>
      </c>
      <c r="E384" t="s">
        <v>10</v>
      </c>
      <c r="F384" t="s">
        <v>11</v>
      </c>
    </row>
    <row r="385" spans="1:6" x14ac:dyDescent="0.25">
      <c r="A385" t="s">
        <v>450</v>
      </c>
      <c r="B385">
        <v>27</v>
      </c>
      <c r="C385" t="s">
        <v>13</v>
      </c>
      <c r="D385" t="s">
        <v>146</v>
      </c>
      <c r="E385" t="s">
        <v>10</v>
      </c>
      <c r="F385" t="s">
        <v>23</v>
      </c>
    </row>
    <row r="386" spans="1:6" x14ac:dyDescent="0.25">
      <c r="A386" t="s">
        <v>451</v>
      </c>
      <c r="B386">
        <v>52</v>
      </c>
      <c r="C386" t="s">
        <v>13</v>
      </c>
      <c r="D386" t="s">
        <v>126</v>
      </c>
      <c r="E386" t="s">
        <v>10</v>
      </c>
      <c r="F386" t="s">
        <v>20</v>
      </c>
    </row>
    <row r="387" spans="1:6" x14ac:dyDescent="0.25">
      <c r="A387" t="s">
        <v>452</v>
      </c>
      <c r="B387">
        <v>60</v>
      </c>
      <c r="C387" t="s">
        <v>8</v>
      </c>
      <c r="D387" t="s">
        <v>146</v>
      </c>
      <c r="E387" t="s">
        <v>10</v>
      </c>
      <c r="F387" t="s">
        <v>11</v>
      </c>
    </row>
    <row r="388" spans="1:6" x14ac:dyDescent="0.25">
      <c r="A388" t="s">
        <v>453</v>
      </c>
      <c r="B388">
        <v>18</v>
      </c>
      <c r="C388" t="s">
        <v>13</v>
      </c>
      <c r="D388" t="s">
        <v>74</v>
      </c>
      <c r="E388" t="s">
        <v>10</v>
      </c>
      <c r="F388" t="s">
        <v>20</v>
      </c>
    </row>
    <row r="389" spans="1:6" x14ac:dyDescent="0.25">
      <c r="A389" t="s">
        <v>454</v>
      </c>
      <c r="B389">
        <v>28</v>
      </c>
      <c r="C389" t="s">
        <v>13</v>
      </c>
      <c r="D389" t="s">
        <v>50</v>
      </c>
      <c r="E389" t="s">
        <v>10</v>
      </c>
      <c r="F389" t="s">
        <v>23</v>
      </c>
    </row>
    <row r="390" spans="1:6" x14ac:dyDescent="0.25">
      <c r="A390" t="s">
        <v>455</v>
      </c>
      <c r="B390">
        <v>53</v>
      </c>
      <c r="C390" t="s">
        <v>8</v>
      </c>
      <c r="D390" t="s">
        <v>62</v>
      </c>
      <c r="E390" t="s">
        <v>10</v>
      </c>
      <c r="F390" t="s">
        <v>15</v>
      </c>
    </row>
    <row r="391" spans="1:6" x14ac:dyDescent="0.25">
      <c r="A391" t="s">
        <v>456</v>
      </c>
      <c r="B391">
        <v>50</v>
      </c>
      <c r="C391" t="s">
        <v>8</v>
      </c>
      <c r="D391" t="s">
        <v>42</v>
      </c>
      <c r="E391" t="s">
        <v>10</v>
      </c>
      <c r="F391" t="s">
        <v>15</v>
      </c>
    </row>
    <row r="392" spans="1:6" x14ac:dyDescent="0.25">
      <c r="A392" t="s">
        <v>457</v>
      </c>
      <c r="B392">
        <v>56</v>
      </c>
      <c r="C392" t="s">
        <v>8</v>
      </c>
      <c r="D392" t="s">
        <v>136</v>
      </c>
      <c r="E392" t="s">
        <v>10</v>
      </c>
      <c r="F392" t="s">
        <v>23</v>
      </c>
    </row>
    <row r="393" spans="1:6" x14ac:dyDescent="0.25">
      <c r="A393" t="s">
        <v>458</v>
      </c>
      <c r="B393">
        <v>40</v>
      </c>
      <c r="C393" t="s">
        <v>13</v>
      </c>
      <c r="D393" t="s">
        <v>25</v>
      </c>
      <c r="E393" t="s">
        <v>10</v>
      </c>
      <c r="F393" t="s">
        <v>20</v>
      </c>
    </row>
    <row r="394" spans="1:6" x14ac:dyDescent="0.25">
      <c r="A394" t="s">
        <v>459</v>
      </c>
      <c r="B394">
        <v>46</v>
      </c>
      <c r="C394" t="s">
        <v>8</v>
      </c>
      <c r="D394" t="s">
        <v>62</v>
      </c>
      <c r="E394" t="s">
        <v>10</v>
      </c>
      <c r="F394" t="s">
        <v>11</v>
      </c>
    </row>
    <row r="395" spans="1:6" x14ac:dyDescent="0.25">
      <c r="A395" t="s">
        <v>460</v>
      </c>
      <c r="B395">
        <v>46</v>
      </c>
      <c r="C395" t="s">
        <v>8</v>
      </c>
      <c r="D395" t="s">
        <v>64</v>
      </c>
      <c r="E395" t="s">
        <v>10</v>
      </c>
      <c r="F395" t="s">
        <v>20</v>
      </c>
    </row>
    <row r="396" spans="1:6" x14ac:dyDescent="0.25">
      <c r="A396" t="s">
        <v>461</v>
      </c>
      <c r="B396">
        <v>43</v>
      </c>
      <c r="C396" t="s">
        <v>13</v>
      </c>
      <c r="D396" t="s">
        <v>85</v>
      </c>
      <c r="E396" t="s">
        <v>10</v>
      </c>
      <c r="F396" t="s">
        <v>20</v>
      </c>
    </row>
    <row r="397" spans="1:6" x14ac:dyDescent="0.25">
      <c r="A397" t="s">
        <v>462</v>
      </c>
      <c r="B397">
        <v>50</v>
      </c>
      <c r="C397" t="s">
        <v>8</v>
      </c>
      <c r="D397" t="s">
        <v>38</v>
      </c>
      <c r="E397" t="s">
        <v>10</v>
      </c>
      <c r="F397" t="s">
        <v>11</v>
      </c>
    </row>
    <row r="398" spans="1:6" x14ac:dyDescent="0.25">
      <c r="A398" t="s">
        <v>463</v>
      </c>
      <c r="B398">
        <v>25</v>
      </c>
      <c r="C398" t="s">
        <v>13</v>
      </c>
      <c r="D398" t="s">
        <v>36</v>
      </c>
      <c r="E398" t="s">
        <v>10</v>
      </c>
      <c r="F398" t="s">
        <v>23</v>
      </c>
    </row>
    <row r="399" spans="1:6" x14ac:dyDescent="0.25">
      <c r="A399" t="s">
        <v>464</v>
      </c>
      <c r="B399">
        <v>62</v>
      </c>
      <c r="C399" t="s">
        <v>13</v>
      </c>
      <c r="D399" t="s">
        <v>38</v>
      </c>
      <c r="E399" t="s">
        <v>10</v>
      </c>
      <c r="F399" t="s">
        <v>15</v>
      </c>
    </row>
    <row r="400" spans="1:6" x14ac:dyDescent="0.25">
      <c r="A400" t="s">
        <v>465</v>
      </c>
      <c r="B400">
        <v>54</v>
      </c>
      <c r="C400" t="s">
        <v>8</v>
      </c>
      <c r="D400" t="s">
        <v>31</v>
      </c>
      <c r="E400" t="s">
        <v>10</v>
      </c>
      <c r="F400" t="s">
        <v>20</v>
      </c>
    </row>
    <row r="401" spans="1:6" x14ac:dyDescent="0.25">
      <c r="A401" t="s">
        <v>466</v>
      </c>
      <c r="B401">
        <v>27</v>
      </c>
      <c r="C401" t="s">
        <v>8</v>
      </c>
      <c r="D401" t="s">
        <v>189</v>
      </c>
      <c r="E401" t="s">
        <v>10</v>
      </c>
      <c r="F401" t="s">
        <v>20</v>
      </c>
    </row>
    <row r="402" spans="1:6" x14ac:dyDescent="0.25">
      <c r="A402" t="s">
        <v>467</v>
      </c>
      <c r="B402">
        <v>57</v>
      </c>
      <c r="C402" t="s">
        <v>13</v>
      </c>
      <c r="D402" t="s">
        <v>54</v>
      </c>
      <c r="E402" t="s">
        <v>10</v>
      </c>
      <c r="F402" t="s">
        <v>15</v>
      </c>
    </row>
    <row r="403" spans="1:6" x14ac:dyDescent="0.25">
      <c r="A403" t="s">
        <v>468</v>
      </c>
      <c r="B403">
        <v>51</v>
      </c>
      <c r="C403" t="s">
        <v>13</v>
      </c>
      <c r="D403" t="s">
        <v>92</v>
      </c>
      <c r="E403" t="s">
        <v>10</v>
      </c>
      <c r="F403" t="s">
        <v>15</v>
      </c>
    </row>
    <row r="404" spans="1:6" x14ac:dyDescent="0.25">
      <c r="A404" t="s">
        <v>469</v>
      </c>
      <c r="B404">
        <v>31</v>
      </c>
      <c r="C404" t="s">
        <v>8</v>
      </c>
      <c r="D404" t="s">
        <v>144</v>
      </c>
      <c r="E404" t="s">
        <v>10</v>
      </c>
      <c r="F404" t="s">
        <v>20</v>
      </c>
    </row>
    <row r="405" spans="1:6" x14ac:dyDescent="0.25">
      <c r="A405" t="s">
        <v>470</v>
      </c>
      <c r="B405">
        <v>34</v>
      </c>
      <c r="C405" t="s">
        <v>8</v>
      </c>
      <c r="D405" t="s">
        <v>151</v>
      </c>
      <c r="E405" t="s">
        <v>10</v>
      </c>
      <c r="F405" t="s">
        <v>20</v>
      </c>
    </row>
    <row r="406" spans="1:6" x14ac:dyDescent="0.25">
      <c r="A406" t="s">
        <v>471</v>
      </c>
      <c r="B406">
        <v>22</v>
      </c>
      <c r="C406" t="s">
        <v>13</v>
      </c>
      <c r="D406" t="s">
        <v>136</v>
      </c>
      <c r="E406" t="s">
        <v>10</v>
      </c>
      <c r="F406" t="s">
        <v>23</v>
      </c>
    </row>
    <row r="407" spans="1:6" x14ac:dyDescent="0.25">
      <c r="A407" t="s">
        <v>472</v>
      </c>
      <c r="B407">
        <v>18</v>
      </c>
      <c r="C407" t="s">
        <v>13</v>
      </c>
      <c r="D407" t="s">
        <v>151</v>
      </c>
      <c r="E407" t="s">
        <v>10</v>
      </c>
      <c r="F407" t="s">
        <v>11</v>
      </c>
    </row>
    <row r="408" spans="1:6" x14ac:dyDescent="0.25">
      <c r="A408" t="s">
        <v>473</v>
      </c>
      <c r="B408">
        <v>23</v>
      </c>
      <c r="C408" t="s">
        <v>13</v>
      </c>
      <c r="D408" t="s">
        <v>149</v>
      </c>
      <c r="E408" t="s">
        <v>10</v>
      </c>
      <c r="F408" t="s">
        <v>11</v>
      </c>
    </row>
    <row r="409" spans="1:6" x14ac:dyDescent="0.25">
      <c r="A409" t="s">
        <v>474</v>
      </c>
      <c r="B409">
        <v>33</v>
      </c>
      <c r="C409" t="s">
        <v>8</v>
      </c>
      <c r="D409" t="s">
        <v>74</v>
      </c>
      <c r="E409" t="s">
        <v>10</v>
      </c>
      <c r="F409" t="s">
        <v>11</v>
      </c>
    </row>
    <row r="410" spans="1:6" x14ac:dyDescent="0.25">
      <c r="A410" t="s">
        <v>475</v>
      </c>
      <c r="B410">
        <v>36</v>
      </c>
      <c r="C410" t="s">
        <v>8</v>
      </c>
      <c r="D410" t="s">
        <v>50</v>
      </c>
      <c r="E410" t="s">
        <v>10</v>
      </c>
      <c r="F410" t="s">
        <v>11</v>
      </c>
    </row>
    <row r="411" spans="1:6" x14ac:dyDescent="0.25">
      <c r="A411" t="s">
        <v>476</v>
      </c>
      <c r="B411">
        <v>55</v>
      </c>
      <c r="C411" t="s">
        <v>8</v>
      </c>
      <c r="D411" t="s">
        <v>331</v>
      </c>
      <c r="E411" t="s">
        <v>10</v>
      </c>
      <c r="F411" t="s">
        <v>11</v>
      </c>
    </row>
    <row r="412" spans="1:6" x14ac:dyDescent="0.25">
      <c r="A412" t="s">
        <v>477</v>
      </c>
      <c r="B412">
        <v>48</v>
      </c>
      <c r="C412" t="s">
        <v>13</v>
      </c>
      <c r="D412" t="s">
        <v>50</v>
      </c>
      <c r="E412" t="s">
        <v>10</v>
      </c>
      <c r="F412" t="s">
        <v>20</v>
      </c>
    </row>
    <row r="413" spans="1:6" x14ac:dyDescent="0.25">
      <c r="A413" t="s">
        <v>478</v>
      </c>
      <c r="B413">
        <v>63</v>
      </c>
      <c r="C413" t="s">
        <v>8</v>
      </c>
      <c r="D413" t="s">
        <v>19</v>
      </c>
      <c r="E413" t="s">
        <v>10</v>
      </c>
      <c r="F413" t="s">
        <v>23</v>
      </c>
    </row>
    <row r="414" spans="1:6" x14ac:dyDescent="0.25">
      <c r="A414" t="s">
        <v>479</v>
      </c>
      <c r="B414">
        <v>23</v>
      </c>
      <c r="C414" t="s">
        <v>13</v>
      </c>
      <c r="D414" t="s">
        <v>80</v>
      </c>
      <c r="E414" t="s">
        <v>10</v>
      </c>
      <c r="F414" t="s">
        <v>11</v>
      </c>
    </row>
    <row r="415" spans="1:6" x14ac:dyDescent="0.25">
      <c r="A415" t="s">
        <v>480</v>
      </c>
      <c r="B415">
        <v>59</v>
      </c>
      <c r="C415" t="s">
        <v>13</v>
      </c>
      <c r="D415" t="s">
        <v>59</v>
      </c>
      <c r="E415" t="s">
        <v>10</v>
      </c>
      <c r="F415" t="s">
        <v>20</v>
      </c>
    </row>
    <row r="416" spans="1:6" x14ac:dyDescent="0.25">
      <c r="A416" t="s">
        <v>481</v>
      </c>
      <c r="B416">
        <v>35</v>
      </c>
      <c r="C416" t="s">
        <v>13</v>
      </c>
      <c r="D416" t="s">
        <v>62</v>
      </c>
      <c r="E416" t="s">
        <v>10</v>
      </c>
      <c r="F416" t="s">
        <v>11</v>
      </c>
    </row>
    <row r="417" spans="1:6" x14ac:dyDescent="0.25">
      <c r="A417" t="s">
        <v>482</v>
      </c>
      <c r="B417">
        <v>26</v>
      </c>
      <c r="C417" t="s">
        <v>13</v>
      </c>
      <c r="D417" t="s">
        <v>83</v>
      </c>
      <c r="E417" t="s">
        <v>10</v>
      </c>
      <c r="F417" t="s">
        <v>23</v>
      </c>
    </row>
    <row r="418" spans="1:6" x14ac:dyDescent="0.25">
      <c r="A418" t="s">
        <v>483</v>
      </c>
      <c r="B418">
        <v>46</v>
      </c>
      <c r="C418" t="s">
        <v>8</v>
      </c>
      <c r="D418" t="s">
        <v>149</v>
      </c>
      <c r="E418" t="s">
        <v>10</v>
      </c>
      <c r="F418" t="s">
        <v>15</v>
      </c>
    </row>
    <row r="419" spans="1:6" x14ac:dyDescent="0.25">
      <c r="A419" t="s">
        <v>484</v>
      </c>
      <c r="B419">
        <v>64</v>
      </c>
      <c r="C419" t="s">
        <v>13</v>
      </c>
      <c r="D419" t="s">
        <v>9</v>
      </c>
      <c r="E419" t="s">
        <v>10</v>
      </c>
      <c r="F419" t="s">
        <v>20</v>
      </c>
    </row>
    <row r="420" spans="1:6" x14ac:dyDescent="0.25">
      <c r="A420" t="s">
        <v>485</v>
      </c>
      <c r="B420">
        <v>60</v>
      </c>
      <c r="C420" t="s">
        <v>13</v>
      </c>
      <c r="D420" t="s">
        <v>31</v>
      </c>
      <c r="E420" t="s">
        <v>10</v>
      </c>
      <c r="F420" t="s">
        <v>23</v>
      </c>
    </row>
    <row r="421" spans="1:6" x14ac:dyDescent="0.25">
      <c r="A421" t="s">
        <v>486</v>
      </c>
      <c r="B421">
        <v>33</v>
      </c>
      <c r="C421" t="s">
        <v>8</v>
      </c>
      <c r="D421" t="s">
        <v>144</v>
      </c>
      <c r="E421" t="s">
        <v>10</v>
      </c>
      <c r="F421" t="s">
        <v>11</v>
      </c>
    </row>
    <row r="422" spans="1:6" x14ac:dyDescent="0.25">
      <c r="A422" t="s">
        <v>487</v>
      </c>
      <c r="B422">
        <v>60</v>
      </c>
      <c r="C422" t="s">
        <v>8</v>
      </c>
      <c r="D422" t="s">
        <v>9</v>
      </c>
      <c r="E422" t="s">
        <v>10</v>
      </c>
      <c r="F422" t="s">
        <v>20</v>
      </c>
    </row>
    <row r="423" spans="1:6" x14ac:dyDescent="0.25">
      <c r="A423" t="s">
        <v>488</v>
      </c>
      <c r="B423">
        <v>45</v>
      </c>
      <c r="C423" t="s">
        <v>13</v>
      </c>
      <c r="D423" t="s">
        <v>44</v>
      </c>
      <c r="E423" t="s">
        <v>10</v>
      </c>
      <c r="F423" t="s">
        <v>15</v>
      </c>
    </row>
    <row r="424" spans="1:6" x14ac:dyDescent="0.25">
      <c r="A424" t="s">
        <v>489</v>
      </c>
      <c r="B424">
        <v>42</v>
      </c>
      <c r="C424" t="s">
        <v>13</v>
      </c>
      <c r="D424" t="s">
        <v>38</v>
      </c>
      <c r="E424" t="s">
        <v>10</v>
      </c>
      <c r="F424" t="s">
        <v>15</v>
      </c>
    </row>
    <row r="425" spans="1:6" x14ac:dyDescent="0.25">
      <c r="A425" t="s">
        <v>490</v>
      </c>
      <c r="B425">
        <v>35</v>
      </c>
      <c r="C425" t="s">
        <v>8</v>
      </c>
      <c r="D425" t="s">
        <v>38</v>
      </c>
      <c r="E425" t="s">
        <v>10</v>
      </c>
      <c r="F425" t="s">
        <v>23</v>
      </c>
    </row>
    <row r="426" spans="1:6" x14ac:dyDescent="0.25">
      <c r="A426" t="s">
        <v>491</v>
      </c>
      <c r="B426">
        <v>53</v>
      </c>
      <c r="C426" t="s">
        <v>8</v>
      </c>
      <c r="D426" t="s">
        <v>9</v>
      </c>
      <c r="E426" t="s">
        <v>10</v>
      </c>
      <c r="F426" t="s">
        <v>20</v>
      </c>
    </row>
    <row r="427" spans="1:6" x14ac:dyDescent="0.25">
      <c r="A427" t="s">
        <v>492</v>
      </c>
      <c r="B427">
        <v>40</v>
      </c>
      <c r="C427" t="s">
        <v>8</v>
      </c>
      <c r="D427" t="s">
        <v>64</v>
      </c>
      <c r="E427" t="s">
        <v>10</v>
      </c>
      <c r="F427" t="s">
        <v>20</v>
      </c>
    </row>
    <row r="428" spans="1:6" x14ac:dyDescent="0.25">
      <c r="A428" t="s">
        <v>493</v>
      </c>
      <c r="B428">
        <v>28</v>
      </c>
      <c r="C428" t="s">
        <v>8</v>
      </c>
      <c r="D428" t="s">
        <v>9</v>
      </c>
      <c r="E428" t="s">
        <v>10</v>
      </c>
      <c r="F428" t="s">
        <v>15</v>
      </c>
    </row>
    <row r="429" spans="1:6" x14ac:dyDescent="0.25">
      <c r="A429" t="s">
        <v>494</v>
      </c>
      <c r="B429">
        <v>18</v>
      </c>
      <c r="C429" t="s">
        <v>13</v>
      </c>
      <c r="D429" t="s">
        <v>189</v>
      </c>
      <c r="E429" t="s">
        <v>10</v>
      </c>
      <c r="F429" t="s">
        <v>11</v>
      </c>
    </row>
    <row r="430" spans="1:6" x14ac:dyDescent="0.25">
      <c r="A430" t="s">
        <v>495</v>
      </c>
      <c r="B430">
        <v>27</v>
      </c>
      <c r="C430" t="s">
        <v>13</v>
      </c>
      <c r="D430" t="s">
        <v>151</v>
      </c>
      <c r="E430" t="s">
        <v>10</v>
      </c>
      <c r="F430" t="s">
        <v>20</v>
      </c>
    </row>
    <row r="431" spans="1:6" x14ac:dyDescent="0.25">
      <c r="A431" t="s">
        <v>496</v>
      </c>
      <c r="B431">
        <v>43</v>
      </c>
      <c r="C431" t="s">
        <v>8</v>
      </c>
      <c r="D431" t="s">
        <v>59</v>
      </c>
      <c r="E431" t="s">
        <v>10</v>
      </c>
      <c r="F431" t="s">
        <v>15</v>
      </c>
    </row>
    <row r="432" spans="1:6" x14ac:dyDescent="0.25">
      <c r="A432" t="s">
        <v>497</v>
      </c>
      <c r="B432">
        <v>36</v>
      </c>
      <c r="C432" t="s">
        <v>13</v>
      </c>
      <c r="D432" t="s">
        <v>50</v>
      </c>
      <c r="E432" t="s">
        <v>10</v>
      </c>
      <c r="F432" t="s">
        <v>11</v>
      </c>
    </row>
    <row r="433" spans="1:6" x14ac:dyDescent="0.25">
      <c r="A433" t="s">
        <v>498</v>
      </c>
      <c r="B433">
        <v>27</v>
      </c>
      <c r="C433" t="s">
        <v>8</v>
      </c>
      <c r="D433" t="s">
        <v>22</v>
      </c>
      <c r="E433" t="s">
        <v>10</v>
      </c>
      <c r="F433" t="s">
        <v>15</v>
      </c>
    </row>
    <row r="434" spans="1:6" x14ac:dyDescent="0.25">
      <c r="A434" t="s">
        <v>499</v>
      </c>
      <c r="B434">
        <v>37</v>
      </c>
      <c r="C434" t="s">
        <v>8</v>
      </c>
      <c r="D434" t="s">
        <v>50</v>
      </c>
      <c r="E434" t="s">
        <v>10</v>
      </c>
      <c r="F434" t="s">
        <v>20</v>
      </c>
    </row>
    <row r="435" spans="1:6" x14ac:dyDescent="0.25">
      <c r="A435" t="s">
        <v>500</v>
      </c>
      <c r="B435">
        <v>51</v>
      </c>
      <c r="C435" t="s">
        <v>13</v>
      </c>
      <c r="D435" t="s">
        <v>36</v>
      </c>
      <c r="E435" t="s">
        <v>10</v>
      </c>
      <c r="F435" t="s">
        <v>23</v>
      </c>
    </row>
    <row r="436" spans="1:6" x14ac:dyDescent="0.25">
      <c r="A436" t="s">
        <v>501</v>
      </c>
      <c r="B436">
        <v>48</v>
      </c>
      <c r="C436" t="s">
        <v>13</v>
      </c>
      <c r="D436" t="s">
        <v>121</v>
      </c>
      <c r="E436" t="s">
        <v>10</v>
      </c>
      <c r="F436" t="s">
        <v>11</v>
      </c>
    </row>
    <row r="437" spans="1:6" x14ac:dyDescent="0.25">
      <c r="A437" t="s">
        <v>502</v>
      </c>
      <c r="B437">
        <v>37</v>
      </c>
      <c r="C437" t="s">
        <v>13</v>
      </c>
      <c r="D437" t="s">
        <v>59</v>
      </c>
      <c r="E437" t="s">
        <v>10</v>
      </c>
      <c r="F437" t="s">
        <v>23</v>
      </c>
    </row>
    <row r="438" spans="1:6" x14ac:dyDescent="0.25">
      <c r="A438" t="s">
        <v>503</v>
      </c>
      <c r="B438">
        <v>61</v>
      </c>
      <c r="C438" t="s">
        <v>8</v>
      </c>
      <c r="D438" t="s">
        <v>27</v>
      </c>
      <c r="E438" t="s">
        <v>10</v>
      </c>
      <c r="F438" t="s">
        <v>11</v>
      </c>
    </row>
    <row r="439" spans="1:6" x14ac:dyDescent="0.25">
      <c r="A439" t="s">
        <v>504</v>
      </c>
      <c r="B439">
        <v>47</v>
      </c>
      <c r="C439" t="s">
        <v>13</v>
      </c>
      <c r="D439" t="s">
        <v>31</v>
      </c>
      <c r="E439" t="s">
        <v>10</v>
      </c>
      <c r="F439" t="s">
        <v>15</v>
      </c>
    </row>
    <row r="440" spans="1:6" x14ac:dyDescent="0.25">
      <c r="A440" t="s">
        <v>505</v>
      </c>
      <c r="B440">
        <v>59</v>
      </c>
      <c r="C440" t="s">
        <v>13</v>
      </c>
      <c r="D440" t="s">
        <v>114</v>
      </c>
      <c r="E440" t="s">
        <v>10</v>
      </c>
      <c r="F440" t="s">
        <v>15</v>
      </c>
    </row>
    <row r="441" spans="1:6" x14ac:dyDescent="0.25">
      <c r="A441" t="s">
        <v>506</v>
      </c>
      <c r="B441">
        <v>53</v>
      </c>
      <c r="C441" t="s">
        <v>8</v>
      </c>
      <c r="D441" t="s">
        <v>80</v>
      </c>
      <c r="E441" t="s">
        <v>10</v>
      </c>
      <c r="F441" t="s">
        <v>23</v>
      </c>
    </row>
    <row r="442" spans="1:6" x14ac:dyDescent="0.25">
      <c r="A442" t="s">
        <v>507</v>
      </c>
      <c r="B442">
        <v>60</v>
      </c>
      <c r="C442" t="s">
        <v>8</v>
      </c>
      <c r="D442" t="s">
        <v>14</v>
      </c>
      <c r="E442" t="s">
        <v>10</v>
      </c>
      <c r="F442" t="s">
        <v>23</v>
      </c>
    </row>
    <row r="443" spans="1:6" x14ac:dyDescent="0.25">
      <c r="A443" t="s">
        <v>508</v>
      </c>
      <c r="B443">
        <v>31</v>
      </c>
      <c r="C443" t="s">
        <v>8</v>
      </c>
      <c r="D443" t="s">
        <v>149</v>
      </c>
      <c r="E443" t="s">
        <v>10</v>
      </c>
      <c r="F443" t="s">
        <v>23</v>
      </c>
    </row>
    <row r="444" spans="1:6" x14ac:dyDescent="0.25">
      <c r="A444" t="s">
        <v>509</v>
      </c>
      <c r="B444">
        <v>42</v>
      </c>
      <c r="C444" t="s">
        <v>13</v>
      </c>
      <c r="D444" t="s">
        <v>25</v>
      </c>
      <c r="E444" t="s">
        <v>10</v>
      </c>
      <c r="F444" t="s">
        <v>20</v>
      </c>
    </row>
    <row r="445" spans="1:6" x14ac:dyDescent="0.25">
      <c r="A445" t="s">
        <v>510</v>
      </c>
      <c r="B445">
        <v>51</v>
      </c>
      <c r="C445" t="s">
        <v>8</v>
      </c>
      <c r="D445" t="s">
        <v>162</v>
      </c>
      <c r="E445" t="s">
        <v>10</v>
      </c>
      <c r="F445" t="s">
        <v>23</v>
      </c>
    </row>
    <row r="446" spans="1:6" x14ac:dyDescent="0.25">
      <c r="A446" t="s">
        <v>511</v>
      </c>
      <c r="B446">
        <v>19</v>
      </c>
      <c r="C446" t="s">
        <v>8</v>
      </c>
      <c r="D446" t="s">
        <v>331</v>
      </c>
      <c r="E446" t="s">
        <v>10</v>
      </c>
      <c r="F446" t="s">
        <v>11</v>
      </c>
    </row>
    <row r="447" spans="1:6" x14ac:dyDescent="0.25">
      <c r="A447" t="s">
        <v>512</v>
      </c>
      <c r="B447">
        <v>41</v>
      </c>
      <c r="C447" t="s">
        <v>13</v>
      </c>
      <c r="D447" t="s">
        <v>134</v>
      </c>
      <c r="E447" t="s">
        <v>10</v>
      </c>
      <c r="F447" t="s">
        <v>15</v>
      </c>
    </row>
    <row r="448" spans="1:6" x14ac:dyDescent="0.25">
      <c r="A448" t="s">
        <v>513</v>
      </c>
      <c r="B448">
        <v>35</v>
      </c>
      <c r="C448" t="s">
        <v>8</v>
      </c>
      <c r="D448" t="s">
        <v>54</v>
      </c>
      <c r="E448" t="s">
        <v>10</v>
      </c>
      <c r="F448" t="s">
        <v>23</v>
      </c>
    </row>
    <row r="449" spans="1:6" x14ac:dyDescent="0.25">
      <c r="A449" t="s">
        <v>514</v>
      </c>
      <c r="B449">
        <v>45</v>
      </c>
      <c r="C449" t="s">
        <v>8</v>
      </c>
      <c r="D449" t="s">
        <v>9</v>
      </c>
      <c r="E449" t="s">
        <v>10</v>
      </c>
      <c r="F449" t="s">
        <v>11</v>
      </c>
    </row>
    <row r="450" spans="1:6" x14ac:dyDescent="0.25">
      <c r="A450" t="s">
        <v>515</v>
      </c>
      <c r="B450">
        <v>64</v>
      </c>
      <c r="C450" t="s">
        <v>13</v>
      </c>
      <c r="D450" t="s">
        <v>331</v>
      </c>
      <c r="E450" t="s">
        <v>10</v>
      </c>
      <c r="F450" t="s">
        <v>20</v>
      </c>
    </row>
    <row r="451" spans="1:6" x14ac:dyDescent="0.25">
      <c r="A451" t="s">
        <v>516</v>
      </c>
      <c r="B451">
        <v>29</v>
      </c>
      <c r="C451" t="s">
        <v>8</v>
      </c>
      <c r="D451" t="s">
        <v>19</v>
      </c>
      <c r="E451" t="s">
        <v>10</v>
      </c>
      <c r="F451" t="s">
        <v>20</v>
      </c>
    </row>
    <row r="452" spans="1:6" x14ac:dyDescent="0.25">
      <c r="A452" t="s">
        <v>517</v>
      </c>
      <c r="B452">
        <v>59</v>
      </c>
      <c r="C452" t="s">
        <v>8</v>
      </c>
      <c r="D452" t="s">
        <v>42</v>
      </c>
      <c r="E452" t="s">
        <v>10</v>
      </c>
      <c r="F452" t="s">
        <v>20</v>
      </c>
    </row>
    <row r="453" spans="1:6" x14ac:dyDescent="0.25">
      <c r="A453" t="s">
        <v>518</v>
      </c>
      <c r="B453">
        <v>46</v>
      </c>
      <c r="C453" t="s">
        <v>8</v>
      </c>
      <c r="D453" t="s">
        <v>112</v>
      </c>
      <c r="E453" t="s">
        <v>10</v>
      </c>
      <c r="F453" t="s">
        <v>11</v>
      </c>
    </row>
    <row r="454" spans="1:6" x14ac:dyDescent="0.25">
      <c r="A454" t="s">
        <v>519</v>
      </c>
      <c r="B454">
        <v>60</v>
      </c>
      <c r="C454" t="s">
        <v>13</v>
      </c>
      <c r="D454" t="s">
        <v>144</v>
      </c>
      <c r="E454" t="s">
        <v>10</v>
      </c>
      <c r="F454" t="s">
        <v>20</v>
      </c>
    </row>
    <row r="455" spans="1:6" x14ac:dyDescent="0.25">
      <c r="A455" t="s">
        <v>520</v>
      </c>
      <c r="B455">
        <v>62</v>
      </c>
      <c r="C455" t="s">
        <v>13</v>
      </c>
      <c r="D455" t="s">
        <v>56</v>
      </c>
      <c r="E455" t="s">
        <v>10</v>
      </c>
      <c r="F455" t="s">
        <v>15</v>
      </c>
    </row>
    <row r="456" spans="1:6" x14ac:dyDescent="0.25">
      <c r="A456" t="s">
        <v>521</v>
      </c>
      <c r="B456">
        <v>60</v>
      </c>
      <c r="C456" t="s">
        <v>8</v>
      </c>
      <c r="D456" t="s">
        <v>54</v>
      </c>
      <c r="E456" t="s">
        <v>10</v>
      </c>
      <c r="F456" t="s">
        <v>11</v>
      </c>
    </row>
    <row r="457" spans="1:6" x14ac:dyDescent="0.25">
      <c r="A457" t="s">
        <v>522</v>
      </c>
      <c r="B457">
        <v>54</v>
      </c>
      <c r="C457" t="s">
        <v>8</v>
      </c>
      <c r="D457" t="s">
        <v>96</v>
      </c>
      <c r="E457" t="s">
        <v>10</v>
      </c>
      <c r="F457" t="s">
        <v>11</v>
      </c>
    </row>
    <row r="458" spans="1:6" x14ac:dyDescent="0.25">
      <c r="A458" t="s">
        <v>523</v>
      </c>
      <c r="B458">
        <v>59</v>
      </c>
      <c r="C458" t="s">
        <v>13</v>
      </c>
      <c r="D458" t="s">
        <v>136</v>
      </c>
      <c r="E458" t="s">
        <v>10</v>
      </c>
      <c r="F458" t="s">
        <v>11</v>
      </c>
    </row>
    <row r="459" spans="1:6" x14ac:dyDescent="0.25">
      <c r="A459" t="s">
        <v>524</v>
      </c>
      <c r="B459">
        <v>59</v>
      </c>
      <c r="C459" t="s">
        <v>8</v>
      </c>
      <c r="D459" t="s">
        <v>242</v>
      </c>
      <c r="E459" t="s">
        <v>10</v>
      </c>
      <c r="F459" t="s">
        <v>15</v>
      </c>
    </row>
    <row r="460" spans="1:6" x14ac:dyDescent="0.25">
      <c r="A460" t="s">
        <v>525</v>
      </c>
      <c r="B460">
        <v>62</v>
      </c>
      <c r="C460" t="s">
        <v>13</v>
      </c>
      <c r="D460" t="s">
        <v>33</v>
      </c>
      <c r="E460" t="s">
        <v>10</v>
      </c>
      <c r="F460" t="s">
        <v>23</v>
      </c>
    </row>
    <row r="461" spans="1:6" x14ac:dyDescent="0.25">
      <c r="A461" t="s">
        <v>526</v>
      </c>
      <c r="B461">
        <v>29</v>
      </c>
      <c r="C461" t="s">
        <v>13</v>
      </c>
      <c r="D461" t="s">
        <v>146</v>
      </c>
      <c r="E461" t="s">
        <v>10</v>
      </c>
      <c r="F461" t="s">
        <v>11</v>
      </c>
    </row>
    <row r="462" spans="1:6" x14ac:dyDescent="0.25">
      <c r="A462" t="s">
        <v>527</v>
      </c>
      <c r="B462">
        <v>35</v>
      </c>
      <c r="C462" t="s">
        <v>8</v>
      </c>
      <c r="D462" t="s">
        <v>126</v>
      </c>
      <c r="E462" t="s">
        <v>10</v>
      </c>
      <c r="F462" t="s">
        <v>11</v>
      </c>
    </row>
    <row r="463" spans="1:6" x14ac:dyDescent="0.25">
      <c r="A463" t="s">
        <v>528</v>
      </c>
      <c r="B463">
        <v>60</v>
      </c>
      <c r="C463" t="s">
        <v>13</v>
      </c>
      <c r="D463" t="s">
        <v>38</v>
      </c>
      <c r="E463" t="s">
        <v>10</v>
      </c>
      <c r="F463" t="s">
        <v>23</v>
      </c>
    </row>
    <row r="464" spans="1:6" x14ac:dyDescent="0.25">
      <c r="A464" t="s">
        <v>529</v>
      </c>
      <c r="B464">
        <v>34</v>
      </c>
      <c r="C464" t="s">
        <v>13</v>
      </c>
      <c r="D464" t="s">
        <v>29</v>
      </c>
      <c r="E464" t="s">
        <v>10</v>
      </c>
      <c r="F464" t="s">
        <v>23</v>
      </c>
    </row>
    <row r="465" spans="1:6" x14ac:dyDescent="0.25">
      <c r="A465" t="s">
        <v>530</v>
      </c>
      <c r="B465">
        <v>36</v>
      </c>
      <c r="C465" t="s">
        <v>13</v>
      </c>
      <c r="D465" t="s">
        <v>85</v>
      </c>
      <c r="E465" t="s">
        <v>10</v>
      </c>
      <c r="F465" t="s">
        <v>20</v>
      </c>
    </row>
    <row r="466" spans="1:6" x14ac:dyDescent="0.25">
      <c r="A466" t="s">
        <v>531</v>
      </c>
      <c r="B466">
        <v>45</v>
      </c>
      <c r="C466" t="s">
        <v>13</v>
      </c>
      <c r="D466" t="s">
        <v>44</v>
      </c>
      <c r="E466" t="s">
        <v>10</v>
      </c>
      <c r="F466" t="s">
        <v>15</v>
      </c>
    </row>
    <row r="467" spans="1:6" x14ac:dyDescent="0.25">
      <c r="A467" t="s">
        <v>532</v>
      </c>
      <c r="B467">
        <v>28</v>
      </c>
      <c r="C467" t="s">
        <v>13</v>
      </c>
      <c r="D467" t="s">
        <v>9</v>
      </c>
      <c r="E467" t="s">
        <v>10</v>
      </c>
      <c r="F467" t="s">
        <v>23</v>
      </c>
    </row>
    <row r="468" spans="1:6" x14ac:dyDescent="0.25">
      <c r="A468" t="s">
        <v>533</v>
      </c>
      <c r="B468">
        <v>18</v>
      </c>
      <c r="C468" t="s">
        <v>8</v>
      </c>
      <c r="D468" t="s">
        <v>99</v>
      </c>
      <c r="E468" t="s">
        <v>10</v>
      </c>
      <c r="F468" t="s">
        <v>23</v>
      </c>
    </row>
    <row r="469" spans="1:6" x14ac:dyDescent="0.25">
      <c r="A469" t="s">
        <v>534</v>
      </c>
      <c r="B469">
        <v>63</v>
      </c>
      <c r="C469" t="s">
        <v>13</v>
      </c>
      <c r="D469" t="s">
        <v>87</v>
      </c>
      <c r="E469" t="s">
        <v>10</v>
      </c>
      <c r="F469" t="s">
        <v>11</v>
      </c>
    </row>
    <row r="470" spans="1:6" x14ac:dyDescent="0.25">
      <c r="A470" t="s">
        <v>535</v>
      </c>
      <c r="B470">
        <v>45</v>
      </c>
      <c r="C470" t="s">
        <v>8</v>
      </c>
      <c r="D470" t="s">
        <v>87</v>
      </c>
      <c r="E470" t="s">
        <v>10</v>
      </c>
      <c r="F470" t="s">
        <v>20</v>
      </c>
    </row>
    <row r="471" spans="1:6" x14ac:dyDescent="0.25">
      <c r="A471" t="s">
        <v>536</v>
      </c>
      <c r="B471">
        <v>19</v>
      </c>
      <c r="C471" t="s">
        <v>8</v>
      </c>
      <c r="D471" t="s">
        <v>64</v>
      </c>
      <c r="E471" t="s">
        <v>10</v>
      </c>
      <c r="F471" t="s">
        <v>11</v>
      </c>
    </row>
    <row r="472" spans="1:6" x14ac:dyDescent="0.25">
      <c r="A472" t="s">
        <v>537</v>
      </c>
      <c r="B472">
        <v>21</v>
      </c>
      <c r="C472" t="s">
        <v>13</v>
      </c>
      <c r="D472" t="s">
        <v>31</v>
      </c>
      <c r="E472" t="s">
        <v>10</v>
      </c>
      <c r="F472" t="s">
        <v>11</v>
      </c>
    </row>
    <row r="473" spans="1:6" x14ac:dyDescent="0.25">
      <c r="A473" t="s">
        <v>538</v>
      </c>
      <c r="B473">
        <v>42</v>
      </c>
      <c r="C473" t="s">
        <v>8</v>
      </c>
      <c r="D473" t="s">
        <v>40</v>
      </c>
      <c r="E473" t="s">
        <v>10</v>
      </c>
      <c r="F473" t="s">
        <v>15</v>
      </c>
    </row>
    <row r="474" spans="1:6" x14ac:dyDescent="0.25">
      <c r="A474" t="s">
        <v>539</v>
      </c>
      <c r="B474">
        <v>42</v>
      </c>
      <c r="C474" t="s">
        <v>8</v>
      </c>
      <c r="D474" t="s">
        <v>286</v>
      </c>
      <c r="E474" t="s">
        <v>10</v>
      </c>
      <c r="F474" t="s">
        <v>23</v>
      </c>
    </row>
    <row r="475" spans="1:6" x14ac:dyDescent="0.25">
      <c r="A475" t="s">
        <v>540</v>
      </c>
      <c r="B475">
        <v>53</v>
      </c>
      <c r="C475" t="s">
        <v>8</v>
      </c>
      <c r="D475" t="s">
        <v>149</v>
      </c>
      <c r="E475" t="s">
        <v>10</v>
      </c>
      <c r="F475" t="s">
        <v>20</v>
      </c>
    </row>
    <row r="476" spans="1:6" x14ac:dyDescent="0.25">
      <c r="A476" t="s">
        <v>541</v>
      </c>
      <c r="B476">
        <v>32</v>
      </c>
      <c r="C476" t="s">
        <v>13</v>
      </c>
      <c r="D476" t="s">
        <v>27</v>
      </c>
      <c r="E476" t="s">
        <v>10</v>
      </c>
      <c r="F476" t="s">
        <v>15</v>
      </c>
    </row>
    <row r="477" spans="1:6" x14ac:dyDescent="0.25">
      <c r="A477" t="s">
        <v>542</v>
      </c>
      <c r="B477">
        <v>18</v>
      </c>
      <c r="C477" t="s">
        <v>13</v>
      </c>
      <c r="D477" t="s">
        <v>87</v>
      </c>
      <c r="E477" t="s">
        <v>10</v>
      </c>
      <c r="F477" t="s">
        <v>15</v>
      </c>
    </row>
    <row r="478" spans="1:6" x14ac:dyDescent="0.25">
      <c r="A478" t="s">
        <v>543</v>
      </c>
      <c r="B478">
        <v>33</v>
      </c>
      <c r="C478" t="s">
        <v>13</v>
      </c>
      <c r="D478" t="s">
        <v>54</v>
      </c>
      <c r="E478" t="s">
        <v>10</v>
      </c>
      <c r="F478" t="s">
        <v>11</v>
      </c>
    </row>
    <row r="479" spans="1:6" x14ac:dyDescent="0.25">
      <c r="A479" t="s">
        <v>544</v>
      </c>
      <c r="B479">
        <v>41</v>
      </c>
      <c r="C479" t="s">
        <v>13</v>
      </c>
      <c r="D479" t="s">
        <v>38</v>
      </c>
      <c r="E479" t="s">
        <v>10</v>
      </c>
      <c r="F479" t="s">
        <v>15</v>
      </c>
    </row>
    <row r="480" spans="1:6" x14ac:dyDescent="0.25">
      <c r="A480" t="s">
        <v>545</v>
      </c>
      <c r="B480">
        <v>59</v>
      </c>
      <c r="C480" t="s">
        <v>8</v>
      </c>
      <c r="D480" t="s">
        <v>27</v>
      </c>
      <c r="E480" t="s">
        <v>10</v>
      </c>
      <c r="F480" t="s">
        <v>11</v>
      </c>
    </row>
    <row r="481" spans="1:6" x14ac:dyDescent="0.25">
      <c r="A481" t="s">
        <v>546</v>
      </c>
      <c r="B481">
        <v>40</v>
      </c>
      <c r="C481" t="s">
        <v>8</v>
      </c>
      <c r="D481" t="s">
        <v>29</v>
      </c>
      <c r="E481" t="s">
        <v>10</v>
      </c>
      <c r="F481" t="s">
        <v>20</v>
      </c>
    </row>
    <row r="482" spans="1:6" x14ac:dyDescent="0.25">
      <c r="A482" t="s">
        <v>547</v>
      </c>
      <c r="B482">
        <v>33</v>
      </c>
      <c r="C482" t="s">
        <v>8</v>
      </c>
      <c r="D482" t="s">
        <v>119</v>
      </c>
      <c r="E482" t="s">
        <v>10</v>
      </c>
      <c r="F482" t="s">
        <v>20</v>
      </c>
    </row>
    <row r="483" spans="1:6" x14ac:dyDescent="0.25">
      <c r="A483" t="s">
        <v>548</v>
      </c>
      <c r="B483">
        <v>21</v>
      </c>
      <c r="C483" t="s">
        <v>8</v>
      </c>
      <c r="D483" t="s">
        <v>47</v>
      </c>
      <c r="E483" t="s">
        <v>10</v>
      </c>
      <c r="F483" t="s">
        <v>11</v>
      </c>
    </row>
    <row r="484" spans="1:6" x14ac:dyDescent="0.25">
      <c r="A484" t="s">
        <v>549</v>
      </c>
      <c r="B484">
        <v>26</v>
      </c>
      <c r="C484" t="s">
        <v>8</v>
      </c>
      <c r="D484" t="s">
        <v>242</v>
      </c>
      <c r="E484" t="s">
        <v>10</v>
      </c>
      <c r="F484" t="s">
        <v>15</v>
      </c>
    </row>
    <row r="485" spans="1:6" x14ac:dyDescent="0.25">
      <c r="A485" t="s">
        <v>550</v>
      </c>
      <c r="B485">
        <v>48</v>
      </c>
      <c r="C485" t="s">
        <v>8</v>
      </c>
      <c r="D485" t="s">
        <v>92</v>
      </c>
      <c r="E485" t="s">
        <v>10</v>
      </c>
      <c r="F485" t="s">
        <v>11</v>
      </c>
    </row>
    <row r="486" spans="1:6" x14ac:dyDescent="0.25">
      <c r="A486" t="s">
        <v>551</v>
      </c>
      <c r="B486">
        <v>32</v>
      </c>
      <c r="C486" t="s">
        <v>8</v>
      </c>
      <c r="D486" t="s">
        <v>286</v>
      </c>
      <c r="E486" t="s">
        <v>10</v>
      </c>
      <c r="F486" t="s">
        <v>20</v>
      </c>
    </row>
    <row r="487" spans="1:6" x14ac:dyDescent="0.25">
      <c r="A487" t="s">
        <v>552</v>
      </c>
      <c r="B487">
        <v>46</v>
      </c>
      <c r="C487" t="s">
        <v>13</v>
      </c>
      <c r="D487" t="s">
        <v>134</v>
      </c>
      <c r="E487" t="s">
        <v>10</v>
      </c>
      <c r="F487" t="s">
        <v>20</v>
      </c>
    </row>
    <row r="488" spans="1:6" x14ac:dyDescent="0.25">
      <c r="A488" t="s">
        <v>553</v>
      </c>
      <c r="B488">
        <v>22</v>
      </c>
      <c r="C488" t="s">
        <v>13</v>
      </c>
      <c r="D488" t="s">
        <v>87</v>
      </c>
      <c r="E488" t="s">
        <v>10</v>
      </c>
      <c r="F488" t="s">
        <v>20</v>
      </c>
    </row>
    <row r="489" spans="1:6" x14ac:dyDescent="0.25">
      <c r="A489" t="s">
        <v>554</v>
      </c>
      <c r="B489">
        <v>36</v>
      </c>
      <c r="C489" t="s">
        <v>13</v>
      </c>
      <c r="D489" t="s">
        <v>64</v>
      </c>
      <c r="E489" t="s">
        <v>10</v>
      </c>
      <c r="F489" t="s">
        <v>15</v>
      </c>
    </row>
    <row r="490" spans="1:6" x14ac:dyDescent="0.25">
      <c r="A490" t="s">
        <v>555</v>
      </c>
      <c r="B490">
        <v>23</v>
      </c>
      <c r="C490" t="s">
        <v>13</v>
      </c>
      <c r="D490" t="s">
        <v>22</v>
      </c>
      <c r="E490" t="s">
        <v>10</v>
      </c>
      <c r="F490" t="s">
        <v>15</v>
      </c>
    </row>
    <row r="491" spans="1:6" x14ac:dyDescent="0.25">
      <c r="A491" t="s">
        <v>556</v>
      </c>
      <c r="B491">
        <v>42</v>
      </c>
      <c r="C491" t="s">
        <v>13</v>
      </c>
      <c r="D491" t="s">
        <v>121</v>
      </c>
      <c r="E491" t="s">
        <v>10</v>
      </c>
      <c r="F491" t="s">
        <v>23</v>
      </c>
    </row>
    <row r="492" spans="1:6" x14ac:dyDescent="0.25">
      <c r="A492" t="s">
        <v>557</v>
      </c>
      <c r="B492">
        <v>23</v>
      </c>
      <c r="C492" t="s">
        <v>8</v>
      </c>
      <c r="D492" t="s">
        <v>74</v>
      </c>
      <c r="E492" t="s">
        <v>10</v>
      </c>
      <c r="F492" t="s">
        <v>15</v>
      </c>
    </row>
    <row r="493" spans="1:6" x14ac:dyDescent="0.25">
      <c r="A493" t="s">
        <v>558</v>
      </c>
      <c r="B493">
        <v>52</v>
      </c>
      <c r="C493" t="s">
        <v>13</v>
      </c>
      <c r="D493" t="s">
        <v>27</v>
      </c>
      <c r="E493" t="s">
        <v>10</v>
      </c>
      <c r="F493" t="s">
        <v>11</v>
      </c>
    </row>
    <row r="494" spans="1:6" x14ac:dyDescent="0.25">
      <c r="A494" t="s">
        <v>559</v>
      </c>
      <c r="B494">
        <v>59</v>
      </c>
      <c r="C494" t="s">
        <v>13</v>
      </c>
      <c r="D494" t="s">
        <v>119</v>
      </c>
      <c r="E494" t="s">
        <v>10</v>
      </c>
      <c r="F494" t="s">
        <v>15</v>
      </c>
    </row>
    <row r="495" spans="1:6" x14ac:dyDescent="0.25">
      <c r="A495" t="s">
        <v>560</v>
      </c>
      <c r="B495">
        <v>28</v>
      </c>
      <c r="C495" t="s">
        <v>8</v>
      </c>
      <c r="D495" t="s">
        <v>17</v>
      </c>
      <c r="E495" t="s">
        <v>10</v>
      </c>
      <c r="F495" t="s">
        <v>23</v>
      </c>
    </row>
    <row r="496" spans="1:6" x14ac:dyDescent="0.25">
      <c r="A496" t="s">
        <v>561</v>
      </c>
      <c r="B496">
        <v>21</v>
      </c>
      <c r="C496" t="s">
        <v>8</v>
      </c>
      <c r="D496" t="s">
        <v>162</v>
      </c>
      <c r="E496" t="s">
        <v>10</v>
      </c>
      <c r="F496" t="s">
        <v>11</v>
      </c>
    </row>
    <row r="497" spans="1:6" x14ac:dyDescent="0.25">
      <c r="A497" t="s">
        <v>562</v>
      </c>
      <c r="B497">
        <v>23</v>
      </c>
      <c r="C497" t="s">
        <v>13</v>
      </c>
      <c r="D497" t="s">
        <v>52</v>
      </c>
      <c r="E497" t="s">
        <v>10</v>
      </c>
      <c r="F497" t="s">
        <v>20</v>
      </c>
    </row>
    <row r="498" spans="1:6" x14ac:dyDescent="0.25">
      <c r="A498" t="s">
        <v>563</v>
      </c>
      <c r="B498">
        <v>56</v>
      </c>
      <c r="C498" t="s">
        <v>8</v>
      </c>
      <c r="D498" t="s">
        <v>19</v>
      </c>
      <c r="E498" t="s">
        <v>10</v>
      </c>
      <c r="F498" t="s">
        <v>20</v>
      </c>
    </row>
    <row r="499" spans="1:6" x14ac:dyDescent="0.25">
      <c r="A499" t="s">
        <v>564</v>
      </c>
      <c r="B499">
        <v>47</v>
      </c>
      <c r="C499" t="s">
        <v>13</v>
      </c>
      <c r="D499" t="s">
        <v>36</v>
      </c>
      <c r="E499" t="s">
        <v>10</v>
      </c>
      <c r="F499" t="s">
        <v>11</v>
      </c>
    </row>
    <row r="500" spans="1:6" x14ac:dyDescent="0.25">
      <c r="A500" t="s">
        <v>565</v>
      </c>
      <c r="B500">
        <v>35</v>
      </c>
      <c r="C500" t="s">
        <v>8</v>
      </c>
      <c r="D500" t="s">
        <v>112</v>
      </c>
      <c r="E500" t="s">
        <v>10</v>
      </c>
      <c r="F500" t="s">
        <v>23</v>
      </c>
    </row>
    <row r="501" spans="1:6" x14ac:dyDescent="0.25">
      <c r="A501" t="s">
        <v>566</v>
      </c>
      <c r="B501">
        <v>27</v>
      </c>
      <c r="C501" t="s">
        <v>13</v>
      </c>
      <c r="D501" t="s">
        <v>25</v>
      </c>
      <c r="E501" t="s">
        <v>10</v>
      </c>
      <c r="F501" t="s">
        <v>15</v>
      </c>
    </row>
  </sheetData>
  <autoFilter ref="A1:F5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1"/>
  <sheetViews>
    <sheetView workbookViewId="0">
      <selection activeCell="G9" sqref="F9:G10"/>
    </sheetView>
  </sheetViews>
  <sheetFormatPr defaultRowHeight="15" x14ac:dyDescent="0.25"/>
  <cols>
    <col min="1" max="1" width="22.140625" customWidth="1"/>
    <col min="2" max="2" width="16.85546875" customWidth="1"/>
    <col min="3" max="3" width="20.140625" customWidth="1"/>
    <col min="4" max="4" width="12.42578125" customWidth="1"/>
  </cols>
  <sheetData>
    <row r="1" spans="1:10" x14ac:dyDescent="0.25">
      <c r="A1" s="1" t="s">
        <v>567</v>
      </c>
      <c r="B1" s="1" t="s">
        <v>568</v>
      </c>
      <c r="C1" s="1" t="s">
        <v>569</v>
      </c>
      <c r="D1" s="1" t="s">
        <v>570</v>
      </c>
    </row>
    <row r="2" spans="1:10" x14ac:dyDescent="0.25">
      <c r="A2" t="s">
        <v>571</v>
      </c>
      <c r="B2" t="s">
        <v>591</v>
      </c>
      <c r="C2" t="s">
        <v>573</v>
      </c>
      <c r="D2">
        <v>416</v>
      </c>
    </row>
    <row r="3" spans="1:10" x14ac:dyDescent="0.25">
      <c r="A3" t="s">
        <v>574</v>
      </c>
      <c r="B3" t="s">
        <v>575</v>
      </c>
      <c r="C3" t="s">
        <v>576</v>
      </c>
      <c r="D3">
        <v>181</v>
      </c>
    </row>
    <row r="4" spans="1:10" x14ac:dyDescent="0.25">
      <c r="A4" t="s">
        <v>577</v>
      </c>
      <c r="B4" t="s">
        <v>575</v>
      </c>
      <c r="C4" t="s">
        <v>578</v>
      </c>
      <c r="D4">
        <v>352</v>
      </c>
    </row>
    <row r="5" spans="1:10" x14ac:dyDescent="0.25">
      <c r="A5" t="s">
        <v>579</v>
      </c>
      <c r="B5" t="s">
        <v>575</v>
      </c>
      <c r="C5" t="s">
        <v>580</v>
      </c>
      <c r="D5">
        <v>452</v>
      </c>
    </row>
    <row r="6" spans="1:10" x14ac:dyDescent="0.25">
      <c r="A6" t="s">
        <v>581</v>
      </c>
      <c r="B6" t="s">
        <v>575</v>
      </c>
      <c r="C6" t="s">
        <v>582</v>
      </c>
      <c r="D6">
        <v>487</v>
      </c>
      <c r="F6" s="5" t="s">
        <v>2863</v>
      </c>
      <c r="G6" s="5"/>
      <c r="H6" s="5"/>
      <c r="I6" s="5"/>
      <c r="J6" s="5"/>
    </row>
    <row r="7" spans="1:10" x14ac:dyDescent="0.25">
      <c r="A7" t="s">
        <v>583</v>
      </c>
      <c r="B7" t="s">
        <v>575</v>
      </c>
      <c r="C7" t="s">
        <v>584</v>
      </c>
      <c r="D7">
        <v>59</v>
      </c>
    </row>
    <row r="8" spans="1:10" x14ac:dyDescent="0.25">
      <c r="A8" t="s">
        <v>585</v>
      </c>
      <c r="B8" t="s">
        <v>586</v>
      </c>
      <c r="C8" t="s">
        <v>587</v>
      </c>
      <c r="D8">
        <v>350</v>
      </c>
    </row>
    <row r="9" spans="1:10" x14ac:dyDescent="0.25">
      <c r="A9" t="s">
        <v>588</v>
      </c>
      <c r="B9" t="s">
        <v>572</v>
      </c>
      <c r="C9" t="s">
        <v>589</v>
      </c>
      <c r="D9">
        <v>170</v>
      </c>
      <c r="F9" s="5"/>
      <c r="G9" s="5"/>
      <c r="H9" s="5"/>
      <c r="I9" s="5"/>
      <c r="J9" s="5"/>
    </row>
    <row r="10" spans="1:10" x14ac:dyDescent="0.25">
      <c r="A10" t="s">
        <v>590</v>
      </c>
      <c r="B10" t="s">
        <v>591</v>
      </c>
      <c r="C10" t="s">
        <v>592</v>
      </c>
      <c r="D10">
        <v>142</v>
      </c>
    </row>
    <row r="11" spans="1:10" x14ac:dyDescent="0.25">
      <c r="A11" t="s">
        <v>593</v>
      </c>
      <c r="B11" t="s">
        <v>594</v>
      </c>
      <c r="C11" t="s">
        <v>595</v>
      </c>
      <c r="D11">
        <v>323</v>
      </c>
    </row>
    <row r="12" spans="1:10" x14ac:dyDescent="0.25">
      <c r="A12" t="s">
        <v>596</v>
      </c>
      <c r="B12" t="s">
        <v>572</v>
      </c>
      <c r="C12" t="s">
        <v>597</v>
      </c>
      <c r="D12">
        <v>308</v>
      </c>
    </row>
    <row r="13" spans="1:10" x14ac:dyDescent="0.25">
      <c r="A13" t="s">
        <v>598</v>
      </c>
      <c r="B13" t="s">
        <v>591</v>
      </c>
      <c r="C13" t="s">
        <v>599</v>
      </c>
      <c r="D13">
        <f ca="1">COUNTBLANK(D:D)</f>
        <v>0</v>
      </c>
    </row>
    <row r="14" spans="1:10" x14ac:dyDescent="0.25">
      <c r="A14" t="s">
        <v>600</v>
      </c>
      <c r="B14" t="s">
        <v>586</v>
      </c>
      <c r="C14" t="s">
        <v>601</v>
      </c>
      <c r="D14">
        <v>460</v>
      </c>
    </row>
    <row r="15" spans="1:10" x14ac:dyDescent="0.25">
      <c r="A15" t="s">
        <v>602</v>
      </c>
      <c r="B15" t="s">
        <v>591</v>
      </c>
      <c r="C15" t="s">
        <v>603</v>
      </c>
      <c r="D15">
        <v>453</v>
      </c>
    </row>
    <row r="16" spans="1:10" x14ac:dyDescent="0.25">
      <c r="A16" t="s">
        <v>604</v>
      </c>
      <c r="B16" t="s">
        <v>572</v>
      </c>
      <c r="C16" t="s">
        <v>605</v>
      </c>
      <c r="D16">
        <v>439</v>
      </c>
    </row>
    <row r="17" spans="1:4" x14ac:dyDescent="0.25">
      <c r="A17" t="s">
        <v>606</v>
      </c>
      <c r="B17" t="s">
        <v>591</v>
      </c>
      <c r="C17" t="s">
        <v>607</v>
      </c>
      <c r="D17">
        <v>301</v>
      </c>
    </row>
    <row r="18" spans="1:4" x14ac:dyDescent="0.25">
      <c r="A18" t="s">
        <v>608</v>
      </c>
      <c r="B18" t="s">
        <v>586</v>
      </c>
      <c r="C18" t="s">
        <v>609</v>
      </c>
      <c r="D18">
        <v>256</v>
      </c>
    </row>
    <row r="19" spans="1:4" x14ac:dyDescent="0.25">
      <c r="A19" t="s">
        <v>610</v>
      </c>
      <c r="B19" t="s">
        <v>594</v>
      </c>
      <c r="C19" t="s">
        <v>611</v>
      </c>
      <c r="D19">
        <v>367</v>
      </c>
    </row>
    <row r="20" spans="1:4" x14ac:dyDescent="0.25">
      <c r="A20" t="s">
        <v>612</v>
      </c>
      <c r="B20" t="s">
        <v>575</v>
      </c>
      <c r="C20" t="s">
        <v>613</v>
      </c>
      <c r="D20">
        <v>343</v>
      </c>
    </row>
    <row r="21" spans="1:4" x14ac:dyDescent="0.25">
      <c r="A21" t="s">
        <v>614</v>
      </c>
      <c r="B21" t="s">
        <v>594</v>
      </c>
      <c r="C21" t="s">
        <v>615</v>
      </c>
      <c r="D21">
        <v>65</v>
      </c>
    </row>
    <row r="22" spans="1:4" x14ac:dyDescent="0.25">
      <c r="A22" t="s">
        <v>616</v>
      </c>
      <c r="B22" t="s">
        <v>594</v>
      </c>
      <c r="C22" t="s">
        <v>617</v>
      </c>
      <c r="D22">
        <f ca="1">COUNTBLANK(D:D)</f>
        <v>0</v>
      </c>
    </row>
    <row r="23" spans="1:4" x14ac:dyDescent="0.25">
      <c r="A23" t="s">
        <v>618</v>
      </c>
      <c r="B23" t="s">
        <v>572</v>
      </c>
      <c r="C23" t="s">
        <v>619</v>
      </c>
      <c r="D23">
        <v>76</v>
      </c>
    </row>
    <row r="24" spans="1:4" x14ac:dyDescent="0.25">
      <c r="A24" t="s">
        <v>620</v>
      </c>
      <c r="B24" t="s">
        <v>594</v>
      </c>
      <c r="C24" t="s">
        <v>621</v>
      </c>
      <c r="D24">
        <v>432</v>
      </c>
    </row>
    <row r="25" spans="1:4" x14ac:dyDescent="0.25">
      <c r="A25" t="s">
        <v>622</v>
      </c>
      <c r="B25" t="s">
        <v>575</v>
      </c>
      <c r="C25" t="s">
        <v>623</v>
      </c>
      <c r="D25">
        <v>360</v>
      </c>
    </row>
    <row r="26" spans="1:4" x14ac:dyDescent="0.25">
      <c r="A26" t="s">
        <v>624</v>
      </c>
      <c r="B26" t="s">
        <v>594</v>
      </c>
      <c r="C26" t="s">
        <v>625</v>
      </c>
      <c r="D26">
        <v>340</v>
      </c>
    </row>
    <row r="27" spans="1:4" x14ac:dyDescent="0.25">
      <c r="A27" t="s">
        <v>626</v>
      </c>
      <c r="B27" t="s">
        <v>575</v>
      </c>
      <c r="C27" t="s">
        <v>627</v>
      </c>
      <c r="D27">
        <v>268</v>
      </c>
    </row>
    <row r="28" spans="1:4" x14ac:dyDescent="0.25">
      <c r="A28" t="s">
        <v>628</v>
      </c>
      <c r="B28" t="s">
        <v>591</v>
      </c>
      <c r="C28" t="s">
        <v>629</v>
      </c>
      <c r="D28">
        <v>213</v>
      </c>
    </row>
    <row r="29" spans="1:4" x14ac:dyDescent="0.25">
      <c r="A29" t="s">
        <v>630</v>
      </c>
      <c r="B29" t="s">
        <v>572</v>
      </c>
      <c r="C29" t="s">
        <v>631</v>
      </c>
      <c r="D29">
        <v>378</v>
      </c>
    </row>
    <row r="30" spans="1:4" x14ac:dyDescent="0.25">
      <c r="A30" t="s">
        <v>632</v>
      </c>
      <c r="B30" t="s">
        <v>594</v>
      </c>
      <c r="C30" t="s">
        <v>633</v>
      </c>
      <c r="D30">
        <v>137</v>
      </c>
    </row>
    <row r="31" spans="1:4" x14ac:dyDescent="0.25">
      <c r="A31" t="s">
        <v>634</v>
      </c>
      <c r="B31" t="s">
        <v>572</v>
      </c>
      <c r="C31" t="s">
        <v>635</v>
      </c>
      <c r="D31">
        <v>276</v>
      </c>
    </row>
    <row r="32" spans="1:4" x14ac:dyDescent="0.25">
      <c r="A32" t="s">
        <v>636</v>
      </c>
      <c r="B32" t="s">
        <v>572</v>
      </c>
      <c r="C32" t="s">
        <v>637</v>
      </c>
      <c r="D32">
        <v>57</v>
      </c>
    </row>
    <row r="33" spans="1:4" x14ac:dyDescent="0.25">
      <c r="A33" t="s">
        <v>638</v>
      </c>
      <c r="B33" t="s">
        <v>594</v>
      </c>
      <c r="C33" t="s">
        <v>639</v>
      </c>
      <c r="D33">
        <v>281</v>
      </c>
    </row>
    <row r="34" spans="1:4" x14ac:dyDescent="0.25">
      <c r="A34" t="s">
        <v>640</v>
      </c>
      <c r="B34" t="s">
        <v>586</v>
      </c>
      <c r="C34" t="s">
        <v>641</v>
      </c>
      <c r="D34">
        <v>244</v>
      </c>
    </row>
    <row r="35" spans="1:4" x14ac:dyDescent="0.25">
      <c r="A35" t="s">
        <v>642</v>
      </c>
      <c r="B35" t="s">
        <v>572</v>
      </c>
      <c r="C35" t="s">
        <v>643</v>
      </c>
      <c r="D35">
        <v>305</v>
      </c>
    </row>
    <row r="36" spans="1:4" x14ac:dyDescent="0.25">
      <c r="A36" t="s">
        <v>644</v>
      </c>
      <c r="B36" t="s">
        <v>591</v>
      </c>
      <c r="C36" t="s">
        <v>645</v>
      </c>
      <c r="D36">
        <v>86</v>
      </c>
    </row>
    <row r="37" spans="1:4" x14ac:dyDescent="0.25">
      <c r="A37" t="s">
        <v>646</v>
      </c>
      <c r="B37" t="s">
        <v>572</v>
      </c>
      <c r="C37" t="s">
        <v>647</v>
      </c>
      <c r="D37">
        <v>329</v>
      </c>
    </row>
    <row r="38" spans="1:4" x14ac:dyDescent="0.25">
      <c r="A38" t="s">
        <v>648</v>
      </c>
      <c r="B38" t="s">
        <v>575</v>
      </c>
      <c r="C38" t="s">
        <v>649</v>
      </c>
      <c r="D38">
        <v>154</v>
      </c>
    </row>
    <row r="39" spans="1:4" x14ac:dyDescent="0.25">
      <c r="A39" t="s">
        <v>650</v>
      </c>
      <c r="B39" t="s">
        <v>575</v>
      </c>
      <c r="C39" t="s">
        <v>651</v>
      </c>
      <c r="D39">
        <v>214</v>
      </c>
    </row>
    <row r="40" spans="1:4" x14ac:dyDescent="0.25">
      <c r="A40" t="s">
        <v>652</v>
      </c>
      <c r="B40" t="s">
        <v>594</v>
      </c>
      <c r="C40" t="s">
        <v>653</v>
      </c>
      <c r="D40">
        <v>394</v>
      </c>
    </row>
    <row r="41" spans="1:4" x14ac:dyDescent="0.25">
      <c r="A41" t="s">
        <v>654</v>
      </c>
      <c r="B41" t="s">
        <v>591</v>
      </c>
      <c r="C41" t="s">
        <v>655</v>
      </c>
      <c r="D41">
        <v>301</v>
      </c>
    </row>
    <row r="42" spans="1:4" x14ac:dyDescent="0.25">
      <c r="A42" t="s">
        <v>656</v>
      </c>
      <c r="B42" t="s">
        <v>591</v>
      </c>
      <c r="C42" t="s">
        <v>657</v>
      </c>
      <c r="D42">
        <v>378</v>
      </c>
    </row>
    <row r="43" spans="1:4" x14ac:dyDescent="0.25">
      <c r="A43" t="s">
        <v>658</v>
      </c>
      <c r="B43" t="s">
        <v>594</v>
      </c>
      <c r="C43" t="s">
        <v>659</v>
      </c>
      <c r="D43">
        <v>369</v>
      </c>
    </row>
    <row r="44" spans="1:4" x14ac:dyDescent="0.25">
      <c r="A44" t="s">
        <v>660</v>
      </c>
      <c r="B44" t="s">
        <v>591</v>
      </c>
      <c r="C44" t="s">
        <v>661</v>
      </c>
      <c r="D44">
        <v>389</v>
      </c>
    </row>
    <row r="45" spans="1:4" x14ac:dyDescent="0.25">
      <c r="A45" t="s">
        <v>662</v>
      </c>
      <c r="B45" t="s">
        <v>591</v>
      </c>
      <c r="C45" t="s">
        <v>663</v>
      </c>
      <c r="D45">
        <v>266</v>
      </c>
    </row>
    <row r="46" spans="1:4" x14ac:dyDescent="0.25">
      <c r="A46" t="s">
        <v>664</v>
      </c>
      <c r="B46" t="s">
        <v>594</v>
      </c>
      <c r="C46" t="s">
        <v>665</v>
      </c>
      <c r="D46">
        <v>316</v>
      </c>
    </row>
    <row r="47" spans="1:4" x14ac:dyDescent="0.25">
      <c r="A47" t="s">
        <v>666</v>
      </c>
      <c r="B47" t="s">
        <v>594</v>
      </c>
      <c r="C47" t="s">
        <v>667</v>
      </c>
      <c r="D47">
        <v>114</v>
      </c>
    </row>
    <row r="48" spans="1:4" x14ac:dyDescent="0.25">
      <c r="A48" t="s">
        <v>668</v>
      </c>
      <c r="B48" t="s">
        <v>575</v>
      </c>
      <c r="C48" t="s">
        <v>669</v>
      </c>
      <c r="D48">
        <v>296</v>
      </c>
    </row>
    <row r="49" spans="1:4" x14ac:dyDescent="0.25">
      <c r="A49" t="s">
        <v>670</v>
      </c>
      <c r="B49" t="s">
        <v>586</v>
      </c>
      <c r="C49" t="s">
        <v>671</v>
      </c>
      <c r="D49">
        <v>431</v>
      </c>
    </row>
    <row r="50" spans="1:4" x14ac:dyDescent="0.25">
      <c r="A50" t="s">
        <v>672</v>
      </c>
      <c r="B50" t="s">
        <v>591</v>
      </c>
      <c r="C50" t="s">
        <v>673</v>
      </c>
      <c r="D50">
        <v>103</v>
      </c>
    </row>
    <row r="51" spans="1:4" x14ac:dyDescent="0.25">
      <c r="A51" t="s">
        <v>674</v>
      </c>
      <c r="B51" t="s">
        <v>586</v>
      </c>
      <c r="C51" t="s">
        <v>675</v>
      </c>
      <c r="D51">
        <v>267</v>
      </c>
    </row>
    <row r="52" spans="1:4" x14ac:dyDescent="0.25">
      <c r="A52" t="s">
        <v>676</v>
      </c>
      <c r="B52" t="s">
        <v>594</v>
      </c>
      <c r="C52" t="s">
        <v>677</v>
      </c>
      <c r="D52">
        <v>260</v>
      </c>
    </row>
    <row r="53" spans="1:4" x14ac:dyDescent="0.25">
      <c r="A53" t="s">
        <v>678</v>
      </c>
      <c r="B53" t="s">
        <v>591</v>
      </c>
      <c r="C53" t="s">
        <v>679</v>
      </c>
      <c r="D53">
        <v>246</v>
      </c>
    </row>
    <row r="54" spans="1:4" x14ac:dyDescent="0.25">
      <c r="A54" t="s">
        <v>680</v>
      </c>
      <c r="B54" t="s">
        <v>594</v>
      </c>
      <c r="C54" t="s">
        <v>681</v>
      </c>
      <c r="D54">
        <v>82</v>
      </c>
    </row>
    <row r="55" spans="1:4" x14ac:dyDescent="0.25">
      <c r="A55" t="s">
        <v>682</v>
      </c>
      <c r="B55" t="s">
        <v>575</v>
      </c>
      <c r="C55" t="s">
        <v>683</v>
      </c>
      <c r="D55">
        <v>125</v>
      </c>
    </row>
    <row r="56" spans="1:4" x14ac:dyDescent="0.25">
      <c r="A56" t="s">
        <v>684</v>
      </c>
      <c r="B56" t="s">
        <v>594</v>
      </c>
      <c r="C56" t="s">
        <v>685</v>
      </c>
      <c r="D56">
        <v>185</v>
      </c>
    </row>
    <row r="57" spans="1:4" x14ac:dyDescent="0.25">
      <c r="A57" t="s">
        <v>686</v>
      </c>
      <c r="B57" t="s">
        <v>572</v>
      </c>
      <c r="C57" t="s">
        <v>687</v>
      </c>
      <c r="D57">
        <f ca="1">COUNTBLANK(D:D)</f>
        <v>0</v>
      </c>
    </row>
    <row r="58" spans="1:4" x14ac:dyDescent="0.25">
      <c r="A58" t="s">
        <v>688</v>
      </c>
      <c r="B58" t="s">
        <v>572</v>
      </c>
      <c r="C58" t="s">
        <v>689</v>
      </c>
      <c r="D58">
        <v>190</v>
      </c>
    </row>
    <row r="59" spans="1:4" x14ac:dyDescent="0.25">
      <c r="A59" t="s">
        <v>690</v>
      </c>
      <c r="B59" t="s">
        <v>594</v>
      </c>
      <c r="C59" t="s">
        <v>691</v>
      </c>
      <c r="D59">
        <v>138</v>
      </c>
    </row>
    <row r="60" spans="1:4" x14ac:dyDescent="0.25">
      <c r="A60" t="s">
        <v>692</v>
      </c>
      <c r="B60" t="s">
        <v>575</v>
      </c>
      <c r="C60" t="s">
        <v>693</v>
      </c>
      <c r="D60">
        <v>485</v>
      </c>
    </row>
    <row r="61" spans="1:4" x14ac:dyDescent="0.25">
      <c r="A61" t="s">
        <v>694</v>
      </c>
      <c r="B61" t="s">
        <v>586</v>
      </c>
      <c r="C61" t="s">
        <v>695</v>
      </c>
      <c r="D61">
        <v>399</v>
      </c>
    </row>
    <row r="62" spans="1:4" x14ac:dyDescent="0.25">
      <c r="A62" t="s">
        <v>696</v>
      </c>
      <c r="B62" t="s">
        <v>586</v>
      </c>
      <c r="C62" t="s">
        <v>697</v>
      </c>
      <c r="D62">
        <v>444</v>
      </c>
    </row>
    <row r="63" spans="1:4" x14ac:dyDescent="0.25">
      <c r="A63" t="s">
        <v>698</v>
      </c>
      <c r="B63" t="s">
        <v>594</v>
      </c>
      <c r="C63" t="s">
        <v>699</v>
      </c>
      <c r="D63">
        <v>465</v>
      </c>
    </row>
    <row r="64" spans="1:4" x14ac:dyDescent="0.25">
      <c r="A64" t="s">
        <v>700</v>
      </c>
      <c r="B64" t="s">
        <v>591</v>
      </c>
      <c r="C64" t="s">
        <v>701</v>
      </c>
      <c r="D64">
        <v>222</v>
      </c>
    </row>
    <row r="65" spans="1:4" x14ac:dyDescent="0.25">
      <c r="A65" t="s">
        <v>702</v>
      </c>
      <c r="B65" t="s">
        <v>586</v>
      </c>
      <c r="C65" t="s">
        <v>703</v>
      </c>
      <c r="D65">
        <v>458</v>
      </c>
    </row>
    <row r="66" spans="1:4" x14ac:dyDescent="0.25">
      <c r="A66" t="s">
        <v>704</v>
      </c>
      <c r="B66" t="s">
        <v>586</v>
      </c>
      <c r="C66" t="s">
        <v>705</v>
      </c>
      <c r="D66">
        <v>118</v>
      </c>
    </row>
    <row r="67" spans="1:4" x14ac:dyDescent="0.25">
      <c r="A67" t="s">
        <v>706</v>
      </c>
      <c r="B67" t="s">
        <v>594</v>
      </c>
      <c r="C67" t="s">
        <v>707</v>
      </c>
      <c r="D67">
        <v>423</v>
      </c>
    </row>
    <row r="68" spans="1:4" x14ac:dyDescent="0.25">
      <c r="A68" t="s">
        <v>708</v>
      </c>
      <c r="B68" t="s">
        <v>586</v>
      </c>
      <c r="C68" t="s">
        <v>709</v>
      </c>
      <c r="D68">
        <v>177</v>
      </c>
    </row>
    <row r="69" spans="1:4" x14ac:dyDescent="0.25">
      <c r="A69" t="s">
        <v>710</v>
      </c>
      <c r="B69" t="s">
        <v>591</v>
      </c>
      <c r="C69" t="s">
        <v>711</v>
      </c>
      <c r="D69">
        <v>476</v>
      </c>
    </row>
    <row r="70" spans="1:4" x14ac:dyDescent="0.25">
      <c r="A70" t="s">
        <v>712</v>
      </c>
      <c r="B70" t="s">
        <v>572</v>
      </c>
      <c r="C70" t="s">
        <v>713</v>
      </c>
      <c r="D70">
        <v>130</v>
      </c>
    </row>
    <row r="71" spans="1:4" x14ac:dyDescent="0.25">
      <c r="A71" t="s">
        <v>714</v>
      </c>
      <c r="B71" t="s">
        <v>575</v>
      </c>
      <c r="C71" t="s">
        <v>715</v>
      </c>
      <c r="D71">
        <v>224</v>
      </c>
    </row>
    <row r="72" spans="1:4" x14ac:dyDescent="0.25">
      <c r="A72" t="s">
        <v>716</v>
      </c>
      <c r="B72" t="s">
        <v>572</v>
      </c>
      <c r="C72" t="s">
        <v>717</v>
      </c>
      <c r="D72">
        <v>89</v>
      </c>
    </row>
    <row r="73" spans="1:4" x14ac:dyDescent="0.25">
      <c r="A73" t="s">
        <v>718</v>
      </c>
      <c r="B73" t="s">
        <v>586</v>
      </c>
      <c r="C73" t="s">
        <v>719</v>
      </c>
      <c r="D73">
        <v>383</v>
      </c>
    </row>
    <row r="74" spans="1:4" x14ac:dyDescent="0.25">
      <c r="A74" t="s">
        <v>720</v>
      </c>
      <c r="B74" t="s">
        <v>594</v>
      </c>
      <c r="C74" t="s">
        <v>721</v>
      </c>
      <c r="D74">
        <v>300</v>
      </c>
    </row>
    <row r="75" spans="1:4" x14ac:dyDescent="0.25">
      <c r="A75" t="s">
        <v>722</v>
      </c>
      <c r="B75" t="s">
        <v>594</v>
      </c>
      <c r="C75" t="s">
        <v>723</v>
      </c>
      <c r="D75">
        <v>359</v>
      </c>
    </row>
    <row r="76" spans="1:4" x14ac:dyDescent="0.25">
      <c r="A76" t="s">
        <v>724</v>
      </c>
      <c r="B76" t="s">
        <v>591</v>
      </c>
      <c r="C76" t="s">
        <v>725</v>
      </c>
      <c r="D76">
        <v>159</v>
      </c>
    </row>
    <row r="77" spans="1:4" x14ac:dyDescent="0.25">
      <c r="A77" t="s">
        <v>726</v>
      </c>
      <c r="B77" t="s">
        <v>575</v>
      </c>
      <c r="C77" t="s">
        <v>727</v>
      </c>
      <c r="D77">
        <v>82</v>
      </c>
    </row>
    <row r="78" spans="1:4" x14ac:dyDescent="0.25">
      <c r="A78" t="s">
        <v>728</v>
      </c>
      <c r="B78" t="s">
        <v>591</v>
      </c>
      <c r="C78" t="s">
        <v>729</v>
      </c>
      <c r="D78">
        <v>320</v>
      </c>
    </row>
    <row r="79" spans="1:4" x14ac:dyDescent="0.25">
      <c r="A79" t="s">
        <v>730</v>
      </c>
      <c r="B79" t="s">
        <v>591</v>
      </c>
      <c r="C79" t="s">
        <v>731</v>
      </c>
      <c r="D79">
        <v>104</v>
      </c>
    </row>
    <row r="80" spans="1:4" x14ac:dyDescent="0.25">
      <c r="A80" t="s">
        <v>732</v>
      </c>
      <c r="B80" t="s">
        <v>572</v>
      </c>
      <c r="C80" t="s">
        <v>733</v>
      </c>
      <c r="D80">
        <v>400</v>
      </c>
    </row>
    <row r="81" spans="1:4" x14ac:dyDescent="0.25">
      <c r="A81" t="s">
        <v>734</v>
      </c>
      <c r="B81" t="s">
        <v>572</v>
      </c>
      <c r="C81" t="s">
        <v>735</v>
      </c>
      <c r="D81">
        <v>469</v>
      </c>
    </row>
    <row r="82" spans="1:4" x14ac:dyDescent="0.25">
      <c r="A82" t="s">
        <v>736</v>
      </c>
      <c r="B82" t="s">
        <v>572</v>
      </c>
      <c r="C82" t="s">
        <v>737</v>
      </c>
      <c r="D82">
        <v>58</v>
      </c>
    </row>
    <row r="83" spans="1:4" x14ac:dyDescent="0.25">
      <c r="A83" t="s">
        <v>738</v>
      </c>
      <c r="B83" t="s">
        <v>594</v>
      </c>
      <c r="C83" t="s">
        <v>739</v>
      </c>
      <c r="D83">
        <v>358</v>
      </c>
    </row>
    <row r="84" spans="1:4" x14ac:dyDescent="0.25">
      <c r="A84" t="s">
        <v>740</v>
      </c>
      <c r="B84" t="s">
        <v>594</v>
      </c>
      <c r="C84" t="s">
        <v>741</v>
      </c>
      <c r="D84">
        <v>281</v>
      </c>
    </row>
    <row r="85" spans="1:4" x14ac:dyDescent="0.25">
      <c r="A85" t="s">
        <v>742</v>
      </c>
      <c r="B85" t="s">
        <v>586</v>
      </c>
      <c r="C85" t="s">
        <v>743</v>
      </c>
      <c r="D85">
        <v>159</v>
      </c>
    </row>
    <row r="86" spans="1:4" x14ac:dyDescent="0.25">
      <c r="A86" t="s">
        <v>744</v>
      </c>
      <c r="B86" t="s">
        <v>572</v>
      </c>
      <c r="C86" t="s">
        <v>745</v>
      </c>
      <c r="D86">
        <v>208</v>
      </c>
    </row>
    <row r="87" spans="1:4" x14ac:dyDescent="0.25">
      <c r="A87" t="s">
        <v>746</v>
      </c>
      <c r="B87" t="s">
        <v>575</v>
      </c>
      <c r="C87" t="s">
        <v>747</v>
      </c>
      <c r="D87">
        <v>210</v>
      </c>
    </row>
    <row r="88" spans="1:4" x14ac:dyDescent="0.25">
      <c r="A88" t="s">
        <v>748</v>
      </c>
      <c r="B88" t="s">
        <v>572</v>
      </c>
      <c r="C88" t="s">
        <v>749</v>
      </c>
      <c r="D88">
        <v>82</v>
      </c>
    </row>
    <row r="89" spans="1:4" x14ac:dyDescent="0.25">
      <c r="A89" t="s">
        <v>750</v>
      </c>
      <c r="B89" t="s">
        <v>572</v>
      </c>
      <c r="C89" t="s">
        <v>751</v>
      </c>
      <c r="D89">
        <v>220</v>
      </c>
    </row>
    <row r="90" spans="1:4" x14ac:dyDescent="0.25">
      <c r="A90" t="s">
        <v>752</v>
      </c>
      <c r="B90" t="s">
        <v>594</v>
      </c>
      <c r="C90" t="s">
        <v>753</v>
      </c>
      <c r="D90">
        <v>232</v>
      </c>
    </row>
    <row r="91" spans="1:4" x14ac:dyDescent="0.25">
      <c r="A91" t="s">
        <v>754</v>
      </c>
      <c r="B91" t="s">
        <v>586</v>
      </c>
      <c r="C91" t="s">
        <v>755</v>
      </c>
      <c r="D91">
        <v>457</v>
      </c>
    </row>
    <row r="92" spans="1:4" x14ac:dyDescent="0.25">
      <c r="A92" t="s">
        <v>756</v>
      </c>
      <c r="B92" t="s">
        <v>591</v>
      </c>
      <c r="C92" t="s">
        <v>757</v>
      </c>
      <c r="D92">
        <v>361</v>
      </c>
    </row>
    <row r="93" spans="1:4" x14ac:dyDescent="0.25">
      <c r="A93" t="s">
        <v>758</v>
      </c>
      <c r="B93" t="s">
        <v>575</v>
      </c>
      <c r="C93" t="s">
        <v>759</v>
      </c>
      <c r="D93">
        <v>496</v>
      </c>
    </row>
    <row r="94" spans="1:4" x14ac:dyDescent="0.25">
      <c r="A94" t="s">
        <v>760</v>
      </c>
      <c r="B94" t="s">
        <v>572</v>
      </c>
      <c r="C94" t="s">
        <v>761</v>
      </c>
      <c r="D94">
        <v>191</v>
      </c>
    </row>
    <row r="95" spans="1:4" x14ac:dyDescent="0.25">
      <c r="A95" t="s">
        <v>762</v>
      </c>
      <c r="B95" t="s">
        <v>591</v>
      </c>
      <c r="C95" t="s">
        <v>763</v>
      </c>
      <c r="D95">
        <v>485</v>
      </c>
    </row>
    <row r="96" spans="1:4" x14ac:dyDescent="0.25">
      <c r="A96" t="s">
        <v>764</v>
      </c>
      <c r="B96" t="s">
        <v>586</v>
      </c>
      <c r="C96" t="s">
        <v>765</v>
      </c>
      <c r="D96">
        <v>213</v>
      </c>
    </row>
    <row r="97" spans="1:4" x14ac:dyDescent="0.25">
      <c r="A97" t="s">
        <v>766</v>
      </c>
      <c r="B97" t="s">
        <v>594</v>
      </c>
      <c r="C97" t="s">
        <v>767</v>
      </c>
      <c r="D97">
        <v>75</v>
      </c>
    </row>
    <row r="98" spans="1:4" x14ac:dyDescent="0.25">
      <c r="A98" t="s">
        <v>768</v>
      </c>
      <c r="B98" t="s">
        <v>575</v>
      </c>
      <c r="C98" t="s">
        <v>769</v>
      </c>
      <c r="D98">
        <v>143</v>
      </c>
    </row>
    <row r="99" spans="1:4" x14ac:dyDescent="0.25">
      <c r="A99" t="s">
        <v>770</v>
      </c>
      <c r="B99" t="s">
        <v>594</v>
      </c>
      <c r="C99" t="s">
        <v>771</v>
      </c>
      <c r="D99">
        <v>471</v>
      </c>
    </row>
    <row r="100" spans="1:4" x14ac:dyDescent="0.25">
      <c r="A100" t="s">
        <v>772</v>
      </c>
      <c r="B100" t="s">
        <v>591</v>
      </c>
      <c r="C100" t="s">
        <v>773</v>
      </c>
      <c r="D100">
        <v>73</v>
      </c>
    </row>
    <row r="101" spans="1:4" x14ac:dyDescent="0.25">
      <c r="A101" t="s">
        <v>774</v>
      </c>
      <c r="B101" t="s">
        <v>572</v>
      </c>
      <c r="C101" t="s">
        <v>775</v>
      </c>
      <c r="D101">
        <v>146</v>
      </c>
    </row>
  </sheetData>
  <autoFilter ref="A1:D101" xr:uid="{00000000-0001-0000-0100-000000000000}"/>
  <conditionalFormatting sqref="B1:B1048576">
    <cfRule type="containsText" dxfId="74" priority="1" operator="containsText" text="HOME">
      <formula>NOT(ISERROR(SEARCH("HOME",B1)))</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workbookViewId="0">
      <selection activeCell="C1" sqref="A1:F21"/>
    </sheetView>
  </sheetViews>
  <sheetFormatPr defaultRowHeight="15" x14ac:dyDescent="0.25"/>
  <cols>
    <col min="1" max="1" width="17.5703125" customWidth="1"/>
    <col min="2" max="3" width="30.140625" customWidth="1"/>
    <col min="4" max="4" width="18.140625" customWidth="1"/>
    <col min="5" max="5" width="19.5703125" customWidth="1"/>
    <col min="6" max="6" width="11.42578125" customWidth="1"/>
  </cols>
  <sheetData>
    <row r="1" spans="1:6" x14ac:dyDescent="0.25">
      <c r="A1" s="1" t="s">
        <v>776</v>
      </c>
      <c r="B1" s="1" t="s">
        <v>777</v>
      </c>
      <c r="C1" s="1" t="s">
        <v>2856</v>
      </c>
      <c r="D1" s="1" t="s">
        <v>778</v>
      </c>
      <c r="E1" s="1" t="s">
        <v>3</v>
      </c>
      <c r="F1" s="1" t="s">
        <v>779</v>
      </c>
    </row>
    <row r="2" spans="1:6" x14ac:dyDescent="0.25">
      <c r="A2" t="s">
        <v>780</v>
      </c>
      <c r="B2" t="s">
        <v>781</v>
      </c>
      <c r="C2" t="str">
        <f t="shared" ref="C2:C21" si="0">_xlfn.CONCAT(D2:E2)</f>
        <v>EastWashingtonfurt</v>
      </c>
      <c r="D2" t="s">
        <v>782</v>
      </c>
      <c r="E2" t="s">
        <v>783</v>
      </c>
      <c r="F2" t="s">
        <v>784</v>
      </c>
    </row>
    <row r="3" spans="1:6" x14ac:dyDescent="0.25">
      <c r="A3" t="s">
        <v>785</v>
      </c>
      <c r="B3" t="s">
        <v>786</v>
      </c>
      <c r="C3" t="str">
        <f t="shared" si="0"/>
        <v>NorthDanielmouth</v>
      </c>
      <c r="D3" t="s">
        <v>787</v>
      </c>
      <c r="E3" t="s">
        <v>788</v>
      </c>
      <c r="F3" t="s">
        <v>784</v>
      </c>
    </row>
    <row r="4" spans="1:6" x14ac:dyDescent="0.25">
      <c r="A4" t="s">
        <v>789</v>
      </c>
      <c r="B4" t="s">
        <v>790</v>
      </c>
      <c r="C4" t="str">
        <f t="shared" si="0"/>
        <v>SouthNorth Nancyview</v>
      </c>
      <c r="D4" t="s">
        <v>791</v>
      </c>
      <c r="E4" t="s">
        <v>792</v>
      </c>
      <c r="F4" t="s">
        <v>793</v>
      </c>
    </row>
    <row r="5" spans="1:6" x14ac:dyDescent="0.25">
      <c r="A5" t="s">
        <v>794</v>
      </c>
      <c r="B5" t="s">
        <v>795</v>
      </c>
      <c r="C5" t="str">
        <f t="shared" si="0"/>
        <v>NorthHoodberg</v>
      </c>
      <c r="D5" t="s">
        <v>787</v>
      </c>
      <c r="E5" t="s">
        <v>796</v>
      </c>
      <c r="F5" t="s">
        <v>793</v>
      </c>
    </row>
    <row r="6" spans="1:6" x14ac:dyDescent="0.25">
      <c r="A6" t="s">
        <v>797</v>
      </c>
      <c r="B6" t="s">
        <v>798</v>
      </c>
      <c r="C6" t="str">
        <f t="shared" si="0"/>
        <v>SouthPort Sharon</v>
      </c>
      <c r="D6" t="s">
        <v>791</v>
      </c>
      <c r="E6" t="s">
        <v>799</v>
      </c>
      <c r="F6" t="s">
        <v>800</v>
      </c>
    </row>
    <row r="7" spans="1:6" x14ac:dyDescent="0.25">
      <c r="A7" t="s">
        <v>801</v>
      </c>
      <c r="B7" t="s">
        <v>802</v>
      </c>
      <c r="C7" t="str">
        <f t="shared" si="0"/>
        <v>NorthNew Michaelchester</v>
      </c>
      <c r="D7" t="s">
        <v>787</v>
      </c>
      <c r="E7" t="s">
        <v>803</v>
      </c>
      <c r="F7" t="s">
        <v>793</v>
      </c>
    </row>
    <row r="8" spans="1:6" x14ac:dyDescent="0.25">
      <c r="A8" t="s">
        <v>804</v>
      </c>
      <c r="B8" t="s">
        <v>805</v>
      </c>
      <c r="C8" t="str">
        <f t="shared" si="0"/>
        <v>EastPort Josephberg</v>
      </c>
      <c r="D8" t="s">
        <v>782</v>
      </c>
      <c r="E8" t="s">
        <v>806</v>
      </c>
      <c r="F8" t="s">
        <v>800</v>
      </c>
    </row>
    <row r="9" spans="1:6" x14ac:dyDescent="0.25">
      <c r="A9" t="s">
        <v>807</v>
      </c>
      <c r="B9" t="s">
        <v>808</v>
      </c>
      <c r="C9" t="str">
        <f t="shared" si="0"/>
        <v>SouthWilliamsfurt</v>
      </c>
      <c r="D9" t="s">
        <v>791</v>
      </c>
      <c r="E9" t="s">
        <v>809</v>
      </c>
      <c r="F9" t="s">
        <v>800</v>
      </c>
    </row>
    <row r="10" spans="1:6" x14ac:dyDescent="0.25">
      <c r="A10" t="s">
        <v>810</v>
      </c>
      <c r="B10" t="s">
        <v>811</v>
      </c>
      <c r="C10" t="str">
        <f t="shared" si="0"/>
        <v>WestThompsonborough</v>
      </c>
      <c r="D10" t="s">
        <v>812</v>
      </c>
      <c r="E10" t="s">
        <v>813</v>
      </c>
      <c r="F10" t="s">
        <v>800</v>
      </c>
    </row>
    <row r="11" spans="1:6" x14ac:dyDescent="0.25">
      <c r="A11" t="s">
        <v>814</v>
      </c>
      <c r="B11" t="s">
        <v>815</v>
      </c>
      <c r="C11" t="str">
        <f t="shared" si="0"/>
        <v>SouthEast Johnstad</v>
      </c>
      <c r="D11" t="s">
        <v>791</v>
      </c>
      <c r="E11" t="s">
        <v>816</v>
      </c>
      <c r="F11" t="s">
        <v>784</v>
      </c>
    </row>
    <row r="12" spans="1:6" x14ac:dyDescent="0.25">
      <c r="A12" t="s">
        <v>817</v>
      </c>
      <c r="B12" t="s">
        <v>818</v>
      </c>
      <c r="C12" t="str">
        <f t="shared" si="0"/>
        <v>EastEast Davidville</v>
      </c>
      <c r="D12" t="s">
        <v>782</v>
      </c>
      <c r="E12" t="s">
        <v>819</v>
      </c>
      <c r="F12" t="s">
        <v>800</v>
      </c>
    </row>
    <row r="13" spans="1:6" x14ac:dyDescent="0.25">
      <c r="A13" t="s">
        <v>820</v>
      </c>
      <c r="B13" t="s">
        <v>821</v>
      </c>
      <c r="C13" t="str">
        <f t="shared" si="0"/>
        <v>SouthLake Michael</v>
      </c>
      <c r="D13" t="s">
        <v>791</v>
      </c>
      <c r="E13" t="s">
        <v>175</v>
      </c>
      <c r="F13" t="s">
        <v>800</v>
      </c>
    </row>
    <row r="14" spans="1:6" x14ac:dyDescent="0.25">
      <c r="A14" t="s">
        <v>822</v>
      </c>
      <c r="B14" t="s">
        <v>823</v>
      </c>
      <c r="C14" t="str">
        <f t="shared" si="0"/>
        <v>NorthSabrinatown</v>
      </c>
      <c r="D14" t="s">
        <v>787</v>
      </c>
      <c r="E14" t="s">
        <v>824</v>
      </c>
      <c r="F14" t="s">
        <v>800</v>
      </c>
    </row>
    <row r="15" spans="1:6" x14ac:dyDescent="0.25">
      <c r="A15" t="s">
        <v>825</v>
      </c>
      <c r="B15" t="s">
        <v>826</v>
      </c>
      <c r="C15" t="str">
        <f t="shared" si="0"/>
        <v>EastJohnsonville</v>
      </c>
      <c r="D15" t="s">
        <v>782</v>
      </c>
      <c r="E15" t="s">
        <v>69</v>
      </c>
      <c r="F15" t="s">
        <v>784</v>
      </c>
    </row>
    <row r="16" spans="1:6" x14ac:dyDescent="0.25">
      <c r="A16" t="s">
        <v>827</v>
      </c>
      <c r="B16" t="s">
        <v>828</v>
      </c>
      <c r="C16" t="str">
        <f t="shared" si="0"/>
        <v>SouthChristopherland</v>
      </c>
      <c r="D16" t="s">
        <v>791</v>
      </c>
      <c r="E16" t="s">
        <v>102</v>
      </c>
      <c r="F16" t="s">
        <v>793</v>
      </c>
    </row>
    <row r="17" spans="1:6" x14ac:dyDescent="0.25">
      <c r="A17" t="s">
        <v>829</v>
      </c>
      <c r="B17" t="s">
        <v>830</v>
      </c>
      <c r="C17" t="str">
        <f t="shared" si="0"/>
        <v>NorthEast Jenniferstad</v>
      </c>
      <c r="D17" t="s">
        <v>787</v>
      </c>
      <c r="E17" t="s">
        <v>831</v>
      </c>
      <c r="F17" t="s">
        <v>784</v>
      </c>
    </row>
    <row r="18" spans="1:6" x14ac:dyDescent="0.25">
      <c r="A18" t="s">
        <v>832</v>
      </c>
      <c r="B18" t="s">
        <v>833</v>
      </c>
      <c r="C18" t="str">
        <f t="shared" si="0"/>
        <v>WestNew Jimmymouth</v>
      </c>
      <c r="D18" t="s">
        <v>812</v>
      </c>
      <c r="E18" t="s">
        <v>834</v>
      </c>
      <c r="F18" t="s">
        <v>784</v>
      </c>
    </row>
    <row r="19" spans="1:6" x14ac:dyDescent="0.25">
      <c r="A19" t="s">
        <v>835</v>
      </c>
      <c r="B19" t="s">
        <v>836</v>
      </c>
      <c r="C19" t="str">
        <f t="shared" si="0"/>
        <v>NorthBensonhaven</v>
      </c>
      <c r="D19" t="s">
        <v>787</v>
      </c>
      <c r="E19" t="s">
        <v>837</v>
      </c>
      <c r="F19" t="s">
        <v>784</v>
      </c>
    </row>
    <row r="20" spans="1:6" x14ac:dyDescent="0.25">
      <c r="A20" t="s">
        <v>838</v>
      </c>
      <c r="B20" t="s">
        <v>839</v>
      </c>
      <c r="C20" t="str">
        <f t="shared" si="0"/>
        <v>EastEast Stevechester</v>
      </c>
      <c r="D20" t="s">
        <v>782</v>
      </c>
      <c r="E20" t="s">
        <v>840</v>
      </c>
      <c r="F20" t="s">
        <v>784</v>
      </c>
    </row>
    <row r="21" spans="1:6" x14ac:dyDescent="0.25">
      <c r="A21" t="s">
        <v>841</v>
      </c>
      <c r="B21" t="s">
        <v>842</v>
      </c>
      <c r="C21" t="str">
        <f t="shared" si="0"/>
        <v>EastVasquezborough</v>
      </c>
      <c r="D21" t="s">
        <v>782</v>
      </c>
      <c r="E21" t="s">
        <v>843</v>
      </c>
      <c r="F21" t="s">
        <v>800</v>
      </c>
    </row>
  </sheetData>
  <autoFilter ref="A1:F21"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P2001"/>
  <sheetViews>
    <sheetView workbookViewId="0">
      <selection activeCell="E1929" sqref="E1:E1048576"/>
    </sheetView>
  </sheetViews>
  <sheetFormatPr defaultRowHeight="15" x14ac:dyDescent="0.25"/>
  <cols>
    <col min="1" max="1" width="13.42578125" customWidth="1"/>
    <col min="2" max="2" width="8.140625" customWidth="1"/>
    <col min="3" max="3" width="12.28515625" customWidth="1"/>
    <col min="4" max="4" width="12.7109375" customWidth="1"/>
    <col min="5" max="5" width="13" customWidth="1"/>
    <col min="6" max="6" width="27.7109375" customWidth="1"/>
    <col min="7" max="7" width="16.140625" customWidth="1"/>
    <col min="8" max="8" width="10.5703125" customWidth="1"/>
    <col min="9" max="9" width="14.7109375" customWidth="1"/>
    <col min="10" max="10" width="9.140625" customWidth="1"/>
    <col min="11" max="11" width="15.28515625" style="3" customWidth="1"/>
    <col min="12" max="12" width="14.5703125" customWidth="1"/>
    <col min="13" max="13" width="12.28515625" customWidth="1"/>
    <col min="14" max="14" width="15.85546875" customWidth="1"/>
    <col min="15" max="15" width="17.5703125" customWidth="1"/>
    <col min="16" max="16" width="19.85546875" customWidth="1"/>
  </cols>
  <sheetData>
    <row r="1" spans="1:16" x14ac:dyDescent="0.25">
      <c r="A1" s="1" t="s">
        <v>776</v>
      </c>
      <c r="B1" s="1" t="s">
        <v>844</v>
      </c>
      <c r="C1" s="1" t="s">
        <v>567</v>
      </c>
      <c r="D1" s="1" t="s">
        <v>845</v>
      </c>
      <c r="E1" s="1" t="s">
        <v>0</v>
      </c>
      <c r="F1" s="1" t="s">
        <v>569</v>
      </c>
      <c r="G1" s="7" t="s">
        <v>568</v>
      </c>
      <c r="H1" s="1" t="s">
        <v>846</v>
      </c>
      <c r="I1" s="1" t="s">
        <v>847</v>
      </c>
      <c r="J1" s="1" t="s">
        <v>848</v>
      </c>
      <c r="K1" s="6" t="s">
        <v>850</v>
      </c>
      <c r="L1" s="1" t="s">
        <v>849</v>
      </c>
      <c r="M1" s="1" t="s">
        <v>2</v>
      </c>
      <c r="N1" s="1" t="s">
        <v>5</v>
      </c>
      <c r="O1" s="1" t="s">
        <v>6</v>
      </c>
      <c r="P1" s="1" t="s">
        <v>2856</v>
      </c>
    </row>
    <row r="2" spans="1:16" x14ac:dyDescent="0.25">
      <c r="A2" t="s">
        <v>780</v>
      </c>
      <c r="B2" t="s">
        <v>1492</v>
      </c>
      <c r="C2" t="s">
        <v>598</v>
      </c>
      <c r="D2" s="2">
        <v>45338</v>
      </c>
      <c r="E2" t="s">
        <v>457</v>
      </c>
      <c r="F2" t="str">
        <f>VLOOKUP($C2,Product_Dim!$A$2:$D$101,3,FALSE)</f>
        <v>Gibson, Hobbs and Weaver</v>
      </c>
      <c r="G2" t="str">
        <f>VLOOKUP($C2,Product_Dim!$A$2:$D$101,2,FALSE)</f>
        <v>Electronics</v>
      </c>
      <c r="H2">
        <v>1</v>
      </c>
      <c r="I2">
        <v>362.93</v>
      </c>
      <c r="J2">
        <v>0.27</v>
      </c>
      <c r="K2" s="3">
        <v>264.93889999999999</v>
      </c>
      <c r="L2" t="s">
        <v>852</v>
      </c>
      <c r="M2" t="str">
        <f>VLOOKUP($E2,Customer_Dim!$A$2:$F$501,3,FALSE)</f>
        <v>Male</v>
      </c>
      <c r="N2" t="str">
        <f>VLOOKUP($E2,Customer_Dim!$A$2:$F$501,5,FALSE)</f>
        <v>USA</v>
      </c>
      <c r="O2" t="str">
        <f>VLOOKUP($E2,Customer_Dim!$A$2:$F$501,6,FALSE)</f>
        <v>Silver</v>
      </c>
      <c r="P2" t="str">
        <f>VLOOKUP($A2,Store_Dim!$A$2:$F$21,3,FALSE)</f>
        <v>EastWashingtonfurt</v>
      </c>
    </row>
    <row r="3" spans="1:16" hidden="1" x14ac:dyDescent="0.25">
      <c r="A3" t="s">
        <v>780</v>
      </c>
      <c r="B3" t="s">
        <v>2581</v>
      </c>
      <c r="C3" t="s">
        <v>600</v>
      </c>
      <c r="D3" s="2">
        <v>45214</v>
      </c>
      <c r="E3" t="s">
        <v>57</v>
      </c>
      <c r="F3" t="str">
        <f>VLOOKUP($C3,Product_Dim!$A$2:$D$101,3,FALSE)</f>
        <v>Rice LLC</v>
      </c>
      <c r="G3" t="str">
        <f>VLOOKUP($C3,Product_Dim!$A$2:$D$101,2,FALSE)</f>
        <v>Beauty</v>
      </c>
      <c r="H3">
        <v>1</v>
      </c>
      <c r="I3">
        <v>145.47999999999999</v>
      </c>
      <c r="J3">
        <v>0.1</v>
      </c>
      <c r="K3" s="3">
        <v>130.93199999999999</v>
      </c>
      <c r="L3" t="s">
        <v>857</v>
      </c>
      <c r="M3" t="str">
        <f>VLOOKUP($E3,Customer_Dim!$A$2:$F$501,3,FALSE)</f>
        <v>Female</v>
      </c>
      <c r="N3" t="str">
        <f>VLOOKUP($E3,Customer_Dim!$A$2:$F$501,5,FALSE)</f>
        <v>USA</v>
      </c>
      <c r="O3" t="str">
        <f>VLOOKUP($E3,Customer_Dim!$A$2:$F$501,6,FALSE)</f>
        <v>Silver</v>
      </c>
      <c r="P3" t="str">
        <f>VLOOKUP($A3,Store_Dim!$A$2:$F$21,3,FALSE)</f>
        <v>EastWashingtonfurt</v>
      </c>
    </row>
    <row r="4" spans="1:16" hidden="1" x14ac:dyDescent="0.25">
      <c r="A4" t="s">
        <v>780</v>
      </c>
      <c r="B4" t="s">
        <v>2668</v>
      </c>
      <c r="C4" t="s">
        <v>600</v>
      </c>
      <c r="D4" s="2">
        <v>45832</v>
      </c>
      <c r="E4" t="s">
        <v>178</v>
      </c>
      <c r="F4" t="str">
        <f>VLOOKUP($C4,Product_Dim!$A$2:$D$101,3,FALSE)</f>
        <v>Rice LLC</v>
      </c>
      <c r="G4" t="str">
        <f>VLOOKUP($C4,Product_Dim!$A$2:$D$101,2,FALSE)</f>
        <v>Beauty</v>
      </c>
      <c r="H4">
        <v>1</v>
      </c>
      <c r="I4">
        <v>281.83</v>
      </c>
      <c r="J4">
        <v>0.16</v>
      </c>
      <c r="K4" s="3">
        <v>236.7372</v>
      </c>
      <c r="L4" t="s">
        <v>857</v>
      </c>
      <c r="M4" t="str">
        <f>VLOOKUP($E4,Customer_Dim!$A$2:$F$501,3,FALSE)</f>
        <v>Female</v>
      </c>
      <c r="N4" t="str">
        <f>VLOOKUP($E4,Customer_Dim!$A$2:$F$501,5,FALSE)</f>
        <v>USA</v>
      </c>
      <c r="O4" t="str">
        <f>VLOOKUP($E4,Customer_Dim!$A$2:$F$501,6,FALSE)</f>
        <v>Platinum</v>
      </c>
      <c r="P4" t="str">
        <f>VLOOKUP($A4,Store_Dim!$A$2:$F$21,3,FALSE)</f>
        <v>EastWashingtonfurt</v>
      </c>
    </row>
    <row r="5" spans="1:16" x14ac:dyDescent="0.25">
      <c r="A5" t="s">
        <v>780</v>
      </c>
      <c r="B5" t="s">
        <v>2771</v>
      </c>
      <c r="C5" t="s">
        <v>600</v>
      </c>
      <c r="D5" s="2">
        <v>45661</v>
      </c>
      <c r="E5" t="s">
        <v>533</v>
      </c>
      <c r="F5" t="str">
        <f>VLOOKUP($C5,Product_Dim!$A$2:$D$101,3,FALSE)</f>
        <v>Rice LLC</v>
      </c>
      <c r="G5" t="str">
        <f>VLOOKUP($C5,Product_Dim!$A$2:$D$101,2,FALSE)</f>
        <v>Beauty</v>
      </c>
      <c r="H5">
        <v>2</v>
      </c>
      <c r="I5">
        <v>687.35</v>
      </c>
      <c r="J5">
        <v>0.2</v>
      </c>
      <c r="K5" s="3">
        <v>1099.76</v>
      </c>
      <c r="L5" t="s">
        <v>857</v>
      </c>
      <c r="M5" t="str">
        <f>VLOOKUP($E5,Customer_Dim!$A$2:$F$501,3,FALSE)</f>
        <v>Male</v>
      </c>
      <c r="N5" t="str">
        <f>VLOOKUP($E5,Customer_Dim!$A$2:$F$501,5,FALSE)</f>
        <v>USA</v>
      </c>
      <c r="O5" t="str">
        <f>VLOOKUP($E5,Customer_Dim!$A$2:$F$501,6,FALSE)</f>
        <v>Silver</v>
      </c>
      <c r="P5" t="str">
        <f>VLOOKUP($A5,Store_Dim!$A$2:$F$21,3,FALSE)</f>
        <v>EastWashingtonfurt</v>
      </c>
    </row>
    <row r="6" spans="1:16" x14ac:dyDescent="0.25">
      <c r="A6" t="s">
        <v>780</v>
      </c>
      <c r="B6" t="s">
        <v>1098</v>
      </c>
      <c r="C6" t="s">
        <v>604</v>
      </c>
      <c r="D6" s="2">
        <v>45780</v>
      </c>
      <c r="E6" t="s">
        <v>265</v>
      </c>
      <c r="F6" t="str">
        <f>VLOOKUP($C6,Product_Dim!$A$2:$D$101,3,FALSE)</f>
        <v>Luna, Anderson and Bowman</v>
      </c>
      <c r="G6" t="str">
        <f>VLOOKUP($C6,Product_Dim!$A$2:$D$101,2,FALSE)</f>
        <v>Home</v>
      </c>
      <c r="H6">
        <v>4</v>
      </c>
      <c r="I6">
        <v>452.67</v>
      </c>
      <c r="J6">
        <v>0.28000000000000003</v>
      </c>
      <c r="K6" s="3">
        <v>1303.6895999999999</v>
      </c>
      <c r="L6" t="s">
        <v>854</v>
      </c>
      <c r="M6" t="str">
        <f>VLOOKUP($E6,Customer_Dim!$A$2:$F$501,3,FALSE)</f>
        <v>Male</v>
      </c>
      <c r="N6" t="str">
        <f>VLOOKUP($E6,Customer_Dim!$A$2:$F$501,5,FALSE)</f>
        <v>USA</v>
      </c>
      <c r="O6" t="str">
        <f>VLOOKUP($E6,Customer_Dim!$A$2:$F$501,6,FALSE)</f>
        <v>Platinum</v>
      </c>
      <c r="P6" t="str">
        <f>VLOOKUP($A6,Store_Dim!$A$2:$F$21,3,FALSE)</f>
        <v>EastWashingtonfurt</v>
      </c>
    </row>
    <row r="7" spans="1:16" hidden="1" x14ac:dyDescent="0.25">
      <c r="A7" t="s">
        <v>780</v>
      </c>
      <c r="B7" t="s">
        <v>2132</v>
      </c>
      <c r="C7" t="s">
        <v>604</v>
      </c>
      <c r="D7" s="2">
        <v>45481</v>
      </c>
      <c r="E7" t="s">
        <v>418</v>
      </c>
      <c r="F7" t="str">
        <f>VLOOKUP($C7,Product_Dim!$A$2:$D$101,3,FALSE)</f>
        <v>Luna, Anderson and Bowman</v>
      </c>
      <c r="G7" t="str">
        <f>VLOOKUP($C7,Product_Dim!$A$2:$D$101,2,FALSE)</f>
        <v>Home</v>
      </c>
      <c r="H7">
        <v>2</v>
      </c>
      <c r="I7">
        <v>779.29</v>
      </c>
      <c r="J7">
        <v>0.12</v>
      </c>
      <c r="K7" s="3">
        <v>1371.5504000000001</v>
      </c>
      <c r="L7" t="s">
        <v>857</v>
      </c>
      <c r="M7" t="str">
        <f>VLOOKUP($E7,Customer_Dim!$A$2:$F$501,3,FALSE)</f>
        <v>Female</v>
      </c>
      <c r="N7" t="str">
        <f>VLOOKUP($E7,Customer_Dim!$A$2:$F$501,5,FALSE)</f>
        <v>USA</v>
      </c>
      <c r="O7" t="str">
        <f>VLOOKUP($E7,Customer_Dim!$A$2:$F$501,6,FALSE)</f>
        <v>Bronze</v>
      </c>
      <c r="P7" t="str">
        <f>VLOOKUP($A7,Store_Dim!$A$2:$F$21,3,FALSE)</f>
        <v>EastWashingtonfurt</v>
      </c>
    </row>
    <row r="8" spans="1:16" hidden="1" x14ac:dyDescent="0.25">
      <c r="A8" t="s">
        <v>780</v>
      </c>
      <c r="B8" t="s">
        <v>1389</v>
      </c>
      <c r="C8" t="s">
        <v>608</v>
      </c>
      <c r="D8" s="2">
        <v>45281</v>
      </c>
      <c r="E8" t="s">
        <v>70</v>
      </c>
      <c r="F8" t="str">
        <f>VLOOKUP($C8,Product_Dim!$A$2:$D$101,3,FALSE)</f>
        <v>Erickson-Green</v>
      </c>
      <c r="G8" t="str">
        <f>VLOOKUP($C8,Product_Dim!$A$2:$D$101,2,FALSE)</f>
        <v>Beauty</v>
      </c>
      <c r="H8">
        <v>1</v>
      </c>
      <c r="I8">
        <v>791.36</v>
      </c>
      <c r="J8">
        <v>0.06</v>
      </c>
      <c r="K8" s="3">
        <v>743.87839999999994</v>
      </c>
      <c r="L8" t="s">
        <v>854</v>
      </c>
      <c r="M8" t="str">
        <f>VLOOKUP($E8,Customer_Dim!$A$2:$F$501,3,FALSE)</f>
        <v>Female</v>
      </c>
      <c r="N8" t="str">
        <f>VLOOKUP($E8,Customer_Dim!$A$2:$F$501,5,FALSE)</f>
        <v>USA</v>
      </c>
      <c r="O8" t="str">
        <f>VLOOKUP($E8,Customer_Dim!$A$2:$F$501,6,FALSE)</f>
        <v>Gold</v>
      </c>
      <c r="P8" t="str">
        <f>VLOOKUP($A8,Store_Dim!$A$2:$F$21,3,FALSE)</f>
        <v>EastWashingtonfurt</v>
      </c>
    </row>
    <row r="9" spans="1:16" x14ac:dyDescent="0.25">
      <c r="A9" t="s">
        <v>780</v>
      </c>
      <c r="B9" t="s">
        <v>2662</v>
      </c>
      <c r="C9" t="s">
        <v>608</v>
      </c>
      <c r="D9" s="2">
        <v>45475</v>
      </c>
      <c r="E9" t="s">
        <v>75</v>
      </c>
      <c r="F9" t="str">
        <f>VLOOKUP($C9,Product_Dim!$A$2:$D$101,3,FALSE)</f>
        <v>Erickson-Green</v>
      </c>
      <c r="G9" t="str">
        <f>VLOOKUP($C9,Product_Dim!$A$2:$D$101,2,FALSE)</f>
        <v>Beauty</v>
      </c>
      <c r="H9">
        <v>3</v>
      </c>
      <c r="I9">
        <v>168.89</v>
      </c>
      <c r="J9">
        <v>0.03</v>
      </c>
      <c r="K9" s="3">
        <v>491.46989999999988</v>
      </c>
      <c r="L9" t="s">
        <v>857</v>
      </c>
      <c r="M9" t="str">
        <f>VLOOKUP($E9,Customer_Dim!$A$2:$F$501,3,FALSE)</f>
        <v>Male</v>
      </c>
      <c r="N9" t="str">
        <f>VLOOKUP($E9,Customer_Dim!$A$2:$F$501,5,FALSE)</f>
        <v>USA</v>
      </c>
      <c r="O9" t="str">
        <f>VLOOKUP($E9,Customer_Dim!$A$2:$F$501,6,FALSE)</f>
        <v>Silver</v>
      </c>
      <c r="P9" t="str">
        <f>VLOOKUP($A9,Store_Dim!$A$2:$F$21,3,FALSE)</f>
        <v>EastWashingtonfurt</v>
      </c>
    </row>
    <row r="10" spans="1:16" x14ac:dyDescent="0.25">
      <c r="A10" t="s">
        <v>780</v>
      </c>
      <c r="B10" t="s">
        <v>1090</v>
      </c>
      <c r="C10" t="s">
        <v>610</v>
      </c>
      <c r="D10" s="2">
        <v>45809</v>
      </c>
      <c r="E10" t="s">
        <v>233</v>
      </c>
      <c r="F10" t="str">
        <f>VLOOKUP($C10,Product_Dim!$A$2:$D$101,3,FALSE)</f>
        <v>Ford, Murphy and Wilson</v>
      </c>
      <c r="G10" t="str">
        <f>VLOOKUP($C10,Product_Dim!$A$2:$D$101,2,FALSE)</f>
        <v>Sports</v>
      </c>
      <c r="H10">
        <v>4</v>
      </c>
      <c r="I10">
        <v>469.68</v>
      </c>
      <c r="J10">
        <v>0.19</v>
      </c>
      <c r="K10" s="3">
        <v>1521.7632000000001</v>
      </c>
      <c r="L10" t="s">
        <v>852</v>
      </c>
      <c r="M10" t="str">
        <f>VLOOKUP($E10,Customer_Dim!$A$2:$F$501,3,FALSE)</f>
        <v>Male</v>
      </c>
      <c r="N10" t="str">
        <f>VLOOKUP($E10,Customer_Dim!$A$2:$F$501,5,FALSE)</f>
        <v>USA</v>
      </c>
      <c r="O10" t="str">
        <f>VLOOKUP($E10,Customer_Dim!$A$2:$F$501,6,FALSE)</f>
        <v>Bronze</v>
      </c>
      <c r="P10" t="str">
        <f>VLOOKUP($A10,Store_Dim!$A$2:$F$21,3,FALSE)</f>
        <v>EastWashingtonfurt</v>
      </c>
    </row>
    <row r="11" spans="1:16" x14ac:dyDescent="0.25">
      <c r="A11" t="s">
        <v>780</v>
      </c>
      <c r="B11" t="s">
        <v>2416</v>
      </c>
      <c r="C11" t="s">
        <v>610</v>
      </c>
      <c r="D11" s="2">
        <v>45582</v>
      </c>
      <c r="E11" t="s">
        <v>456</v>
      </c>
      <c r="F11" t="str">
        <f>VLOOKUP($C11,Product_Dim!$A$2:$D$101,3,FALSE)</f>
        <v>Ford, Murphy and Wilson</v>
      </c>
      <c r="G11" t="str">
        <f>VLOOKUP($C11,Product_Dim!$A$2:$D$101,2,FALSE)</f>
        <v>Sports</v>
      </c>
      <c r="H11">
        <v>1</v>
      </c>
      <c r="I11">
        <v>465.63</v>
      </c>
      <c r="J11">
        <v>0.25</v>
      </c>
      <c r="K11" s="3">
        <v>349.22250000000003</v>
      </c>
      <c r="L11" t="s">
        <v>852</v>
      </c>
      <c r="M11" t="str">
        <f>VLOOKUP($E11,Customer_Dim!$A$2:$F$501,3,FALSE)</f>
        <v>Male</v>
      </c>
      <c r="N11" t="str">
        <f>VLOOKUP($E11,Customer_Dim!$A$2:$F$501,5,FALSE)</f>
        <v>USA</v>
      </c>
      <c r="O11" t="str">
        <f>VLOOKUP($E11,Customer_Dim!$A$2:$F$501,6,FALSE)</f>
        <v>Platinum</v>
      </c>
      <c r="P11" t="str">
        <f>VLOOKUP($A11,Store_Dim!$A$2:$F$21,3,FALSE)</f>
        <v>EastWashingtonfurt</v>
      </c>
    </row>
    <row r="12" spans="1:16" hidden="1" x14ac:dyDescent="0.25">
      <c r="A12" t="s">
        <v>780</v>
      </c>
      <c r="B12" t="s">
        <v>1348</v>
      </c>
      <c r="C12" t="s">
        <v>612</v>
      </c>
      <c r="D12" s="2">
        <v>45501</v>
      </c>
      <c r="E12" t="s">
        <v>306</v>
      </c>
      <c r="F12" t="str">
        <f>VLOOKUP($C12,Product_Dim!$A$2:$D$101,3,FALSE)</f>
        <v>Guerra-Hendrix</v>
      </c>
      <c r="G12" t="str">
        <f>VLOOKUP($C12,Product_Dim!$A$2:$D$101,2,FALSE)</f>
        <v>Clothing</v>
      </c>
      <c r="H12">
        <v>1</v>
      </c>
      <c r="I12">
        <v>917.17</v>
      </c>
      <c r="J12">
        <v>0.13</v>
      </c>
      <c r="K12" s="3">
        <v>797.93790000000001</v>
      </c>
      <c r="L12" t="s">
        <v>857</v>
      </c>
      <c r="M12" t="str">
        <f>VLOOKUP($E12,Customer_Dim!$A$2:$F$501,3,FALSE)</f>
        <v>Female</v>
      </c>
      <c r="N12" t="str">
        <f>VLOOKUP($E12,Customer_Dim!$A$2:$F$501,5,FALSE)</f>
        <v>USA</v>
      </c>
      <c r="O12" t="str">
        <f>VLOOKUP($E12,Customer_Dim!$A$2:$F$501,6,FALSE)</f>
        <v>Platinum</v>
      </c>
      <c r="P12" t="str">
        <f>VLOOKUP($A12,Store_Dim!$A$2:$F$21,3,FALSE)</f>
        <v>EastWashingtonfurt</v>
      </c>
    </row>
    <row r="13" spans="1:16" hidden="1" x14ac:dyDescent="0.25">
      <c r="A13" t="s">
        <v>780</v>
      </c>
      <c r="B13" t="s">
        <v>1697</v>
      </c>
      <c r="C13" t="s">
        <v>614</v>
      </c>
      <c r="D13" s="2">
        <v>45525</v>
      </c>
      <c r="E13" t="s">
        <v>195</v>
      </c>
      <c r="F13" t="str">
        <f>VLOOKUP($C13,Product_Dim!$A$2:$D$101,3,FALSE)</f>
        <v>May-Reese</v>
      </c>
      <c r="G13" t="str">
        <f>VLOOKUP($C13,Product_Dim!$A$2:$D$101,2,FALSE)</f>
        <v>Sports</v>
      </c>
      <c r="H13">
        <v>1</v>
      </c>
      <c r="I13">
        <v>346.2</v>
      </c>
      <c r="J13">
        <v>0.28999999999999998</v>
      </c>
      <c r="K13" s="3">
        <v>245.80199999999999</v>
      </c>
      <c r="L13" t="s">
        <v>852</v>
      </c>
      <c r="M13" t="str">
        <f>VLOOKUP($E13,Customer_Dim!$A$2:$F$501,3,FALSE)</f>
        <v>Female</v>
      </c>
      <c r="N13" t="str">
        <f>VLOOKUP($E13,Customer_Dim!$A$2:$F$501,5,FALSE)</f>
        <v>USA</v>
      </c>
      <c r="O13" t="str">
        <f>VLOOKUP($E13,Customer_Dim!$A$2:$F$501,6,FALSE)</f>
        <v>Bronze</v>
      </c>
      <c r="P13" t="str">
        <f>VLOOKUP($A13,Store_Dim!$A$2:$F$21,3,FALSE)</f>
        <v>EastWashingtonfurt</v>
      </c>
    </row>
    <row r="14" spans="1:16" hidden="1" x14ac:dyDescent="0.25">
      <c r="A14" t="s">
        <v>780</v>
      </c>
      <c r="B14" t="s">
        <v>1258</v>
      </c>
      <c r="C14" t="s">
        <v>616</v>
      </c>
      <c r="D14" s="2">
        <v>45495</v>
      </c>
      <c r="E14" t="s">
        <v>446</v>
      </c>
      <c r="F14" t="str">
        <f>VLOOKUP($C14,Product_Dim!$A$2:$D$101,3,FALSE)</f>
        <v>Soto-Ellis</v>
      </c>
      <c r="G14" t="str">
        <f>VLOOKUP($C14,Product_Dim!$A$2:$D$101,2,FALSE)</f>
        <v>Sports</v>
      </c>
      <c r="H14">
        <v>4</v>
      </c>
      <c r="I14">
        <v>585.45000000000005</v>
      </c>
      <c r="J14">
        <v>0.25</v>
      </c>
      <c r="K14" s="3">
        <v>1756.35</v>
      </c>
      <c r="L14" t="s">
        <v>857</v>
      </c>
      <c r="M14" t="str">
        <f>VLOOKUP($E14,Customer_Dim!$A$2:$F$501,3,FALSE)</f>
        <v>Female</v>
      </c>
      <c r="N14" t="str">
        <f>VLOOKUP($E14,Customer_Dim!$A$2:$F$501,5,FALSE)</f>
        <v>USA</v>
      </c>
      <c r="O14" t="str">
        <f>VLOOKUP($E14,Customer_Dim!$A$2:$F$501,6,FALSE)</f>
        <v>Gold</v>
      </c>
      <c r="P14" t="str">
        <f>VLOOKUP($A14,Store_Dim!$A$2:$F$21,3,FALSE)</f>
        <v>EastWashingtonfurt</v>
      </c>
    </row>
    <row r="15" spans="1:16" hidden="1" x14ac:dyDescent="0.25">
      <c r="A15" t="s">
        <v>780</v>
      </c>
      <c r="B15" t="s">
        <v>1521</v>
      </c>
      <c r="C15" t="s">
        <v>618</v>
      </c>
      <c r="D15" s="2">
        <v>45594</v>
      </c>
      <c r="E15" t="s">
        <v>97</v>
      </c>
      <c r="F15" t="str">
        <f>VLOOKUP($C15,Product_Dim!$A$2:$D$101,3,FALSE)</f>
        <v>Gardner-Montes</v>
      </c>
      <c r="G15" t="str">
        <f>VLOOKUP($C15,Product_Dim!$A$2:$D$101,2,FALSE)</f>
        <v>Home</v>
      </c>
      <c r="H15">
        <v>1</v>
      </c>
      <c r="I15">
        <v>242.08</v>
      </c>
      <c r="J15">
        <v>0.18</v>
      </c>
      <c r="K15" s="3">
        <v>198.50559999999999</v>
      </c>
      <c r="L15" t="s">
        <v>854</v>
      </c>
      <c r="M15" t="str">
        <f>VLOOKUP($E15,Customer_Dim!$A$2:$F$501,3,FALSE)</f>
        <v>Female</v>
      </c>
      <c r="N15" t="str">
        <f>VLOOKUP($E15,Customer_Dim!$A$2:$F$501,5,FALSE)</f>
        <v>USA</v>
      </c>
      <c r="O15" t="str">
        <f>VLOOKUP($E15,Customer_Dim!$A$2:$F$501,6,FALSE)</f>
        <v>Gold</v>
      </c>
      <c r="P15" t="str">
        <f>VLOOKUP($A15,Store_Dim!$A$2:$F$21,3,FALSE)</f>
        <v>EastWashingtonfurt</v>
      </c>
    </row>
    <row r="16" spans="1:16" hidden="1" x14ac:dyDescent="0.25">
      <c r="A16" t="s">
        <v>780</v>
      </c>
      <c r="B16" t="s">
        <v>1249</v>
      </c>
      <c r="C16" t="s">
        <v>618</v>
      </c>
      <c r="D16" s="2">
        <v>45308</v>
      </c>
      <c r="E16" t="s">
        <v>278</v>
      </c>
      <c r="F16" t="str">
        <f>VLOOKUP($C16,Product_Dim!$A$2:$D$101,3,FALSE)</f>
        <v>Gardner-Montes</v>
      </c>
      <c r="G16" t="str">
        <f>VLOOKUP($C16,Product_Dim!$A$2:$D$101,2,FALSE)</f>
        <v>Home</v>
      </c>
      <c r="H16">
        <v>4</v>
      </c>
      <c r="I16">
        <v>276.23</v>
      </c>
      <c r="J16">
        <v>0.12</v>
      </c>
      <c r="K16" s="3">
        <v>972.32960000000003</v>
      </c>
      <c r="L16" t="s">
        <v>852</v>
      </c>
      <c r="M16" t="str">
        <f>VLOOKUP($E16,Customer_Dim!$A$2:$F$501,3,FALSE)</f>
        <v>Female</v>
      </c>
      <c r="N16" t="str">
        <f>VLOOKUP($E16,Customer_Dim!$A$2:$F$501,5,FALSE)</f>
        <v>USA</v>
      </c>
      <c r="O16" t="str">
        <f>VLOOKUP($E16,Customer_Dim!$A$2:$F$501,6,FALSE)</f>
        <v>Platinum</v>
      </c>
      <c r="P16" t="str">
        <f>VLOOKUP($A16,Store_Dim!$A$2:$F$21,3,FALSE)</f>
        <v>EastWashingtonfurt</v>
      </c>
    </row>
    <row r="17" spans="1:16" x14ac:dyDescent="0.25">
      <c r="A17" t="s">
        <v>780</v>
      </c>
      <c r="B17" t="s">
        <v>1503</v>
      </c>
      <c r="C17" t="s">
        <v>618</v>
      </c>
      <c r="D17" s="2">
        <v>45801</v>
      </c>
      <c r="E17" t="s">
        <v>469</v>
      </c>
      <c r="F17" t="str">
        <f>VLOOKUP($C17,Product_Dim!$A$2:$D$101,3,FALSE)</f>
        <v>Gardner-Montes</v>
      </c>
      <c r="G17" t="str">
        <f>VLOOKUP($C17,Product_Dim!$A$2:$D$101,2,FALSE)</f>
        <v>Home</v>
      </c>
      <c r="H17">
        <v>2</v>
      </c>
      <c r="I17">
        <v>347.95</v>
      </c>
      <c r="J17">
        <v>0.13</v>
      </c>
      <c r="K17" s="3">
        <v>605.43299999999999</v>
      </c>
      <c r="L17" t="s">
        <v>857</v>
      </c>
      <c r="M17" t="str">
        <f>VLOOKUP($E17,Customer_Dim!$A$2:$F$501,3,FALSE)</f>
        <v>Male</v>
      </c>
      <c r="N17" t="str">
        <f>VLOOKUP($E17,Customer_Dim!$A$2:$F$501,5,FALSE)</f>
        <v>USA</v>
      </c>
      <c r="O17" t="str">
        <f>VLOOKUP($E17,Customer_Dim!$A$2:$F$501,6,FALSE)</f>
        <v>Bronze</v>
      </c>
      <c r="P17" t="str">
        <f>VLOOKUP($A17,Store_Dim!$A$2:$F$21,3,FALSE)</f>
        <v>EastWashingtonfurt</v>
      </c>
    </row>
    <row r="18" spans="1:16" hidden="1" x14ac:dyDescent="0.25">
      <c r="A18" t="s">
        <v>780</v>
      </c>
      <c r="B18" t="s">
        <v>1783</v>
      </c>
      <c r="C18" t="s">
        <v>620</v>
      </c>
      <c r="D18" s="2">
        <v>45706</v>
      </c>
      <c r="E18" t="s">
        <v>223</v>
      </c>
      <c r="F18" t="str">
        <f>VLOOKUP($C18,Product_Dim!$A$2:$D$101,3,FALSE)</f>
        <v>Flores, Pineda and Rodriguez</v>
      </c>
      <c r="G18" t="str">
        <f>VLOOKUP($C18,Product_Dim!$A$2:$D$101,2,FALSE)</f>
        <v>Sports</v>
      </c>
      <c r="H18">
        <v>1</v>
      </c>
      <c r="I18">
        <v>588.92999999999995</v>
      </c>
      <c r="J18">
        <v>0.03</v>
      </c>
      <c r="K18" s="3">
        <v>571.26209999999992</v>
      </c>
      <c r="L18" t="s">
        <v>857</v>
      </c>
      <c r="M18" t="str">
        <f>VLOOKUP($E18,Customer_Dim!$A$2:$F$501,3,FALSE)</f>
        <v>Female</v>
      </c>
      <c r="N18" t="str">
        <f>VLOOKUP($E18,Customer_Dim!$A$2:$F$501,5,FALSE)</f>
        <v>USA</v>
      </c>
      <c r="O18" t="str">
        <f>VLOOKUP($E18,Customer_Dim!$A$2:$F$501,6,FALSE)</f>
        <v>Gold</v>
      </c>
      <c r="P18" t="str">
        <f>VLOOKUP($A18,Store_Dim!$A$2:$F$21,3,FALSE)</f>
        <v>EastWashingtonfurt</v>
      </c>
    </row>
    <row r="19" spans="1:16" x14ac:dyDescent="0.25">
      <c r="A19" t="s">
        <v>780</v>
      </c>
      <c r="B19" t="s">
        <v>2619</v>
      </c>
      <c r="C19" t="s">
        <v>626</v>
      </c>
      <c r="D19" s="2">
        <v>45695</v>
      </c>
      <c r="E19" t="s">
        <v>89</v>
      </c>
      <c r="F19" t="str">
        <f>VLOOKUP($C19,Product_Dim!$A$2:$D$101,3,FALSE)</f>
        <v>Brown and Sons</v>
      </c>
      <c r="G19" t="str">
        <f>VLOOKUP($C19,Product_Dim!$A$2:$D$101,2,FALSE)</f>
        <v>Clothing</v>
      </c>
      <c r="H19">
        <v>2</v>
      </c>
      <c r="I19">
        <v>596.84</v>
      </c>
      <c r="J19">
        <v>0.01</v>
      </c>
      <c r="K19" s="3">
        <v>1181.7431999999999</v>
      </c>
      <c r="L19" t="s">
        <v>854</v>
      </c>
      <c r="M19" t="str">
        <f>VLOOKUP($E19,Customer_Dim!$A$2:$F$501,3,FALSE)</f>
        <v>Male</v>
      </c>
      <c r="N19" t="str">
        <f>VLOOKUP($E19,Customer_Dim!$A$2:$F$501,5,FALSE)</f>
        <v>USA</v>
      </c>
      <c r="O19" t="str">
        <f>VLOOKUP($E19,Customer_Dim!$A$2:$F$501,6,FALSE)</f>
        <v>Gold</v>
      </c>
      <c r="P19" t="str">
        <f>VLOOKUP($A19,Store_Dim!$A$2:$F$21,3,FALSE)</f>
        <v>EastWashingtonfurt</v>
      </c>
    </row>
    <row r="20" spans="1:16" x14ac:dyDescent="0.25">
      <c r="A20" t="s">
        <v>780</v>
      </c>
      <c r="B20" t="s">
        <v>2731</v>
      </c>
      <c r="C20" t="s">
        <v>628</v>
      </c>
      <c r="D20" s="2">
        <v>45272</v>
      </c>
      <c r="E20" t="s">
        <v>320</v>
      </c>
      <c r="F20" t="str">
        <f>VLOOKUP($C20,Product_Dim!$A$2:$D$101,3,FALSE)</f>
        <v>Reed-Schmidt</v>
      </c>
      <c r="G20" t="str">
        <f>VLOOKUP($C20,Product_Dim!$A$2:$D$101,2,FALSE)</f>
        <v>Electronics</v>
      </c>
      <c r="H20">
        <v>2</v>
      </c>
      <c r="I20">
        <v>614.21</v>
      </c>
      <c r="J20">
        <v>0.11</v>
      </c>
      <c r="K20" s="3">
        <v>1093.2937999999999</v>
      </c>
      <c r="L20" t="s">
        <v>854</v>
      </c>
      <c r="M20" t="str">
        <f>VLOOKUP($E20,Customer_Dim!$A$2:$F$501,3,FALSE)</f>
        <v>Male</v>
      </c>
      <c r="N20" t="str">
        <f>VLOOKUP($E20,Customer_Dim!$A$2:$F$501,5,FALSE)</f>
        <v>USA</v>
      </c>
      <c r="O20" t="str">
        <f>VLOOKUP($E20,Customer_Dim!$A$2:$F$501,6,FALSE)</f>
        <v>Silver</v>
      </c>
      <c r="P20" t="str">
        <f>VLOOKUP($A20,Store_Dim!$A$2:$F$21,3,FALSE)</f>
        <v>EastWashingtonfurt</v>
      </c>
    </row>
    <row r="21" spans="1:16" hidden="1" x14ac:dyDescent="0.25">
      <c r="A21" t="s">
        <v>780</v>
      </c>
      <c r="B21" t="s">
        <v>1211</v>
      </c>
      <c r="C21" t="s">
        <v>630</v>
      </c>
      <c r="D21" s="2">
        <v>45564</v>
      </c>
      <c r="E21" t="s">
        <v>229</v>
      </c>
      <c r="F21" t="str">
        <f>VLOOKUP($C21,Product_Dim!$A$2:$D$101,3,FALSE)</f>
        <v>Khan, Jones and Paul</v>
      </c>
      <c r="G21" t="str">
        <f>VLOOKUP($C21,Product_Dim!$A$2:$D$101,2,FALSE)</f>
        <v>Home</v>
      </c>
      <c r="H21">
        <v>3</v>
      </c>
      <c r="I21">
        <v>158.72</v>
      </c>
      <c r="J21">
        <v>0.13</v>
      </c>
      <c r="K21" s="3">
        <v>414.25920000000002</v>
      </c>
      <c r="L21" t="s">
        <v>852</v>
      </c>
      <c r="M21" t="str">
        <f>VLOOKUP($E21,Customer_Dim!$A$2:$F$501,3,FALSE)</f>
        <v>Female</v>
      </c>
      <c r="N21" t="str">
        <f>VLOOKUP($E21,Customer_Dim!$A$2:$F$501,5,FALSE)</f>
        <v>USA</v>
      </c>
      <c r="O21" t="str">
        <f>VLOOKUP($E21,Customer_Dim!$A$2:$F$501,6,FALSE)</f>
        <v>Platinum</v>
      </c>
      <c r="P21" t="str">
        <f>VLOOKUP($A21,Store_Dim!$A$2:$F$21,3,FALSE)</f>
        <v>EastWashingtonfurt</v>
      </c>
    </row>
    <row r="22" spans="1:16" x14ac:dyDescent="0.25">
      <c r="A22" t="s">
        <v>780</v>
      </c>
      <c r="B22" t="s">
        <v>2289</v>
      </c>
      <c r="C22" t="s">
        <v>630</v>
      </c>
      <c r="D22" s="2">
        <v>45779</v>
      </c>
      <c r="E22" t="s">
        <v>510</v>
      </c>
      <c r="F22" t="str">
        <f>VLOOKUP($C22,Product_Dim!$A$2:$D$101,3,FALSE)</f>
        <v>Khan, Jones and Paul</v>
      </c>
      <c r="G22" t="str">
        <f>VLOOKUP($C22,Product_Dim!$A$2:$D$101,2,FALSE)</f>
        <v>Home</v>
      </c>
      <c r="H22">
        <v>1</v>
      </c>
      <c r="I22">
        <v>640.92999999999995</v>
      </c>
      <c r="J22">
        <v>0.19</v>
      </c>
      <c r="K22" s="3">
        <v>519.15329999999994</v>
      </c>
      <c r="L22" t="s">
        <v>854</v>
      </c>
      <c r="M22" t="str">
        <f>VLOOKUP($E22,Customer_Dim!$A$2:$F$501,3,FALSE)</f>
        <v>Male</v>
      </c>
      <c r="N22" t="str">
        <f>VLOOKUP($E22,Customer_Dim!$A$2:$F$501,5,FALSE)</f>
        <v>USA</v>
      </c>
      <c r="O22" t="str">
        <f>VLOOKUP($E22,Customer_Dim!$A$2:$F$501,6,FALSE)</f>
        <v>Silver</v>
      </c>
      <c r="P22" t="str">
        <f>VLOOKUP($A22,Store_Dim!$A$2:$F$21,3,FALSE)</f>
        <v>EastWashingtonfurt</v>
      </c>
    </row>
    <row r="23" spans="1:16" x14ac:dyDescent="0.25">
      <c r="A23" t="s">
        <v>780</v>
      </c>
      <c r="B23" t="s">
        <v>1902</v>
      </c>
      <c r="C23" t="s">
        <v>632</v>
      </c>
      <c r="D23" s="2">
        <v>45783</v>
      </c>
      <c r="E23" t="s">
        <v>323</v>
      </c>
      <c r="F23" t="str">
        <f>VLOOKUP($C23,Product_Dim!$A$2:$D$101,3,FALSE)</f>
        <v>Burns-Hansen</v>
      </c>
      <c r="G23" t="str">
        <f>VLOOKUP($C23,Product_Dim!$A$2:$D$101,2,FALSE)</f>
        <v>Sports</v>
      </c>
      <c r="H23">
        <v>1</v>
      </c>
      <c r="I23">
        <v>143.69999999999999</v>
      </c>
      <c r="J23">
        <v>0.19</v>
      </c>
      <c r="K23" s="3">
        <v>116.39700000000001</v>
      </c>
      <c r="L23" t="s">
        <v>854</v>
      </c>
      <c r="M23" t="str">
        <f>VLOOKUP($E23,Customer_Dim!$A$2:$F$501,3,FALSE)</f>
        <v>Male</v>
      </c>
      <c r="N23" t="str">
        <f>VLOOKUP($E23,Customer_Dim!$A$2:$F$501,5,FALSE)</f>
        <v>USA</v>
      </c>
      <c r="O23" t="str">
        <f>VLOOKUP($E23,Customer_Dim!$A$2:$F$501,6,FALSE)</f>
        <v>Silver</v>
      </c>
      <c r="P23" t="str">
        <f>VLOOKUP($A23,Store_Dim!$A$2:$F$21,3,FALSE)</f>
        <v>EastWashingtonfurt</v>
      </c>
    </row>
    <row r="24" spans="1:16" hidden="1" x14ac:dyDescent="0.25">
      <c r="A24" t="s">
        <v>780</v>
      </c>
      <c r="B24" t="s">
        <v>2757</v>
      </c>
      <c r="C24" t="s">
        <v>579</v>
      </c>
      <c r="D24" s="2">
        <v>45644</v>
      </c>
      <c r="E24" t="s">
        <v>231</v>
      </c>
      <c r="F24" t="str">
        <f>VLOOKUP($C24,Product_Dim!$A$2:$D$101,3,FALSE)</f>
        <v>Pineda Ltd</v>
      </c>
      <c r="G24" t="str">
        <f>VLOOKUP($C24,Product_Dim!$A$2:$D$101,2,FALSE)</f>
        <v>Clothing</v>
      </c>
      <c r="H24">
        <v>3</v>
      </c>
      <c r="I24">
        <v>476.1</v>
      </c>
      <c r="J24">
        <v>0.05</v>
      </c>
      <c r="K24" s="3">
        <v>1356.885</v>
      </c>
      <c r="L24" t="s">
        <v>857</v>
      </c>
      <c r="M24" t="str">
        <f>VLOOKUP($E24,Customer_Dim!$A$2:$F$501,3,FALSE)</f>
        <v>Female</v>
      </c>
      <c r="N24" t="str">
        <f>VLOOKUP($E24,Customer_Dim!$A$2:$F$501,5,FALSE)</f>
        <v>USA</v>
      </c>
      <c r="O24" t="str">
        <f>VLOOKUP($E24,Customer_Dim!$A$2:$F$501,6,FALSE)</f>
        <v>Gold</v>
      </c>
      <c r="P24" t="str">
        <f>VLOOKUP($A24,Store_Dim!$A$2:$F$21,3,FALSE)</f>
        <v>EastWashingtonfurt</v>
      </c>
    </row>
    <row r="25" spans="1:16" hidden="1" x14ac:dyDescent="0.25">
      <c r="A25" t="s">
        <v>780</v>
      </c>
      <c r="B25" t="s">
        <v>863</v>
      </c>
      <c r="C25" t="s">
        <v>642</v>
      </c>
      <c r="D25" s="2">
        <v>45869</v>
      </c>
      <c r="E25" t="s">
        <v>531</v>
      </c>
      <c r="F25" t="str">
        <f>VLOOKUP($C25,Product_Dim!$A$2:$D$101,3,FALSE)</f>
        <v>Weiss-Watson</v>
      </c>
      <c r="G25" t="str">
        <f>VLOOKUP($C25,Product_Dim!$A$2:$D$101,2,FALSE)</f>
        <v>Home</v>
      </c>
      <c r="H25">
        <v>2</v>
      </c>
      <c r="I25">
        <v>873.17</v>
      </c>
      <c r="J25">
        <v>0.23</v>
      </c>
      <c r="K25" s="3">
        <v>1344.6818000000001</v>
      </c>
      <c r="L25" t="s">
        <v>854</v>
      </c>
      <c r="M25" t="str">
        <f>VLOOKUP($E25,Customer_Dim!$A$2:$F$501,3,FALSE)</f>
        <v>Female</v>
      </c>
      <c r="N25" t="str">
        <f>VLOOKUP($E25,Customer_Dim!$A$2:$F$501,5,FALSE)</f>
        <v>USA</v>
      </c>
      <c r="O25" t="str">
        <f>VLOOKUP($E25,Customer_Dim!$A$2:$F$501,6,FALSE)</f>
        <v>Platinum</v>
      </c>
      <c r="P25" t="str">
        <f>VLOOKUP($A25,Store_Dim!$A$2:$F$21,3,FALSE)</f>
        <v>EastWashingtonfurt</v>
      </c>
    </row>
    <row r="26" spans="1:16" hidden="1" x14ac:dyDescent="0.25">
      <c r="A26" t="s">
        <v>780</v>
      </c>
      <c r="B26" t="s">
        <v>1036</v>
      </c>
      <c r="C26" t="s">
        <v>644</v>
      </c>
      <c r="D26" s="2">
        <v>45753</v>
      </c>
      <c r="E26" t="s">
        <v>463</v>
      </c>
      <c r="F26" t="str">
        <f>VLOOKUP($C26,Product_Dim!$A$2:$D$101,3,FALSE)</f>
        <v>Lucero LLC</v>
      </c>
      <c r="G26" t="str">
        <f>VLOOKUP($C26,Product_Dim!$A$2:$D$101,2,FALSE)</f>
        <v>Electronics</v>
      </c>
      <c r="H26">
        <v>4</v>
      </c>
      <c r="I26">
        <v>741.88</v>
      </c>
      <c r="J26">
        <v>0.02</v>
      </c>
      <c r="K26" s="3">
        <v>2908.1696000000002</v>
      </c>
      <c r="L26" t="s">
        <v>857</v>
      </c>
      <c r="M26" t="str">
        <f>VLOOKUP($E26,Customer_Dim!$A$2:$F$501,3,FALSE)</f>
        <v>Female</v>
      </c>
      <c r="N26" t="str">
        <f>VLOOKUP($E26,Customer_Dim!$A$2:$F$501,5,FALSE)</f>
        <v>USA</v>
      </c>
      <c r="O26" t="str">
        <f>VLOOKUP($E26,Customer_Dim!$A$2:$F$501,6,FALSE)</f>
        <v>Silver</v>
      </c>
      <c r="P26" t="str">
        <f>VLOOKUP($A26,Store_Dim!$A$2:$F$21,3,FALSE)</f>
        <v>EastWashingtonfurt</v>
      </c>
    </row>
    <row r="27" spans="1:16" x14ac:dyDescent="0.25">
      <c r="A27" t="s">
        <v>780</v>
      </c>
      <c r="B27" t="s">
        <v>2466</v>
      </c>
      <c r="C27" t="s">
        <v>644</v>
      </c>
      <c r="D27" s="2">
        <v>45777</v>
      </c>
      <c r="E27" t="s">
        <v>487</v>
      </c>
      <c r="F27" t="str">
        <f>VLOOKUP($C27,Product_Dim!$A$2:$D$101,3,FALSE)</f>
        <v>Lucero LLC</v>
      </c>
      <c r="G27" t="str">
        <f>VLOOKUP($C27,Product_Dim!$A$2:$D$101,2,FALSE)</f>
        <v>Electronics</v>
      </c>
      <c r="H27">
        <v>1</v>
      </c>
      <c r="I27">
        <v>905.5</v>
      </c>
      <c r="J27">
        <v>0.28999999999999998</v>
      </c>
      <c r="K27" s="3">
        <v>642.90499999999997</v>
      </c>
      <c r="L27" t="s">
        <v>857</v>
      </c>
      <c r="M27" t="str">
        <f>VLOOKUP($E27,Customer_Dim!$A$2:$F$501,3,FALSE)</f>
        <v>Male</v>
      </c>
      <c r="N27" t="str">
        <f>VLOOKUP($E27,Customer_Dim!$A$2:$F$501,5,FALSE)</f>
        <v>USA</v>
      </c>
      <c r="O27" t="str">
        <f>VLOOKUP($E27,Customer_Dim!$A$2:$F$501,6,FALSE)</f>
        <v>Bronze</v>
      </c>
      <c r="P27" t="str">
        <f>VLOOKUP($A27,Store_Dim!$A$2:$F$21,3,FALSE)</f>
        <v>EastWashingtonfurt</v>
      </c>
    </row>
    <row r="28" spans="1:16" hidden="1" x14ac:dyDescent="0.25">
      <c r="A28" t="s">
        <v>780</v>
      </c>
      <c r="B28" t="s">
        <v>2019</v>
      </c>
      <c r="C28" t="s">
        <v>646</v>
      </c>
      <c r="D28" s="2">
        <v>45251</v>
      </c>
      <c r="E28" t="s">
        <v>309</v>
      </c>
      <c r="F28" t="str">
        <f>VLOOKUP($C28,Product_Dim!$A$2:$D$101,3,FALSE)</f>
        <v>Jones LLC</v>
      </c>
      <c r="G28" t="str">
        <f>VLOOKUP($C28,Product_Dim!$A$2:$D$101,2,FALSE)</f>
        <v>Home</v>
      </c>
      <c r="H28">
        <v>2</v>
      </c>
      <c r="I28">
        <v>961.68</v>
      </c>
      <c r="J28">
        <v>0.27</v>
      </c>
      <c r="K28" s="3">
        <v>1404.0527999999999</v>
      </c>
      <c r="L28" t="s">
        <v>854</v>
      </c>
      <c r="M28" t="str">
        <f>VLOOKUP($E28,Customer_Dim!$A$2:$F$501,3,FALSE)</f>
        <v>Female</v>
      </c>
      <c r="N28" t="str">
        <f>VLOOKUP($E28,Customer_Dim!$A$2:$F$501,5,FALSE)</f>
        <v>USA</v>
      </c>
      <c r="O28" t="str">
        <f>VLOOKUP($E28,Customer_Dim!$A$2:$F$501,6,FALSE)</f>
        <v>Gold</v>
      </c>
      <c r="P28" t="str">
        <f>VLOOKUP($A28,Store_Dim!$A$2:$F$21,3,FALSE)</f>
        <v>EastWashingtonfurt</v>
      </c>
    </row>
    <row r="29" spans="1:16" x14ac:dyDescent="0.25">
      <c r="A29" t="s">
        <v>780</v>
      </c>
      <c r="B29" t="s">
        <v>2612</v>
      </c>
      <c r="C29" t="s">
        <v>648</v>
      </c>
      <c r="D29" s="2">
        <v>45916</v>
      </c>
      <c r="E29" t="s">
        <v>131</v>
      </c>
      <c r="F29" t="str">
        <f>VLOOKUP($C29,Product_Dim!$A$2:$D$101,3,FALSE)</f>
        <v>Smith-Mills</v>
      </c>
      <c r="G29" t="str">
        <f>VLOOKUP($C29,Product_Dim!$A$2:$D$101,2,FALSE)</f>
        <v>Clothing</v>
      </c>
      <c r="H29">
        <v>2</v>
      </c>
      <c r="I29">
        <v>324.18</v>
      </c>
      <c r="J29">
        <v>0.06</v>
      </c>
      <c r="K29" s="3">
        <v>609.45839999999998</v>
      </c>
      <c r="L29" t="s">
        <v>857</v>
      </c>
      <c r="M29" t="str">
        <f>VLOOKUP($E29,Customer_Dim!$A$2:$F$501,3,FALSE)</f>
        <v>Male</v>
      </c>
      <c r="N29" t="str">
        <f>VLOOKUP($E29,Customer_Dim!$A$2:$F$501,5,FALSE)</f>
        <v>USA</v>
      </c>
      <c r="O29" t="str">
        <f>VLOOKUP($E29,Customer_Dim!$A$2:$F$501,6,FALSE)</f>
        <v>Gold</v>
      </c>
      <c r="P29" t="str">
        <f>VLOOKUP($A29,Store_Dim!$A$2:$F$21,3,FALSE)</f>
        <v>EastWashingtonfurt</v>
      </c>
    </row>
    <row r="30" spans="1:16" x14ac:dyDescent="0.25">
      <c r="A30" t="s">
        <v>780</v>
      </c>
      <c r="B30" t="s">
        <v>2410</v>
      </c>
      <c r="C30" t="s">
        <v>648</v>
      </c>
      <c r="D30" s="2">
        <v>45606</v>
      </c>
      <c r="E30" t="s">
        <v>560</v>
      </c>
      <c r="F30" t="str">
        <f>VLOOKUP($C30,Product_Dim!$A$2:$D$101,3,FALSE)</f>
        <v>Smith-Mills</v>
      </c>
      <c r="G30" t="str">
        <f>VLOOKUP($C30,Product_Dim!$A$2:$D$101,2,FALSE)</f>
        <v>Clothing</v>
      </c>
      <c r="H30">
        <v>1</v>
      </c>
      <c r="I30">
        <v>887.38</v>
      </c>
      <c r="J30">
        <v>0.01</v>
      </c>
      <c r="K30" s="3">
        <v>878.50620000000004</v>
      </c>
      <c r="L30" t="s">
        <v>857</v>
      </c>
      <c r="M30" t="str">
        <f>VLOOKUP($E30,Customer_Dim!$A$2:$F$501,3,FALSE)</f>
        <v>Male</v>
      </c>
      <c r="N30" t="str">
        <f>VLOOKUP($E30,Customer_Dim!$A$2:$F$501,5,FALSE)</f>
        <v>USA</v>
      </c>
      <c r="O30" t="str">
        <f>VLOOKUP($E30,Customer_Dim!$A$2:$F$501,6,FALSE)</f>
        <v>Silver</v>
      </c>
      <c r="P30" t="str">
        <f>VLOOKUP($A30,Store_Dim!$A$2:$F$21,3,FALSE)</f>
        <v>EastWashingtonfurt</v>
      </c>
    </row>
    <row r="31" spans="1:16" hidden="1" x14ac:dyDescent="0.25">
      <c r="A31" t="s">
        <v>780</v>
      </c>
      <c r="B31" t="s">
        <v>1326</v>
      </c>
      <c r="C31" t="s">
        <v>650</v>
      </c>
      <c r="D31" s="2">
        <v>45591</v>
      </c>
      <c r="E31" t="s">
        <v>262</v>
      </c>
      <c r="F31" t="str">
        <f>VLOOKUP($C31,Product_Dim!$A$2:$D$101,3,FALSE)</f>
        <v>Hogan-Lee</v>
      </c>
      <c r="G31" t="str">
        <f>VLOOKUP($C31,Product_Dim!$A$2:$D$101,2,FALSE)</f>
        <v>Clothing</v>
      </c>
      <c r="H31">
        <v>3</v>
      </c>
      <c r="I31">
        <v>416.01</v>
      </c>
      <c r="J31">
        <v>0.02</v>
      </c>
      <c r="K31" s="3">
        <v>1223.0694000000001</v>
      </c>
      <c r="L31" t="s">
        <v>852</v>
      </c>
      <c r="M31" t="str">
        <f>VLOOKUP($E31,Customer_Dim!$A$2:$F$501,3,FALSE)</f>
        <v>Female</v>
      </c>
      <c r="N31" t="str">
        <f>VLOOKUP($E31,Customer_Dim!$A$2:$F$501,5,FALSE)</f>
        <v>USA</v>
      </c>
      <c r="O31" t="str">
        <f>VLOOKUP($E31,Customer_Dim!$A$2:$F$501,6,FALSE)</f>
        <v>Platinum</v>
      </c>
      <c r="P31" t="str">
        <f>VLOOKUP($A31,Store_Dim!$A$2:$F$21,3,FALSE)</f>
        <v>EastWashingtonfurt</v>
      </c>
    </row>
    <row r="32" spans="1:16" hidden="1" x14ac:dyDescent="0.25">
      <c r="A32" t="s">
        <v>780</v>
      </c>
      <c r="B32" t="s">
        <v>1123</v>
      </c>
      <c r="C32" t="s">
        <v>650</v>
      </c>
      <c r="D32" s="2">
        <v>45803</v>
      </c>
      <c r="E32" t="s">
        <v>284</v>
      </c>
      <c r="F32" t="str">
        <f>VLOOKUP($C32,Product_Dim!$A$2:$D$101,3,FALSE)</f>
        <v>Hogan-Lee</v>
      </c>
      <c r="G32" t="str">
        <f>VLOOKUP($C32,Product_Dim!$A$2:$D$101,2,FALSE)</f>
        <v>Clothing</v>
      </c>
      <c r="H32">
        <v>4</v>
      </c>
      <c r="I32">
        <v>747.01</v>
      </c>
      <c r="J32">
        <v>0.13</v>
      </c>
      <c r="K32" s="3">
        <v>2599.5947999999999</v>
      </c>
      <c r="L32" t="s">
        <v>854</v>
      </c>
      <c r="M32" t="str">
        <f>VLOOKUP($E32,Customer_Dim!$A$2:$F$501,3,FALSE)</f>
        <v>Female</v>
      </c>
      <c r="N32" t="str">
        <f>VLOOKUP($E32,Customer_Dim!$A$2:$F$501,5,FALSE)</f>
        <v>USA</v>
      </c>
      <c r="O32" t="str">
        <f>VLOOKUP($E32,Customer_Dim!$A$2:$F$501,6,FALSE)</f>
        <v>Gold</v>
      </c>
      <c r="P32" t="str">
        <f>VLOOKUP($A32,Store_Dim!$A$2:$F$21,3,FALSE)</f>
        <v>EastWashingtonfurt</v>
      </c>
    </row>
    <row r="33" spans="1:16" x14ac:dyDescent="0.25">
      <c r="A33" t="s">
        <v>780</v>
      </c>
      <c r="B33" t="s">
        <v>942</v>
      </c>
      <c r="C33" t="s">
        <v>652</v>
      </c>
      <c r="D33" s="2">
        <v>45588</v>
      </c>
      <c r="E33" t="s">
        <v>248</v>
      </c>
      <c r="F33" t="str">
        <f>VLOOKUP($C33,Product_Dim!$A$2:$D$101,3,FALSE)</f>
        <v>Sims-Smith</v>
      </c>
      <c r="G33" t="str">
        <f>VLOOKUP($C33,Product_Dim!$A$2:$D$101,2,FALSE)</f>
        <v>Sports</v>
      </c>
      <c r="H33">
        <v>2</v>
      </c>
      <c r="I33">
        <v>217.83</v>
      </c>
      <c r="J33">
        <v>0.14000000000000001</v>
      </c>
      <c r="K33" s="3">
        <v>374.66759999999999</v>
      </c>
      <c r="L33" t="s">
        <v>854</v>
      </c>
      <c r="M33" t="str">
        <f>VLOOKUP($E33,Customer_Dim!$A$2:$F$501,3,FALSE)</f>
        <v>Male</v>
      </c>
      <c r="N33" t="str">
        <f>VLOOKUP($E33,Customer_Dim!$A$2:$F$501,5,FALSE)</f>
        <v>USA</v>
      </c>
      <c r="O33" t="str">
        <f>VLOOKUP($E33,Customer_Dim!$A$2:$F$501,6,FALSE)</f>
        <v>Platinum</v>
      </c>
      <c r="P33" t="str">
        <f>VLOOKUP($A33,Store_Dim!$A$2:$F$21,3,FALSE)</f>
        <v>EastWashingtonfurt</v>
      </c>
    </row>
    <row r="34" spans="1:16" hidden="1" x14ac:dyDescent="0.25">
      <c r="A34" t="s">
        <v>780</v>
      </c>
      <c r="B34" t="s">
        <v>2299</v>
      </c>
      <c r="C34" t="s">
        <v>654</v>
      </c>
      <c r="D34" s="2">
        <v>45542</v>
      </c>
      <c r="E34" t="s">
        <v>67</v>
      </c>
      <c r="F34" t="str">
        <f>VLOOKUP($C34,Product_Dim!$A$2:$D$101,3,FALSE)</f>
        <v>Cummings and Sons</v>
      </c>
      <c r="G34" t="str">
        <f>VLOOKUP($C34,Product_Dim!$A$2:$D$101,2,FALSE)</f>
        <v>Electronics</v>
      </c>
      <c r="H34">
        <v>3</v>
      </c>
      <c r="I34">
        <v>158.27000000000001</v>
      </c>
      <c r="J34">
        <v>0.24</v>
      </c>
      <c r="K34" s="3">
        <v>360.85559999999998</v>
      </c>
      <c r="L34" t="s">
        <v>857</v>
      </c>
      <c r="M34" t="str">
        <f>VLOOKUP($E34,Customer_Dim!$A$2:$F$501,3,FALSE)</f>
        <v>Female</v>
      </c>
      <c r="N34" t="str">
        <f>VLOOKUP($E34,Customer_Dim!$A$2:$F$501,5,FALSE)</f>
        <v>USA</v>
      </c>
      <c r="O34" t="str">
        <f>VLOOKUP($E34,Customer_Dim!$A$2:$F$501,6,FALSE)</f>
        <v>Bronze</v>
      </c>
      <c r="P34" t="str">
        <f>VLOOKUP($A34,Store_Dim!$A$2:$F$21,3,FALSE)</f>
        <v>EastWashingtonfurt</v>
      </c>
    </row>
    <row r="35" spans="1:16" x14ac:dyDescent="0.25">
      <c r="A35" t="s">
        <v>780</v>
      </c>
      <c r="B35" t="s">
        <v>2635</v>
      </c>
      <c r="C35" t="s">
        <v>654</v>
      </c>
      <c r="D35" s="2">
        <v>45285</v>
      </c>
      <c r="E35" t="s">
        <v>524</v>
      </c>
      <c r="F35" t="str">
        <f>VLOOKUP($C35,Product_Dim!$A$2:$D$101,3,FALSE)</f>
        <v>Cummings and Sons</v>
      </c>
      <c r="G35" t="str">
        <f>VLOOKUP($C35,Product_Dim!$A$2:$D$101,2,FALSE)</f>
        <v>Electronics</v>
      </c>
      <c r="H35">
        <v>1</v>
      </c>
      <c r="I35">
        <v>609.29</v>
      </c>
      <c r="J35">
        <v>0.15</v>
      </c>
      <c r="K35" s="3">
        <v>517.89649999999995</v>
      </c>
      <c r="L35" t="s">
        <v>852</v>
      </c>
      <c r="M35" t="str">
        <f>VLOOKUP($E35,Customer_Dim!$A$2:$F$501,3,FALSE)</f>
        <v>Male</v>
      </c>
      <c r="N35" t="str">
        <f>VLOOKUP($E35,Customer_Dim!$A$2:$F$501,5,FALSE)</f>
        <v>USA</v>
      </c>
      <c r="O35" t="str">
        <f>VLOOKUP($E35,Customer_Dim!$A$2:$F$501,6,FALSE)</f>
        <v>Platinum</v>
      </c>
      <c r="P35" t="str">
        <f>VLOOKUP($A35,Store_Dim!$A$2:$F$21,3,FALSE)</f>
        <v>EastWashingtonfurt</v>
      </c>
    </row>
    <row r="36" spans="1:16" hidden="1" x14ac:dyDescent="0.25">
      <c r="A36" t="s">
        <v>780</v>
      </c>
      <c r="B36" t="s">
        <v>2146</v>
      </c>
      <c r="C36" t="s">
        <v>656</v>
      </c>
      <c r="D36" s="2">
        <v>45446</v>
      </c>
      <c r="E36" t="s">
        <v>174</v>
      </c>
      <c r="F36" t="str">
        <f>VLOOKUP($C36,Product_Dim!$A$2:$D$101,3,FALSE)</f>
        <v>Taylor-Hart</v>
      </c>
      <c r="G36" t="str">
        <f>VLOOKUP($C36,Product_Dim!$A$2:$D$101,2,FALSE)</f>
        <v>Electronics</v>
      </c>
      <c r="H36">
        <v>1</v>
      </c>
      <c r="I36">
        <v>70.52</v>
      </c>
      <c r="J36">
        <v>0.08</v>
      </c>
      <c r="K36" s="3">
        <v>64.878399999999999</v>
      </c>
      <c r="L36" t="s">
        <v>857</v>
      </c>
      <c r="M36" t="str">
        <f>VLOOKUP($E36,Customer_Dim!$A$2:$F$501,3,FALSE)</f>
        <v>Female</v>
      </c>
      <c r="N36" t="str">
        <f>VLOOKUP($E36,Customer_Dim!$A$2:$F$501,5,FALSE)</f>
        <v>USA</v>
      </c>
      <c r="O36" t="str">
        <f>VLOOKUP($E36,Customer_Dim!$A$2:$F$501,6,FALSE)</f>
        <v>Silver</v>
      </c>
      <c r="P36" t="str">
        <f>VLOOKUP($A36,Store_Dim!$A$2:$F$21,3,FALSE)</f>
        <v>EastWashingtonfurt</v>
      </c>
    </row>
    <row r="37" spans="1:16" hidden="1" x14ac:dyDescent="0.25">
      <c r="A37" t="s">
        <v>780</v>
      </c>
      <c r="B37" t="s">
        <v>1648</v>
      </c>
      <c r="C37" t="s">
        <v>660</v>
      </c>
      <c r="D37" s="2">
        <v>45745</v>
      </c>
      <c r="E37" t="s">
        <v>228</v>
      </c>
      <c r="F37" t="str">
        <f>VLOOKUP($C37,Product_Dim!$A$2:$D$101,3,FALSE)</f>
        <v>Holmes LLC</v>
      </c>
      <c r="G37" t="str">
        <f>VLOOKUP($C37,Product_Dim!$A$2:$D$101,2,FALSE)</f>
        <v>Electronics</v>
      </c>
      <c r="H37">
        <v>3</v>
      </c>
      <c r="I37">
        <v>846.19</v>
      </c>
      <c r="J37">
        <v>0.09</v>
      </c>
      <c r="K37" s="3">
        <v>2310.0987</v>
      </c>
      <c r="L37" t="s">
        <v>857</v>
      </c>
      <c r="M37" t="str">
        <f>VLOOKUP($E37,Customer_Dim!$A$2:$F$501,3,FALSE)</f>
        <v>Female</v>
      </c>
      <c r="N37" t="str">
        <f>VLOOKUP($E37,Customer_Dim!$A$2:$F$501,5,FALSE)</f>
        <v>USA</v>
      </c>
      <c r="O37" t="str">
        <f>VLOOKUP($E37,Customer_Dim!$A$2:$F$501,6,FALSE)</f>
        <v>Silver</v>
      </c>
      <c r="P37" t="str">
        <f>VLOOKUP($A37,Store_Dim!$A$2:$F$21,3,FALSE)</f>
        <v>EastWashingtonfurt</v>
      </c>
    </row>
    <row r="38" spans="1:16" x14ac:dyDescent="0.25">
      <c r="A38" t="s">
        <v>780</v>
      </c>
      <c r="B38" t="s">
        <v>1976</v>
      </c>
      <c r="C38" t="s">
        <v>660</v>
      </c>
      <c r="D38" s="2">
        <v>45725</v>
      </c>
      <c r="E38" t="s">
        <v>361</v>
      </c>
      <c r="F38" t="str">
        <f>VLOOKUP($C38,Product_Dim!$A$2:$D$101,3,FALSE)</f>
        <v>Holmes LLC</v>
      </c>
      <c r="G38" t="str">
        <f>VLOOKUP($C38,Product_Dim!$A$2:$D$101,2,FALSE)</f>
        <v>Electronics</v>
      </c>
      <c r="H38">
        <v>2</v>
      </c>
      <c r="I38">
        <v>700.95</v>
      </c>
      <c r="J38">
        <v>0.18</v>
      </c>
      <c r="K38" s="3">
        <v>1149.558</v>
      </c>
      <c r="L38" t="s">
        <v>852</v>
      </c>
      <c r="M38" t="str">
        <f>VLOOKUP($E38,Customer_Dim!$A$2:$F$501,3,FALSE)</f>
        <v>Male</v>
      </c>
      <c r="N38" t="str">
        <f>VLOOKUP($E38,Customer_Dim!$A$2:$F$501,5,FALSE)</f>
        <v>USA</v>
      </c>
      <c r="O38" t="str">
        <f>VLOOKUP($E38,Customer_Dim!$A$2:$F$501,6,FALSE)</f>
        <v>Platinum</v>
      </c>
      <c r="P38" t="str">
        <f>VLOOKUP($A38,Store_Dim!$A$2:$F$21,3,FALSE)</f>
        <v>EastWashingtonfurt</v>
      </c>
    </row>
    <row r="39" spans="1:16" hidden="1" x14ac:dyDescent="0.25">
      <c r="A39" t="s">
        <v>780</v>
      </c>
      <c r="B39" t="s">
        <v>1395</v>
      </c>
      <c r="C39" t="s">
        <v>660</v>
      </c>
      <c r="D39" s="2">
        <v>45695</v>
      </c>
      <c r="E39" t="s">
        <v>559</v>
      </c>
      <c r="F39" t="str">
        <f>VLOOKUP($C39,Product_Dim!$A$2:$D$101,3,FALSE)</f>
        <v>Holmes LLC</v>
      </c>
      <c r="G39" t="str">
        <f>VLOOKUP($C39,Product_Dim!$A$2:$D$101,2,FALSE)</f>
        <v>Electronics</v>
      </c>
      <c r="H39">
        <v>1</v>
      </c>
      <c r="I39">
        <v>878.84</v>
      </c>
      <c r="J39">
        <v>0.28000000000000003</v>
      </c>
      <c r="K39" s="3">
        <v>632.76480000000004</v>
      </c>
      <c r="L39" t="s">
        <v>857</v>
      </c>
      <c r="M39" t="str">
        <f>VLOOKUP($E39,Customer_Dim!$A$2:$F$501,3,FALSE)</f>
        <v>Female</v>
      </c>
      <c r="N39" t="str">
        <f>VLOOKUP($E39,Customer_Dim!$A$2:$F$501,5,FALSE)</f>
        <v>USA</v>
      </c>
      <c r="O39" t="str">
        <f>VLOOKUP($E39,Customer_Dim!$A$2:$F$501,6,FALSE)</f>
        <v>Platinum</v>
      </c>
      <c r="P39" t="str">
        <f>VLOOKUP($A39,Store_Dim!$A$2:$F$21,3,FALSE)</f>
        <v>EastWashingtonfurt</v>
      </c>
    </row>
    <row r="40" spans="1:16" hidden="1" x14ac:dyDescent="0.25">
      <c r="A40" t="s">
        <v>780</v>
      </c>
      <c r="B40" t="s">
        <v>2188</v>
      </c>
      <c r="C40" t="s">
        <v>666</v>
      </c>
      <c r="D40" s="2">
        <v>45646</v>
      </c>
      <c r="E40" t="s">
        <v>94</v>
      </c>
      <c r="F40" t="str">
        <f>VLOOKUP($C40,Product_Dim!$A$2:$D$101,3,FALSE)</f>
        <v>Bridges, Banks and Cummings</v>
      </c>
      <c r="G40" t="str">
        <f>VLOOKUP($C40,Product_Dim!$A$2:$D$101,2,FALSE)</f>
        <v>Sports</v>
      </c>
      <c r="H40">
        <v>2</v>
      </c>
      <c r="I40">
        <v>905.47</v>
      </c>
      <c r="J40">
        <v>0.2</v>
      </c>
      <c r="K40" s="3">
        <v>1448.752</v>
      </c>
      <c r="L40" t="s">
        <v>857</v>
      </c>
      <c r="M40" t="str">
        <f>VLOOKUP($E40,Customer_Dim!$A$2:$F$501,3,FALSE)</f>
        <v>Female</v>
      </c>
      <c r="N40" t="str">
        <f>VLOOKUP($E40,Customer_Dim!$A$2:$F$501,5,FALSE)</f>
        <v>USA</v>
      </c>
      <c r="O40" t="str">
        <f>VLOOKUP($E40,Customer_Dim!$A$2:$F$501,6,FALSE)</f>
        <v>Gold</v>
      </c>
      <c r="P40" t="str">
        <f>VLOOKUP($A40,Store_Dim!$A$2:$F$21,3,FALSE)</f>
        <v>EastWashingtonfurt</v>
      </c>
    </row>
    <row r="41" spans="1:16" hidden="1" x14ac:dyDescent="0.25">
      <c r="A41" t="s">
        <v>780</v>
      </c>
      <c r="B41" t="s">
        <v>1033</v>
      </c>
      <c r="C41" t="s">
        <v>666</v>
      </c>
      <c r="D41" s="2">
        <v>45812</v>
      </c>
      <c r="E41" t="s">
        <v>138</v>
      </c>
      <c r="F41" t="str">
        <f>VLOOKUP($C41,Product_Dim!$A$2:$D$101,3,FALSE)</f>
        <v>Bridges, Banks and Cummings</v>
      </c>
      <c r="G41" t="str">
        <f>VLOOKUP($C41,Product_Dim!$A$2:$D$101,2,FALSE)</f>
        <v>Sports</v>
      </c>
      <c r="H41">
        <v>2</v>
      </c>
      <c r="I41">
        <v>522.16999999999996</v>
      </c>
      <c r="J41">
        <v>0.27</v>
      </c>
      <c r="K41" s="3">
        <v>762.36819999999989</v>
      </c>
      <c r="L41" t="s">
        <v>852</v>
      </c>
      <c r="M41" t="str">
        <f>VLOOKUP($E41,Customer_Dim!$A$2:$F$501,3,FALSE)</f>
        <v>Female</v>
      </c>
      <c r="N41" t="str">
        <f>VLOOKUP($E41,Customer_Dim!$A$2:$F$501,5,FALSE)</f>
        <v>USA</v>
      </c>
      <c r="O41" t="str">
        <f>VLOOKUP($E41,Customer_Dim!$A$2:$F$501,6,FALSE)</f>
        <v>Platinum</v>
      </c>
      <c r="P41" t="str">
        <f>VLOOKUP($A41,Store_Dim!$A$2:$F$21,3,FALSE)</f>
        <v>EastWashingtonfurt</v>
      </c>
    </row>
    <row r="42" spans="1:16" hidden="1" x14ac:dyDescent="0.25">
      <c r="A42" t="s">
        <v>780</v>
      </c>
      <c r="B42" t="s">
        <v>2725</v>
      </c>
      <c r="C42" t="s">
        <v>666</v>
      </c>
      <c r="D42" s="2">
        <v>45501</v>
      </c>
      <c r="E42" t="s">
        <v>413</v>
      </c>
      <c r="F42" t="str">
        <f>VLOOKUP($C42,Product_Dim!$A$2:$D$101,3,FALSE)</f>
        <v>Bridges, Banks and Cummings</v>
      </c>
      <c r="G42" t="str">
        <f>VLOOKUP($C42,Product_Dim!$A$2:$D$101,2,FALSE)</f>
        <v>Sports</v>
      </c>
      <c r="H42">
        <v>3</v>
      </c>
      <c r="I42">
        <v>201.05</v>
      </c>
      <c r="J42">
        <v>0.23</v>
      </c>
      <c r="K42" s="3">
        <v>464.42550000000011</v>
      </c>
      <c r="L42" t="s">
        <v>854</v>
      </c>
      <c r="M42" t="str">
        <f>VLOOKUP($E42,Customer_Dim!$A$2:$F$501,3,FALSE)</f>
        <v>Female</v>
      </c>
      <c r="N42" t="str">
        <f>VLOOKUP($E42,Customer_Dim!$A$2:$F$501,5,FALSE)</f>
        <v>USA</v>
      </c>
      <c r="O42" t="str">
        <f>VLOOKUP($E42,Customer_Dim!$A$2:$F$501,6,FALSE)</f>
        <v>Platinum</v>
      </c>
      <c r="P42" t="str">
        <f>VLOOKUP($A42,Store_Dim!$A$2:$F$21,3,FALSE)</f>
        <v>EastWashingtonfurt</v>
      </c>
    </row>
    <row r="43" spans="1:16" hidden="1" x14ac:dyDescent="0.25">
      <c r="A43" t="s">
        <v>780</v>
      </c>
      <c r="B43" t="s">
        <v>2412</v>
      </c>
      <c r="C43" t="s">
        <v>668</v>
      </c>
      <c r="D43" s="2">
        <v>45934</v>
      </c>
      <c r="E43" t="s">
        <v>53</v>
      </c>
      <c r="F43" t="str">
        <f>VLOOKUP($C43,Product_Dim!$A$2:$D$101,3,FALSE)</f>
        <v>Kelly, Smith and Perez</v>
      </c>
      <c r="G43" t="str">
        <f>VLOOKUP($C43,Product_Dim!$A$2:$D$101,2,FALSE)</f>
        <v>Clothing</v>
      </c>
      <c r="H43">
        <v>2</v>
      </c>
      <c r="I43">
        <v>157.91</v>
      </c>
      <c r="J43">
        <v>0.09</v>
      </c>
      <c r="K43" s="3">
        <v>287.39620000000002</v>
      </c>
      <c r="L43" t="s">
        <v>857</v>
      </c>
      <c r="M43" t="str">
        <f>VLOOKUP($E43,Customer_Dim!$A$2:$F$501,3,FALSE)</f>
        <v>Female</v>
      </c>
      <c r="N43" t="str">
        <f>VLOOKUP($E43,Customer_Dim!$A$2:$F$501,5,FALSE)</f>
        <v>USA</v>
      </c>
      <c r="O43" t="str">
        <f>VLOOKUP($E43,Customer_Dim!$A$2:$F$501,6,FALSE)</f>
        <v>Gold</v>
      </c>
      <c r="P43" t="str">
        <f>VLOOKUP($A43,Store_Dim!$A$2:$F$21,3,FALSE)</f>
        <v>EastWashingtonfurt</v>
      </c>
    </row>
    <row r="44" spans="1:16" x14ac:dyDescent="0.25">
      <c r="A44" t="s">
        <v>780</v>
      </c>
      <c r="B44" t="s">
        <v>995</v>
      </c>
      <c r="C44" t="s">
        <v>670</v>
      </c>
      <c r="D44" s="2">
        <v>45718</v>
      </c>
      <c r="E44" t="s">
        <v>176</v>
      </c>
      <c r="F44" t="str">
        <f>VLOOKUP($C44,Product_Dim!$A$2:$D$101,3,FALSE)</f>
        <v>Cook Inc</v>
      </c>
      <c r="G44" t="str">
        <f>VLOOKUP($C44,Product_Dim!$A$2:$D$101,2,FALSE)</f>
        <v>Beauty</v>
      </c>
      <c r="H44">
        <v>1</v>
      </c>
      <c r="I44">
        <v>503.95</v>
      </c>
      <c r="J44">
        <v>0.26</v>
      </c>
      <c r="K44" s="3">
        <v>372.923</v>
      </c>
      <c r="L44" t="s">
        <v>857</v>
      </c>
      <c r="M44" t="str">
        <f>VLOOKUP($E44,Customer_Dim!$A$2:$F$501,3,FALSE)</f>
        <v>Male</v>
      </c>
      <c r="N44" t="str">
        <f>VLOOKUP($E44,Customer_Dim!$A$2:$F$501,5,FALSE)</f>
        <v>USA</v>
      </c>
      <c r="O44" t="str">
        <f>VLOOKUP($E44,Customer_Dim!$A$2:$F$501,6,FALSE)</f>
        <v>Gold</v>
      </c>
      <c r="P44" t="str">
        <f>VLOOKUP($A44,Store_Dim!$A$2:$F$21,3,FALSE)</f>
        <v>EastWashingtonfurt</v>
      </c>
    </row>
    <row r="45" spans="1:16" hidden="1" x14ac:dyDescent="0.25">
      <c r="A45" t="s">
        <v>780</v>
      </c>
      <c r="B45" t="s">
        <v>2501</v>
      </c>
      <c r="C45" t="s">
        <v>670</v>
      </c>
      <c r="D45" s="2">
        <v>45669</v>
      </c>
      <c r="E45" t="s">
        <v>196</v>
      </c>
      <c r="F45" t="str">
        <f>VLOOKUP($C45,Product_Dim!$A$2:$D$101,3,FALSE)</f>
        <v>Cook Inc</v>
      </c>
      <c r="G45" t="str">
        <f>VLOOKUP($C45,Product_Dim!$A$2:$D$101,2,FALSE)</f>
        <v>Beauty</v>
      </c>
      <c r="H45">
        <v>4</v>
      </c>
      <c r="I45">
        <v>92.35</v>
      </c>
      <c r="J45">
        <v>0.15</v>
      </c>
      <c r="K45" s="3">
        <v>313.99</v>
      </c>
      <c r="L45" t="s">
        <v>852</v>
      </c>
      <c r="M45" t="str">
        <f>VLOOKUP($E45,Customer_Dim!$A$2:$F$501,3,FALSE)</f>
        <v>Female</v>
      </c>
      <c r="N45" t="str">
        <f>VLOOKUP($E45,Customer_Dim!$A$2:$F$501,5,FALSE)</f>
        <v>USA</v>
      </c>
      <c r="O45" t="str">
        <f>VLOOKUP($E45,Customer_Dim!$A$2:$F$501,6,FALSE)</f>
        <v>Gold</v>
      </c>
      <c r="P45" t="str">
        <f>VLOOKUP($A45,Store_Dim!$A$2:$F$21,3,FALSE)</f>
        <v>EastWashingtonfurt</v>
      </c>
    </row>
    <row r="46" spans="1:16" x14ac:dyDescent="0.25">
      <c r="A46" t="s">
        <v>780</v>
      </c>
      <c r="B46" t="s">
        <v>1010</v>
      </c>
      <c r="C46" t="s">
        <v>674</v>
      </c>
      <c r="D46" s="2">
        <v>45494</v>
      </c>
      <c r="E46" t="s">
        <v>386</v>
      </c>
      <c r="F46" t="str">
        <f>VLOOKUP($C46,Product_Dim!$A$2:$D$101,3,FALSE)</f>
        <v>Sullivan and Sons</v>
      </c>
      <c r="G46" t="str">
        <f>VLOOKUP($C46,Product_Dim!$A$2:$D$101,2,FALSE)</f>
        <v>Beauty</v>
      </c>
      <c r="H46">
        <v>2</v>
      </c>
      <c r="I46">
        <v>921.52</v>
      </c>
      <c r="J46">
        <v>0</v>
      </c>
      <c r="K46" s="3">
        <v>1843.04</v>
      </c>
      <c r="L46" t="s">
        <v>854</v>
      </c>
      <c r="M46" t="str">
        <f>VLOOKUP($E46,Customer_Dim!$A$2:$F$501,3,FALSE)</f>
        <v>Male</v>
      </c>
      <c r="N46" t="str">
        <f>VLOOKUP($E46,Customer_Dim!$A$2:$F$501,5,FALSE)</f>
        <v>USA</v>
      </c>
      <c r="O46" t="str">
        <f>VLOOKUP($E46,Customer_Dim!$A$2:$F$501,6,FALSE)</f>
        <v>Platinum</v>
      </c>
      <c r="P46" t="str">
        <f>VLOOKUP($A46,Store_Dim!$A$2:$F$21,3,FALSE)</f>
        <v>EastWashingtonfurt</v>
      </c>
    </row>
    <row r="47" spans="1:16" x14ac:dyDescent="0.25">
      <c r="A47" t="s">
        <v>780</v>
      </c>
      <c r="B47" t="s">
        <v>2630</v>
      </c>
      <c r="C47" t="s">
        <v>583</v>
      </c>
      <c r="D47" s="2">
        <v>45620</v>
      </c>
      <c r="E47" t="s">
        <v>395</v>
      </c>
      <c r="F47" t="str">
        <f>VLOOKUP($C47,Product_Dim!$A$2:$D$101,3,FALSE)</f>
        <v>Baldwin, Garza and Gonzalez</v>
      </c>
      <c r="G47" t="str">
        <f>VLOOKUP($C47,Product_Dim!$A$2:$D$101,2,FALSE)</f>
        <v>Clothing</v>
      </c>
      <c r="H47">
        <v>4</v>
      </c>
      <c r="I47">
        <v>477.83</v>
      </c>
      <c r="J47">
        <v>0.05</v>
      </c>
      <c r="K47" s="3">
        <v>1815.7539999999999</v>
      </c>
      <c r="L47" t="s">
        <v>857</v>
      </c>
      <c r="M47" t="str">
        <f>VLOOKUP($E47,Customer_Dim!$A$2:$F$501,3,FALSE)</f>
        <v>Male</v>
      </c>
      <c r="N47" t="str">
        <f>VLOOKUP($E47,Customer_Dim!$A$2:$F$501,5,FALSE)</f>
        <v>USA</v>
      </c>
      <c r="O47" t="str">
        <f>VLOOKUP($E47,Customer_Dim!$A$2:$F$501,6,FALSE)</f>
        <v>Platinum</v>
      </c>
      <c r="P47" t="str">
        <f>VLOOKUP($A47,Store_Dim!$A$2:$F$21,3,FALSE)</f>
        <v>EastWashingtonfurt</v>
      </c>
    </row>
    <row r="48" spans="1:16" hidden="1" x14ac:dyDescent="0.25">
      <c r="A48" t="s">
        <v>780</v>
      </c>
      <c r="B48" t="s">
        <v>1199</v>
      </c>
      <c r="C48" t="s">
        <v>676</v>
      </c>
      <c r="D48" s="2">
        <v>45940</v>
      </c>
      <c r="E48" t="s">
        <v>354</v>
      </c>
      <c r="F48" t="str">
        <f>VLOOKUP($C48,Product_Dim!$A$2:$D$101,3,FALSE)</f>
        <v>Smith-King</v>
      </c>
      <c r="G48" t="str">
        <f>VLOOKUP($C48,Product_Dim!$A$2:$D$101,2,FALSE)</f>
        <v>Sports</v>
      </c>
      <c r="H48">
        <v>2</v>
      </c>
      <c r="I48">
        <v>660.81</v>
      </c>
      <c r="J48">
        <v>0.18</v>
      </c>
      <c r="K48" s="3">
        <v>1083.7284</v>
      </c>
      <c r="L48" t="s">
        <v>852</v>
      </c>
      <c r="M48" t="str">
        <f>VLOOKUP($E48,Customer_Dim!$A$2:$F$501,3,FALSE)</f>
        <v>Female</v>
      </c>
      <c r="N48" t="str">
        <f>VLOOKUP($E48,Customer_Dim!$A$2:$F$501,5,FALSE)</f>
        <v>USA</v>
      </c>
      <c r="O48" t="str">
        <f>VLOOKUP($E48,Customer_Dim!$A$2:$F$501,6,FALSE)</f>
        <v>Gold</v>
      </c>
      <c r="P48" t="str">
        <f>VLOOKUP($A48,Store_Dim!$A$2:$F$21,3,FALSE)</f>
        <v>EastWashingtonfurt</v>
      </c>
    </row>
    <row r="49" spans="1:16" x14ac:dyDescent="0.25">
      <c r="A49" t="s">
        <v>780</v>
      </c>
      <c r="B49" t="s">
        <v>1088</v>
      </c>
      <c r="C49" t="s">
        <v>684</v>
      </c>
      <c r="D49" s="2">
        <v>45731</v>
      </c>
      <c r="E49" t="s">
        <v>402</v>
      </c>
      <c r="F49" t="str">
        <f>VLOOKUP($C49,Product_Dim!$A$2:$D$101,3,FALSE)</f>
        <v>Thompson-French</v>
      </c>
      <c r="G49" t="str">
        <f>VLOOKUP($C49,Product_Dim!$A$2:$D$101,2,FALSE)</f>
        <v>Sports</v>
      </c>
      <c r="H49">
        <v>1</v>
      </c>
      <c r="I49">
        <v>447.16</v>
      </c>
      <c r="J49">
        <v>0.22</v>
      </c>
      <c r="K49" s="3">
        <v>348.78480000000002</v>
      </c>
      <c r="L49" t="s">
        <v>857</v>
      </c>
      <c r="M49" t="str">
        <f>VLOOKUP($E49,Customer_Dim!$A$2:$F$501,3,FALSE)</f>
        <v>Male</v>
      </c>
      <c r="N49" t="str">
        <f>VLOOKUP($E49,Customer_Dim!$A$2:$F$501,5,FALSE)</f>
        <v>USA</v>
      </c>
      <c r="O49" t="str">
        <f>VLOOKUP($E49,Customer_Dim!$A$2:$F$501,6,FALSE)</f>
        <v>Platinum</v>
      </c>
      <c r="P49" t="str">
        <f>VLOOKUP($A49,Store_Dim!$A$2:$F$21,3,FALSE)</f>
        <v>EastWashingtonfurt</v>
      </c>
    </row>
    <row r="50" spans="1:16" x14ac:dyDescent="0.25">
      <c r="A50" t="s">
        <v>780</v>
      </c>
      <c r="B50" t="s">
        <v>1307</v>
      </c>
      <c r="C50" t="s">
        <v>686</v>
      </c>
      <c r="D50" s="2">
        <v>45311</v>
      </c>
      <c r="E50" t="s">
        <v>191</v>
      </c>
      <c r="F50" t="str">
        <f>VLOOKUP($C50,Product_Dim!$A$2:$D$101,3,FALSE)</f>
        <v>Hatfield, Baird and Torres</v>
      </c>
      <c r="G50" t="str">
        <f>VLOOKUP($C50,Product_Dim!$A$2:$D$101,2,FALSE)</f>
        <v>Home</v>
      </c>
      <c r="H50">
        <v>2</v>
      </c>
      <c r="I50">
        <v>911.14</v>
      </c>
      <c r="J50">
        <v>0.1</v>
      </c>
      <c r="K50" s="3">
        <v>1640.0519999999999</v>
      </c>
      <c r="L50" t="s">
        <v>852</v>
      </c>
      <c r="M50" t="str">
        <f>VLOOKUP($E50,Customer_Dim!$A$2:$F$501,3,FALSE)</f>
        <v>Male</v>
      </c>
      <c r="N50" t="str">
        <f>VLOOKUP($E50,Customer_Dim!$A$2:$F$501,5,FALSE)</f>
        <v>USA</v>
      </c>
      <c r="O50" t="str">
        <f>VLOOKUP($E50,Customer_Dim!$A$2:$F$501,6,FALSE)</f>
        <v>Platinum</v>
      </c>
      <c r="P50" t="str">
        <f>VLOOKUP($A50,Store_Dim!$A$2:$F$21,3,FALSE)</f>
        <v>EastWashingtonfurt</v>
      </c>
    </row>
    <row r="51" spans="1:16" x14ac:dyDescent="0.25">
      <c r="A51" t="s">
        <v>780</v>
      </c>
      <c r="B51" t="s">
        <v>2495</v>
      </c>
      <c r="C51" t="s">
        <v>688</v>
      </c>
      <c r="D51" s="2">
        <v>45742</v>
      </c>
      <c r="E51" t="s">
        <v>316</v>
      </c>
      <c r="F51" t="str">
        <f>VLOOKUP($C51,Product_Dim!$A$2:$D$101,3,FALSE)</f>
        <v>Hernandez, Kennedy and Porter</v>
      </c>
      <c r="G51" t="str">
        <f>VLOOKUP($C51,Product_Dim!$A$2:$D$101,2,FALSE)</f>
        <v>Home</v>
      </c>
      <c r="H51">
        <v>4</v>
      </c>
      <c r="I51">
        <v>827.39</v>
      </c>
      <c r="J51">
        <v>0.06</v>
      </c>
      <c r="K51" s="3">
        <v>3110.9863999999998</v>
      </c>
      <c r="L51" t="s">
        <v>857</v>
      </c>
      <c r="M51" t="str">
        <f>VLOOKUP($E51,Customer_Dim!$A$2:$F$501,3,FALSE)</f>
        <v>Male</v>
      </c>
      <c r="N51" t="str">
        <f>VLOOKUP($E51,Customer_Dim!$A$2:$F$501,5,FALSE)</f>
        <v>USA</v>
      </c>
      <c r="O51" t="str">
        <f>VLOOKUP($E51,Customer_Dim!$A$2:$F$501,6,FALSE)</f>
        <v>Platinum</v>
      </c>
      <c r="P51" t="str">
        <f>VLOOKUP($A51,Store_Dim!$A$2:$F$21,3,FALSE)</f>
        <v>EastWashingtonfurt</v>
      </c>
    </row>
    <row r="52" spans="1:16" x14ac:dyDescent="0.25">
      <c r="A52" t="s">
        <v>780</v>
      </c>
      <c r="B52" t="s">
        <v>1708</v>
      </c>
      <c r="C52" t="s">
        <v>688</v>
      </c>
      <c r="D52" s="2">
        <v>45860</v>
      </c>
      <c r="E52" t="s">
        <v>430</v>
      </c>
      <c r="F52" t="str">
        <f>VLOOKUP($C52,Product_Dim!$A$2:$D$101,3,FALSE)</f>
        <v>Hernandez, Kennedy and Porter</v>
      </c>
      <c r="G52" t="str">
        <f>VLOOKUP($C52,Product_Dim!$A$2:$D$101,2,FALSE)</f>
        <v>Home</v>
      </c>
      <c r="H52">
        <v>3</v>
      </c>
      <c r="I52">
        <v>247.41</v>
      </c>
      <c r="J52">
        <v>0.05</v>
      </c>
      <c r="K52" s="3">
        <v>705.11850000000004</v>
      </c>
      <c r="L52" t="s">
        <v>857</v>
      </c>
      <c r="M52" t="str">
        <f>VLOOKUP($E52,Customer_Dim!$A$2:$F$501,3,FALSE)</f>
        <v>Male</v>
      </c>
      <c r="N52" t="str">
        <f>VLOOKUP($E52,Customer_Dim!$A$2:$F$501,5,FALSE)</f>
        <v>USA</v>
      </c>
      <c r="O52" t="str">
        <f>VLOOKUP($E52,Customer_Dim!$A$2:$F$501,6,FALSE)</f>
        <v>Bronze</v>
      </c>
      <c r="P52" t="str">
        <f>VLOOKUP($A52,Store_Dim!$A$2:$F$21,3,FALSE)</f>
        <v>EastWashingtonfurt</v>
      </c>
    </row>
    <row r="53" spans="1:16" x14ac:dyDescent="0.25">
      <c r="A53" t="s">
        <v>780</v>
      </c>
      <c r="B53" t="s">
        <v>2576</v>
      </c>
      <c r="C53" t="s">
        <v>692</v>
      </c>
      <c r="D53" s="2">
        <v>45709</v>
      </c>
      <c r="E53" t="s">
        <v>487</v>
      </c>
      <c r="F53" t="str">
        <f>VLOOKUP($C53,Product_Dim!$A$2:$D$101,3,FALSE)</f>
        <v>Shepherd-Gould</v>
      </c>
      <c r="G53" t="str">
        <f>VLOOKUP($C53,Product_Dim!$A$2:$D$101,2,FALSE)</f>
        <v>Clothing</v>
      </c>
      <c r="H53">
        <v>3</v>
      </c>
      <c r="I53">
        <v>130.41</v>
      </c>
      <c r="J53">
        <v>0.14000000000000001</v>
      </c>
      <c r="K53" s="3">
        <v>336.45780000000002</v>
      </c>
      <c r="L53" t="s">
        <v>854</v>
      </c>
      <c r="M53" t="str">
        <f>VLOOKUP($E53,Customer_Dim!$A$2:$F$501,3,FALSE)</f>
        <v>Male</v>
      </c>
      <c r="N53" t="str">
        <f>VLOOKUP($E53,Customer_Dim!$A$2:$F$501,5,FALSE)</f>
        <v>USA</v>
      </c>
      <c r="O53" t="str">
        <f>VLOOKUP($E53,Customer_Dim!$A$2:$F$501,6,FALSE)</f>
        <v>Bronze</v>
      </c>
      <c r="P53" t="str">
        <f>VLOOKUP($A53,Store_Dim!$A$2:$F$21,3,FALSE)</f>
        <v>EastWashingtonfurt</v>
      </c>
    </row>
    <row r="54" spans="1:16" x14ac:dyDescent="0.25">
      <c r="A54" t="s">
        <v>780</v>
      </c>
      <c r="B54" t="s">
        <v>1183</v>
      </c>
      <c r="C54" t="s">
        <v>585</v>
      </c>
      <c r="D54" s="2">
        <v>45756</v>
      </c>
      <c r="E54" t="s">
        <v>389</v>
      </c>
      <c r="F54" t="str">
        <f>VLOOKUP($C54,Product_Dim!$A$2:$D$101,3,FALSE)</f>
        <v>Davidson PLC</v>
      </c>
      <c r="G54" t="str">
        <f>VLOOKUP($C54,Product_Dim!$A$2:$D$101,2,FALSE)</f>
        <v>Beauty</v>
      </c>
      <c r="H54">
        <v>4</v>
      </c>
      <c r="I54">
        <v>24.72</v>
      </c>
      <c r="J54">
        <v>0.28000000000000003</v>
      </c>
      <c r="K54" s="3">
        <v>71.193599999999989</v>
      </c>
      <c r="L54" t="s">
        <v>852</v>
      </c>
      <c r="M54" t="str">
        <f>VLOOKUP($E54,Customer_Dim!$A$2:$F$501,3,FALSE)</f>
        <v>Male</v>
      </c>
      <c r="N54" t="str">
        <f>VLOOKUP($E54,Customer_Dim!$A$2:$F$501,5,FALSE)</f>
        <v>USA</v>
      </c>
      <c r="O54" t="str">
        <f>VLOOKUP($E54,Customer_Dim!$A$2:$F$501,6,FALSE)</f>
        <v>Bronze</v>
      </c>
      <c r="P54" t="str">
        <f>VLOOKUP($A54,Store_Dim!$A$2:$F$21,3,FALSE)</f>
        <v>EastWashingtonfurt</v>
      </c>
    </row>
    <row r="55" spans="1:16" x14ac:dyDescent="0.25">
      <c r="A55" t="s">
        <v>780</v>
      </c>
      <c r="B55" t="s">
        <v>2100</v>
      </c>
      <c r="C55" t="s">
        <v>700</v>
      </c>
      <c r="D55" s="2">
        <v>45893</v>
      </c>
      <c r="E55" t="s">
        <v>24</v>
      </c>
      <c r="F55" t="str">
        <f>VLOOKUP($C55,Product_Dim!$A$2:$D$101,3,FALSE)</f>
        <v>Murray, Gould and Ware</v>
      </c>
      <c r="G55" t="str">
        <f>VLOOKUP($C55,Product_Dim!$A$2:$D$101,2,FALSE)</f>
        <v>Electronics</v>
      </c>
      <c r="H55">
        <v>1</v>
      </c>
      <c r="I55">
        <v>147.96</v>
      </c>
      <c r="J55">
        <v>0.24</v>
      </c>
      <c r="K55" s="3">
        <v>112.4496</v>
      </c>
      <c r="L55" t="s">
        <v>857</v>
      </c>
      <c r="M55" t="str">
        <f>VLOOKUP($E55,Customer_Dim!$A$2:$F$501,3,FALSE)</f>
        <v>Male</v>
      </c>
      <c r="N55" t="str">
        <f>VLOOKUP($E55,Customer_Dim!$A$2:$F$501,5,FALSE)</f>
        <v>USA</v>
      </c>
      <c r="O55" t="str">
        <f>VLOOKUP($E55,Customer_Dim!$A$2:$F$501,6,FALSE)</f>
        <v>Bronze</v>
      </c>
      <c r="P55" t="str">
        <f>VLOOKUP($A55,Store_Dim!$A$2:$F$21,3,FALSE)</f>
        <v>EastWashingtonfurt</v>
      </c>
    </row>
    <row r="56" spans="1:16" x14ac:dyDescent="0.25">
      <c r="A56" t="s">
        <v>780</v>
      </c>
      <c r="B56" t="s">
        <v>1819</v>
      </c>
      <c r="C56" t="s">
        <v>700</v>
      </c>
      <c r="D56" s="2">
        <v>45730</v>
      </c>
      <c r="E56" t="s">
        <v>192</v>
      </c>
      <c r="F56" t="str">
        <f>VLOOKUP($C56,Product_Dim!$A$2:$D$101,3,FALSE)</f>
        <v>Murray, Gould and Ware</v>
      </c>
      <c r="G56" t="str">
        <f>VLOOKUP($C56,Product_Dim!$A$2:$D$101,2,FALSE)</f>
        <v>Electronics</v>
      </c>
      <c r="H56">
        <v>4</v>
      </c>
      <c r="I56">
        <v>189.21</v>
      </c>
      <c r="J56">
        <v>0.06</v>
      </c>
      <c r="K56" s="3">
        <v>711.42959999999994</v>
      </c>
      <c r="L56" t="s">
        <v>857</v>
      </c>
      <c r="M56" t="str">
        <f>VLOOKUP($E56,Customer_Dim!$A$2:$F$501,3,FALSE)</f>
        <v>Male</v>
      </c>
      <c r="N56" t="str">
        <f>VLOOKUP($E56,Customer_Dim!$A$2:$F$501,5,FALSE)</f>
        <v>USA</v>
      </c>
      <c r="O56" t="str">
        <f>VLOOKUP($E56,Customer_Dim!$A$2:$F$501,6,FALSE)</f>
        <v>Silver</v>
      </c>
      <c r="P56" t="str">
        <f>VLOOKUP($A56,Store_Dim!$A$2:$F$21,3,FALSE)</f>
        <v>EastWashingtonfurt</v>
      </c>
    </row>
    <row r="57" spans="1:16" x14ac:dyDescent="0.25">
      <c r="A57" t="s">
        <v>780</v>
      </c>
      <c r="B57" t="s">
        <v>1281</v>
      </c>
      <c r="C57" t="s">
        <v>702</v>
      </c>
      <c r="D57" s="2">
        <v>45646</v>
      </c>
      <c r="E57" t="s">
        <v>246</v>
      </c>
      <c r="F57" t="str">
        <f>VLOOKUP($C57,Product_Dim!$A$2:$D$101,3,FALSE)</f>
        <v>Anderson-Riley</v>
      </c>
      <c r="G57" t="str">
        <f>VLOOKUP($C57,Product_Dim!$A$2:$D$101,2,FALSE)</f>
        <v>Beauty</v>
      </c>
      <c r="H57">
        <v>4</v>
      </c>
      <c r="I57">
        <v>925.95</v>
      </c>
      <c r="J57">
        <v>0.16</v>
      </c>
      <c r="K57" s="3">
        <v>3111.192</v>
      </c>
      <c r="L57" t="s">
        <v>857</v>
      </c>
      <c r="M57" t="str">
        <f>VLOOKUP($E57,Customer_Dim!$A$2:$F$501,3,FALSE)</f>
        <v>Male</v>
      </c>
      <c r="N57" t="str">
        <f>VLOOKUP($E57,Customer_Dim!$A$2:$F$501,5,FALSE)</f>
        <v>USA</v>
      </c>
      <c r="O57" t="str">
        <f>VLOOKUP($E57,Customer_Dim!$A$2:$F$501,6,FALSE)</f>
        <v>Bronze</v>
      </c>
      <c r="P57" t="str">
        <f>VLOOKUP($A57,Store_Dim!$A$2:$F$21,3,FALSE)</f>
        <v>EastWashingtonfurt</v>
      </c>
    </row>
    <row r="58" spans="1:16" x14ac:dyDescent="0.25">
      <c r="A58" t="s">
        <v>780</v>
      </c>
      <c r="B58" t="s">
        <v>2843</v>
      </c>
      <c r="C58" t="s">
        <v>704</v>
      </c>
      <c r="D58" s="2">
        <v>45730</v>
      </c>
      <c r="E58" t="s">
        <v>139</v>
      </c>
      <c r="F58" t="str">
        <f>VLOOKUP($C58,Product_Dim!$A$2:$D$101,3,FALSE)</f>
        <v>Zhang Inc</v>
      </c>
      <c r="G58" t="str">
        <f>VLOOKUP($C58,Product_Dim!$A$2:$D$101,2,FALSE)</f>
        <v>Beauty</v>
      </c>
      <c r="H58">
        <v>2</v>
      </c>
      <c r="I58">
        <v>358.87</v>
      </c>
      <c r="J58">
        <v>0.24</v>
      </c>
      <c r="K58" s="3">
        <v>545.48239999999998</v>
      </c>
      <c r="L58" t="s">
        <v>852</v>
      </c>
      <c r="M58" t="str">
        <f>VLOOKUP($E58,Customer_Dim!$A$2:$F$501,3,FALSE)</f>
        <v>Male</v>
      </c>
      <c r="N58" t="str">
        <f>VLOOKUP($E58,Customer_Dim!$A$2:$F$501,5,FALSE)</f>
        <v>USA</v>
      </c>
      <c r="O58" t="str">
        <f>VLOOKUP($E58,Customer_Dim!$A$2:$F$501,6,FALSE)</f>
        <v>Bronze</v>
      </c>
      <c r="P58" t="str">
        <f>VLOOKUP($A58,Store_Dim!$A$2:$F$21,3,FALSE)</f>
        <v>EastWashingtonfurt</v>
      </c>
    </row>
    <row r="59" spans="1:16" x14ac:dyDescent="0.25">
      <c r="A59" t="s">
        <v>780</v>
      </c>
      <c r="B59" t="s">
        <v>2681</v>
      </c>
      <c r="C59" t="s">
        <v>704</v>
      </c>
      <c r="D59" s="2">
        <v>45673</v>
      </c>
      <c r="E59" t="s">
        <v>220</v>
      </c>
      <c r="F59" t="str">
        <f>VLOOKUP($C59,Product_Dim!$A$2:$D$101,3,FALSE)</f>
        <v>Zhang Inc</v>
      </c>
      <c r="G59" t="str">
        <f>VLOOKUP($C59,Product_Dim!$A$2:$D$101,2,FALSE)</f>
        <v>Beauty</v>
      </c>
      <c r="H59">
        <v>3</v>
      </c>
      <c r="I59">
        <v>713.95</v>
      </c>
      <c r="J59">
        <v>0</v>
      </c>
      <c r="K59" s="3">
        <v>2141.85</v>
      </c>
      <c r="L59" t="s">
        <v>852</v>
      </c>
      <c r="M59" t="str">
        <f>VLOOKUP($E59,Customer_Dim!$A$2:$F$501,3,FALSE)</f>
        <v>Male</v>
      </c>
      <c r="N59" t="str">
        <f>VLOOKUP($E59,Customer_Dim!$A$2:$F$501,5,FALSE)</f>
        <v>USA</v>
      </c>
      <c r="O59" t="str">
        <f>VLOOKUP($E59,Customer_Dim!$A$2:$F$501,6,FALSE)</f>
        <v>Bronze</v>
      </c>
      <c r="P59" t="str">
        <f>VLOOKUP($A59,Store_Dim!$A$2:$F$21,3,FALSE)</f>
        <v>EastWashingtonfurt</v>
      </c>
    </row>
    <row r="60" spans="1:16" hidden="1" x14ac:dyDescent="0.25">
      <c r="A60" t="s">
        <v>780</v>
      </c>
      <c r="B60" t="s">
        <v>2371</v>
      </c>
      <c r="C60" t="s">
        <v>704</v>
      </c>
      <c r="D60" s="2">
        <v>45579</v>
      </c>
      <c r="E60" t="s">
        <v>396</v>
      </c>
      <c r="F60" t="str">
        <f>VLOOKUP($C60,Product_Dim!$A$2:$D$101,3,FALSE)</f>
        <v>Zhang Inc</v>
      </c>
      <c r="G60" t="str">
        <f>VLOOKUP($C60,Product_Dim!$A$2:$D$101,2,FALSE)</f>
        <v>Beauty</v>
      </c>
      <c r="H60">
        <v>4</v>
      </c>
      <c r="I60">
        <v>179.62</v>
      </c>
      <c r="J60">
        <v>0.05</v>
      </c>
      <c r="K60" s="3">
        <v>682.55600000000004</v>
      </c>
      <c r="L60" t="s">
        <v>852</v>
      </c>
      <c r="M60" t="str">
        <f>VLOOKUP($E60,Customer_Dim!$A$2:$F$501,3,FALSE)</f>
        <v>Female</v>
      </c>
      <c r="N60" t="str">
        <f>VLOOKUP($E60,Customer_Dim!$A$2:$F$501,5,FALSE)</f>
        <v>USA</v>
      </c>
      <c r="O60" t="str">
        <f>VLOOKUP($E60,Customer_Dim!$A$2:$F$501,6,FALSE)</f>
        <v>Bronze</v>
      </c>
      <c r="P60" t="str">
        <f>VLOOKUP($A60,Store_Dim!$A$2:$F$21,3,FALSE)</f>
        <v>EastWashingtonfurt</v>
      </c>
    </row>
    <row r="61" spans="1:16" hidden="1" x14ac:dyDescent="0.25">
      <c r="A61" t="s">
        <v>780</v>
      </c>
      <c r="B61" t="s">
        <v>2217</v>
      </c>
      <c r="C61" t="s">
        <v>708</v>
      </c>
      <c r="D61" s="2">
        <v>45244</v>
      </c>
      <c r="E61" t="s">
        <v>218</v>
      </c>
      <c r="F61" t="str">
        <f>VLOOKUP($C61,Product_Dim!$A$2:$D$101,3,FALSE)</f>
        <v>Torres, Spencer and Potter</v>
      </c>
      <c r="G61" t="str">
        <f>VLOOKUP($C61,Product_Dim!$A$2:$D$101,2,FALSE)</f>
        <v>Beauty</v>
      </c>
      <c r="H61">
        <v>1</v>
      </c>
      <c r="I61">
        <v>570.52</v>
      </c>
      <c r="J61">
        <v>0</v>
      </c>
      <c r="K61" s="3">
        <v>570.52</v>
      </c>
      <c r="L61" t="s">
        <v>854</v>
      </c>
      <c r="M61" t="str">
        <f>VLOOKUP($E61,Customer_Dim!$A$2:$F$501,3,FALSE)</f>
        <v>Female</v>
      </c>
      <c r="N61" t="str">
        <f>VLOOKUP($E61,Customer_Dim!$A$2:$F$501,5,FALSE)</f>
        <v>USA</v>
      </c>
      <c r="O61" t="str">
        <f>VLOOKUP($E61,Customer_Dim!$A$2:$F$501,6,FALSE)</f>
        <v>Gold</v>
      </c>
      <c r="P61" t="str">
        <f>VLOOKUP($A61,Store_Dim!$A$2:$F$21,3,FALSE)</f>
        <v>EastWashingtonfurt</v>
      </c>
    </row>
    <row r="62" spans="1:16" hidden="1" x14ac:dyDescent="0.25">
      <c r="A62" t="s">
        <v>780</v>
      </c>
      <c r="B62" t="s">
        <v>1616</v>
      </c>
      <c r="C62" t="s">
        <v>710</v>
      </c>
      <c r="D62" s="2">
        <v>45360</v>
      </c>
      <c r="E62" t="s">
        <v>12</v>
      </c>
      <c r="F62" t="str">
        <f>VLOOKUP($C62,Product_Dim!$A$2:$D$101,3,FALSE)</f>
        <v>Flores-Davis</v>
      </c>
      <c r="G62" t="str">
        <f>VLOOKUP($C62,Product_Dim!$A$2:$D$101,2,FALSE)</f>
        <v>Electronics</v>
      </c>
      <c r="H62">
        <v>1</v>
      </c>
      <c r="I62">
        <v>928.72</v>
      </c>
      <c r="J62">
        <v>0.1</v>
      </c>
      <c r="K62" s="3">
        <v>835.84800000000007</v>
      </c>
      <c r="L62" t="s">
        <v>857</v>
      </c>
      <c r="M62" t="str">
        <f>VLOOKUP($E62,Customer_Dim!$A$2:$F$501,3,FALSE)</f>
        <v>Female</v>
      </c>
      <c r="N62" t="str">
        <f>VLOOKUP($E62,Customer_Dim!$A$2:$F$501,5,FALSE)</f>
        <v>USA</v>
      </c>
      <c r="O62" t="str">
        <f>VLOOKUP($E62,Customer_Dim!$A$2:$F$501,6,FALSE)</f>
        <v>Platinum</v>
      </c>
      <c r="P62" t="str">
        <f>VLOOKUP($A62,Store_Dim!$A$2:$F$21,3,FALSE)</f>
        <v>EastWashingtonfurt</v>
      </c>
    </row>
    <row r="63" spans="1:16" x14ac:dyDescent="0.25">
      <c r="A63" t="s">
        <v>780</v>
      </c>
      <c r="B63" t="s">
        <v>2456</v>
      </c>
      <c r="C63" t="s">
        <v>710</v>
      </c>
      <c r="D63" s="2">
        <v>45313</v>
      </c>
      <c r="E63" t="s">
        <v>246</v>
      </c>
      <c r="F63" t="str">
        <f>VLOOKUP($C63,Product_Dim!$A$2:$D$101,3,FALSE)</f>
        <v>Flores-Davis</v>
      </c>
      <c r="G63" t="str">
        <f>VLOOKUP($C63,Product_Dim!$A$2:$D$101,2,FALSE)</f>
        <v>Electronics</v>
      </c>
      <c r="H63">
        <v>1</v>
      </c>
      <c r="I63">
        <v>305.70999999999998</v>
      </c>
      <c r="J63">
        <v>0.26</v>
      </c>
      <c r="K63" s="3">
        <v>226.22540000000001</v>
      </c>
      <c r="L63" t="s">
        <v>857</v>
      </c>
      <c r="M63" t="str">
        <f>VLOOKUP($E63,Customer_Dim!$A$2:$F$501,3,FALSE)</f>
        <v>Male</v>
      </c>
      <c r="N63" t="str">
        <f>VLOOKUP($E63,Customer_Dim!$A$2:$F$501,5,FALSE)</f>
        <v>USA</v>
      </c>
      <c r="O63" t="str">
        <f>VLOOKUP($E63,Customer_Dim!$A$2:$F$501,6,FALSE)</f>
        <v>Bronze</v>
      </c>
      <c r="P63" t="str">
        <f>VLOOKUP($A63,Store_Dim!$A$2:$F$21,3,FALSE)</f>
        <v>EastWashingtonfurt</v>
      </c>
    </row>
    <row r="64" spans="1:16" x14ac:dyDescent="0.25">
      <c r="A64" t="s">
        <v>780</v>
      </c>
      <c r="B64" t="s">
        <v>2123</v>
      </c>
      <c r="C64" t="s">
        <v>714</v>
      </c>
      <c r="D64" s="2">
        <v>45231</v>
      </c>
      <c r="E64" t="s">
        <v>343</v>
      </c>
      <c r="F64" t="str">
        <f>VLOOKUP($C64,Product_Dim!$A$2:$D$101,3,FALSE)</f>
        <v>Fitzpatrick Ltd</v>
      </c>
      <c r="G64" t="str">
        <f>VLOOKUP($C64,Product_Dim!$A$2:$D$101,2,FALSE)</f>
        <v>Clothing</v>
      </c>
      <c r="H64">
        <v>4</v>
      </c>
      <c r="I64">
        <v>305.95</v>
      </c>
      <c r="J64">
        <v>0.08</v>
      </c>
      <c r="K64" s="3">
        <v>1125.896</v>
      </c>
      <c r="L64" t="s">
        <v>854</v>
      </c>
      <c r="M64" t="str">
        <f>VLOOKUP($E64,Customer_Dim!$A$2:$F$501,3,FALSE)</f>
        <v>Male</v>
      </c>
      <c r="N64" t="str">
        <f>VLOOKUP($E64,Customer_Dim!$A$2:$F$501,5,FALSE)</f>
        <v>USA</v>
      </c>
      <c r="O64" t="str">
        <f>VLOOKUP($E64,Customer_Dim!$A$2:$F$501,6,FALSE)</f>
        <v>Gold</v>
      </c>
      <c r="P64" t="str">
        <f>VLOOKUP($A64,Store_Dim!$A$2:$F$21,3,FALSE)</f>
        <v>EastWashingtonfurt</v>
      </c>
    </row>
    <row r="65" spans="1:16" x14ac:dyDescent="0.25">
      <c r="A65" t="s">
        <v>780</v>
      </c>
      <c r="B65" t="s">
        <v>1015</v>
      </c>
      <c r="C65" t="s">
        <v>716</v>
      </c>
      <c r="D65" s="2">
        <v>45729</v>
      </c>
      <c r="E65" t="s">
        <v>107</v>
      </c>
      <c r="F65" t="str">
        <f>VLOOKUP($C65,Product_Dim!$A$2:$D$101,3,FALSE)</f>
        <v>Duran Group</v>
      </c>
      <c r="G65" t="str">
        <f>VLOOKUP($C65,Product_Dim!$A$2:$D$101,2,FALSE)</f>
        <v>Home</v>
      </c>
      <c r="H65">
        <v>1</v>
      </c>
      <c r="I65">
        <v>479.58</v>
      </c>
      <c r="J65">
        <v>0.05</v>
      </c>
      <c r="K65" s="3">
        <v>455.60099999999989</v>
      </c>
      <c r="L65" t="s">
        <v>854</v>
      </c>
      <c r="M65" t="str">
        <f>VLOOKUP($E65,Customer_Dim!$A$2:$F$501,3,FALSE)</f>
        <v>Male</v>
      </c>
      <c r="N65" t="str">
        <f>VLOOKUP($E65,Customer_Dim!$A$2:$F$501,5,FALSE)</f>
        <v>USA</v>
      </c>
      <c r="O65" t="str">
        <f>VLOOKUP($E65,Customer_Dim!$A$2:$F$501,6,FALSE)</f>
        <v>Platinum</v>
      </c>
      <c r="P65" t="str">
        <f>VLOOKUP($A65,Store_Dim!$A$2:$F$21,3,FALSE)</f>
        <v>EastWashingtonfurt</v>
      </c>
    </row>
    <row r="66" spans="1:16" x14ac:dyDescent="0.25">
      <c r="A66" t="s">
        <v>780</v>
      </c>
      <c r="B66" t="s">
        <v>1773</v>
      </c>
      <c r="C66" t="s">
        <v>716</v>
      </c>
      <c r="D66" s="2">
        <v>45238</v>
      </c>
      <c r="E66" t="s">
        <v>476</v>
      </c>
      <c r="F66" t="str">
        <f>VLOOKUP($C66,Product_Dim!$A$2:$D$101,3,FALSE)</f>
        <v>Duran Group</v>
      </c>
      <c r="G66" t="str">
        <f>VLOOKUP($C66,Product_Dim!$A$2:$D$101,2,FALSE)</f>
        <v>Home</v>
      </c>
      <c r="H66">
        <v>1</v>
      </c>
      <c r="I66">
        <v>550.05999999999995</v>
      </c>
      <c r="J66">
        <v>0.01</v>
      </c>
      <c r="K66" s="3">
        <v>544.55939999999998</v>
      </c>
      <c r="L66" t="s">
        <v>852</v>
      </c>
      <c r="M66" t="str">
        <f>VLOOKUP($E66,Customer_Dim!$A$2:$F$501,3,FALSE)</f>
        <v>Male</v>
      </c>
      <c r="N66" t="str">
        <f>VLOOKUP($E66,Customer_Dim!$A$2:$F$501,5,FALSE)</f>
        <v>USA</v>
      </c>
      <c r="O66" t="str">
        <f>VLOOKUP($E66,Customer_Dim!$A$2:$F$501,6,FALSE)</f>
        <v>Gold</v>
      </c>
      <c r="P66" t="str">
        <f>VLOOKUP($A66,Store_Dim!$A$2:$F$21,3,FALSE)</f>
        <v>EastWashingtonfurt</v>
      </c>
    </row>
    <row r="67" spans="1:16" x14ac:dyDescent="0.25">
      <c r="A67" t="s">
        <v>780</v>
      </c>
      <c r="B67" t="s">
        <v>1459</v>
      </c>
      <c r="C67" t="s">
        <v>720</v>
      </c>
      <c r="D67" s="2">
        <v>45222</v>
      </c>
      <c r="E67" t="s">
        <v>281</v>
      </c>
      <c r="F67" t="str">
        <f>VLOOKUP($C67,Product_Dim!$A$2:$D$101,3,FALSE)</f>
        <v>Davis PLC</v>
      </c>
      <c r="G67" t="str">
        <f>VLOOKUP($C67,Product_Dim!$A$2:$D$101,2,FALSE)</f>
        <v>Sports</v>
      </c>
      <c r="H67">
        <v>1</v>
      </c>
      <c r="I67">
        <v>61.11</v>
      </c>
      <c r="J67">
        <v>0.1</v>
      </c>
      <c r="K67" s="3">
        <v>54.999000000000002</v>
      </c>
      <c r="L67" t="s">
        <v>854</v>
      </c>
      <c r="M67" t="str">
        <f>VLOOKUP($E67,Customer_Dim!$A$2:$F$501,3,FALSE)</f>
        <v>Male</v>
      </c>
      <c r="N67" t="str">
        <f>VLOOKUP($E67,Customer_Dim!$A$2:$F$501,5,FALSE)</f>
        <v>USA</v>
      </c>
      <c r="O67" t="str">
        <f>VLOOKUP($E67,Customer_Dim!$A$2:$F$501,6,FALSE)</f>
        <v>Platinum</v>
      </c>
      <c r="P67" t="str">
        <f>VLOOKUP($A67,Store_Dim!$A$2:$F$21,3,FALSE)</f>
        <v>EastWashingtonfurt</v>
      </c>
    </row>
    <row r="68" spans="1:16" x14ac:dyDescent="0.25">
      <c r="A68" t="s">
        <v>780</v>
      </c>
      <c r="B68" t="s">
        <v>1347</v>
      </c>
      <c r="C68" t="s">
        <v>720</v>
      </c>
      <c r="D68" s="2">
        <v>45863</v>
      </c>
      <c r="E68" t="s">
        <v>518</v>
      </c>
      <c r="F68" t="str">
        <f>VLOOKUP($C68,Product_Dim!$A$2:$D$101,3,FALSE)</f>
        <v>Davis PLC</v>
      </c>
      <c r="G68" t="str">
        <f>VLOOKUP($C68,Product_Dim!$A$2:$D$101,2,FALSE)</f>
        <v>Sports</v>
      </c>
      <c r="H68">
        <v>2</v>
      </c>
      <c r="I68">
        <v>488.02</v>
      </c>
      <c r="J68">
        <v>0.27</v>
      </c>
      <c r="K68" s="3">
        <v>712.50919999999996</v>
      </c>
      <c r="L68" t="s">
        <v>854</v>
      </c>
      <c r="M68" t="str">
        <f>VLOOKUP($E68,Customer_Dim!$A$2:$F$501,3,FALSE)</f>
        <v>Male</v>
      </c>
      <c r="N68" t="str">
        <f>VLOOKUP($E68,Customer_Dim!$A$2:$F$501,5,FALSE)</f>
        <v>USA</v>
      </c>
      <c r="O68" t="str">
        <f>VLOOKUP($E68,Customer_Dim!$A$2:$F$501,6,FALSE)</f>
        <v>Gold</v>
      </c>
      <c r="P68" t="str">
        <f>VLOOKUP($A68,Store_Dim!$A$2:$F$21,3,FALSE)</f>
        <v>EastWashingtonfurt</v>
      </c>
    </row>
    <row r="69" spans="1:16" x14ac:dyDescent="0.25">
      <c r="A69" t="s">
        <v>780</v>
      </c>
      <c r="B69" t="s">
        <v>1884</v>
      </c>
      <c r="C69" t="s">
        <v>722</v>
      </c>
      <c r="D69" s="2">
        <v>45424</v>
      </c>
      <c r="E69" t="s">
        <v>187</v>
      </c>
      <c r="F69" t="str">
        <f>VLOOKUP($C69,Product_Dim!$A$2:$D$101,3,FALSE)</f>
        <v>French Ltd</v>
      </c>
      <c r="G69" t="str">
        <f>VLOOKUP($C69,Product_Dim!$A$2:$D$101,2,FALSE)</f>
        <v>Sports</v>
      </c>
      <c r="H69">
        <v>1</v>
      </c>
      <c r="I69">
        <v>328.51</v>
      </c>
      <c r="J69">
        <v>0.2</v>
      </c>
      <c r="K69" s="3">
        <v>262.80799999999999</v>
      </c>
      <c r="L69" t="s">
        <v>857</v>
      </c>
      <c r="M69" t="str">
        <f>VLOOKUP($E69,Customer_Dim!$A$2:$F$501,3,FALSE)</f>
        <v>Male</v>
      </c>
      <c r="N69" t="str">
        <f>VLOOKUP($E69,Customer_Dim!$A$2:$F$501,5,FALSE)</f>
        <v>USA</v>
      </c>
      <c r="O69" t="str">
        <f>VLOOKUP($E69,Customer_Dim!$A$2:$F$501,6,FALSE)</f>
        <v>Bronze</v>
      </c>
      <c r="P69" t="str">
        <f>VLOOKUP($A69,Store_Dim!$A$2:$F$21,3,FALSE)</f>
        <v>EastWashingtonfurt</v>
      </c>
    </row>
    <row r="70" spans="1:16" hidden="1" x14ac:dyDescent="0.25">
      <c r="A70" t="s">
        <v>780</v>
      </c>
      <c r="B70" t="s">
        <v>1375</v>
      </c>
      <c r="C70" t="s">
        <v>722</v>
      </c>
      <c r="D70" s="2">
        <v>45433</v>
      </c>
      <c r="E70" t="s">
        <v>440</v>
      </c>
      <c r="F70" t="str">
        <f>VLOOKUP($C70,Product_Dim!$A$2:$D$101,3,FALSE)</f>
        <v>French Ltd</v>
      </c>
      <c r="G70" t="str">
        <f>VLOOKUP($C70,Product_Dim!$A$2:$D$101,2,FALSE)</f>
        <v>Sports</v>
      </c>
      <c r="H70">
        <v>3</v>
      </c>
      <c r="I70">
        <v>780.69</v>
      </c>
      <c r="J70">
        <v>0.1</v>
      </c>
      <c r="K70" s="3">
        <v>2107.8629999999998</v>
      </c>
      <c r="L70" t="s">
        <v>857</v>
      </c>
      <c r="M70" t="str">
        <f>VLOOKUP($E70,Customer_Dim!$A$2:$F$501,3,FALSE)</f>
        <v>Female</v>
      </c>
      <c r="N70" t="str">
        <f>VLOOKUP($E70,Customer_Dim!$A$2:$F$501,5,FALSE)</f>
        <v>USA</v>
      </c>
      <c r="O70" t="str">
        <f>VLOOKUP($E70,Customer_Dim!$A$2:$F$501,6,FALSE)</f>
        <v>Gold</v>
      </c>
      <c r="P70" t="str">
        <f>VLOOKUP($A70,Store_Dim!$A$2:$F$21,3,FALSE)</f>
        <v>EastWashingtonfurt</v>
      </c>
    </row>
    <row r="71" spans="1:16" x14ac:dyDescent="0.25">
      <c r="A71" t="s">
        <v>780</v>
      </c>
      <c r="B71" t="s">
        <v>1673</v>
      </c>
      <c r="C71" t="s">
        <v>724</v>
      </c>
      <c r="D71" s="2">
        <v>45697</v>
      </c>
      <c r="E71" t="s">
        <v>383</v>
      </c>
      <c r="F71" t="str">
        <f>VLOOKUP($C71,Product_Dim!$A$2:$D$101,3,FALSE)</f>
        <v>Bruce-Bowen</v>
      </c>
      <c r="G71" t="str">
        <f>VLOOKUP($C71,Product_Dim!$A$2:$D$101,2,FALSE)</f>
        <v>Electronics</v>
      </c>
      <c r="H71">
        <v>1</v>
      </c>
      <c r="I71">
        <v>719.94</v>
      </c>
      <c r="J71">
        <v>0.23</v>
      </c>
      <c r="K71" s="3">
        <v>554.35380000000009</v>
      </c>
      <c r="L71" t="s">
        <v>857</v>
      </c>
      <c r="M71" t="str">
        <f>VLOOKUP($E71,Customer_Dim!$A$2:$F$501,3,FALSE)</f>
        <v>Male</v>
      </c>
      <c r="N71" t="str">
        <f>VLOOKUP($E71,Customer_Dim!$A$2:$F$501,5,FALSE)</f>
        <v>USA</v>
      </c>
      <c r="O71" t="str">
        <f>VLOOKUP($E71,Customer_Dim!$A$2:$F$501,6,FALSE)</f>
        <v>Gold</v>
      </c>
      <c r="P71" t="str">
        <f>VLOOKUP($A71,Store_Dim!$A$2:$F$21,3,FALSE)</f>
        <v>EastWashingtonfurt</v>
      </c>
    </row>
    <row r="72" spans="1:16" x14ac:dyDescent="0.25">
      <c r="A72" t="s">
        <v>780</v>
      </c>
      <c r="B72" t="s">
        <v>2190</v>
      </c>
      <c r="C72" t="s">
        <v>726</v>
      </c>
      <c r="D72" s="2">
        <v>45936</v>
      </c>
      <c r="E72" t="s">
        <v>456</v>
      </c>
      <c r="F72" t="str">
        <f>VLOOKUP($C72,Product_Dim!$A$2:$D$101,3,FALSE)</f>
        <v>Poole PLC</v>
      </c>
      <c r="G72" t="str">
        <f>VLOOKUP($C72,Product_Dim!$A$2:$D$101,2,FALSE)</f>
        <v>Clothing</v>
      </c>
      <c r="H72">
        <v>3</v>
      </c>
      <c r="I72">
        <v>580.45000000000005</v>
      </c>
      <c r="J72">
        <v>0</v>
      </c>
      <c r="K72" s="3">
        <v>1741.35</v>
      </c>
      <c r="L72" t="s">
        <v>854</v>
      </c>
      <c r="M72" t="str">
        <f>VLOOKUP($E72,Customer_Dim!$A$2:$F$501,3,FALSE)</f>
        <v>Male</v>
      </c>
      <c r="N72" t="str">
        <f>VLOOKUP($E72,Customer_Dim!$A$2:$F$501,5,FALSE)</f>
        <v>USA</v>
      </c>
      <c r="O72" t="str">
        <f>VLOOKUP($E72,Customer_Dim!$A$2:$F$501,6,FALSE)</f>
        <v>Platinum</v>
      </c>
      <c r="P72" t="str">
        <f>VLOOKUP($A72,Store_Dim!$A$2:$F$21,3,FALSE)</f>
        <v>EastWashingtonfurt</v>
      </c>
    </row>
    <row r="73" spans="1:16" x14ac:dyDescent="0.25">
      <c r="A73" t="s">
        <v>780</v>
      </c>
      <c r="B73" t="s">
        <v>2508</v>
      </c>
      <c r="C73" t="s">
        <v>726</v>
      </c>
      <c r="D73" s="2">
        <v>45395</v>
      </c>
      <c r="E73" t="s">
        <v>551</v>
      </c>
      <c r="F73" t="str">
        <f>VLOOKUP($C73,Product_Dim!$A$2:$D$101,3,FALSE)</f>
        <v>Poole PLC</v>
      </c>
      <c r="G73" t="str">
        <f>VLOOKUP($C73,Product_Dim!$A$2:$D$101,2,FALSE)</f>
        <v>Clothing</v>
      </c>
      <c r="H73">
        <v>1</v>
      </c>
      <c r="I73">
        <v>676.26</v>
      </c>
      <c r="J73">
        <v>0.14000000000000001</v>
      </c>
      <c r="K73" s="3">
        <v>581.58359999999993</v>
      </c>
      <c r="L73" t="s">
        <v>852</v>
      </c>
      <c r="M73" t="str">
        <f>VLOOKUP($E73,Customer_Dim!$A$2:$F$501,3,FALSE)</f>
        <v>Male</v>
      </c>
      <c r="N73" t="str">
        <f>VLOOKUP($E73,Customer_Dim!$A$2:$F$501,5,FALSE)</f>
        <v>USA</v>
      </c>
      <c r="O73" t="str">
        <f>VLOOKUP($E73,Customer_Dim!$A$2:$F$501,6,FALSE)</f>
        <v>Bronze</v>
      </c>
      <c r="P73" t="str">
        <f>VLOOKUP($A73,Store_Dim!$A$2:$F$21,3,FALSE)</f>
        <v>EastWashingtonfurt</v>
      </c>
    </row>
    <row r="74" spans="1:16" hidden="1" x14ac:dyDescent="0.25">
      <c r="A74" t="s">
        <v>780</v>
      </c>
      <c r="B74" t="s">
        <v>1880</v>
      </c>
      <c r="C74" t="s">
        <v>738</v>
      </c>
      <c r="D74" s="2">
        <v>45278</v>
      </c>
      <c r="E74" t="s">
        <v>384</v>
      </c>
      <c r="F74" t="str">
        <f>VLOOKUP($C74,Product_Dim!$A$2:$D$101,3,FALSE)</f>
        <v>Robinson-Brown</v>
      </c>
      <c r="G74" t="str">
        <f>VLOOKUP($C74,Product_Dim!$A$2:$D$101,2,FALSE)</f>
        <v>Sports</v>
      </c>
      <c r="H74">
        <v>2</v>
      </c>
      <c r="I74">
        <v>773.75</v>
      </c>
      <c r="J74">
        <v>0.16</v>
      </c>
      <c r="K74" s="3">
        <v>1299.9000000000001</v>
      </c>
      <c r="L74" t="s">
        <v>854</v>
      </c>
      <c r="M74" t="str">
        <f>VLOOKUP($E74,Customer_Dim!$A$2:$F$501,3,FALSE)</f>
        <v>Female</v>
      </c>
      <c r="N74" t="str">
        <f>VLOOKUP($E74,Customer_Dim!$A$2:$F$501,5,FALSE)</f>
        <v>USA</v>
      </c>
      <c r="O74" t="str">
        <f>VLOOKUP($E74,Customer_Dim!$A$2:$F$501,6,FALSE)</f>
        <v>Gold</v>
      </c>
      <c r="P74" t="str">
        <f>VLOOKUP($A74,Store_Dim!$A$2:$F$21,3,FALSE)</f>
        <v>EastWashingtonfurt</v>
      </c>
    </row>
    <row r="75" spans="1:16" x14ac:dyDescent="0.25">
      <c r="A75" t="s">
        <v>780</v>
      </c>
      <c r="B75" t="s">
        <v>1377</v>
      </c>
      <c r="C75" t="s">
        <v>740</v>
      </c>
      <c r="D75" s="2">
        <v>45639</v>
      </c>
      <c r="E75" t="s">
        <v>353</v>
      </c>
      <c r="F75" t="str">
        <f>VLOOKUP($C75,Product_Dim!$A$2:$D$101,3,FALSE)</f>
        <v>Reese-Watson</v>
      </c>
      <c r="G75" t="str">
        <f>VLOOKUP($C75,Product_Dim!$A$2:$D$101,2,FALSE)</f>
        <v>Sports</v>
      </c>
      <c r="H75">
        <v>4</v>
      </c>
      <c r="I75">
        <v>854.37</v>
      </c>
      <c r="J75">
        <v>7.0000000000000007E-2</v>
      </c>
      <c r="K75" s="3">
        <v>3178.2564000000002</v>
      </c>
      <c r="L75" t="s">
        <v>854</v>
      </c>
      <c r="M75" t="str">
        <f>VLOOKUP($E75,Customer_Dim!$A$2:$F$501,3,FALSE)</f>
        <v>Male</v>
      </c>
      <c r="N75" t="str">
        <f>VLOOKUP($E75,Customer_Dim!$A$2:$F$501,5,FALSE)</f>
        <v>USA</v>
      </c>
      <c r="O75" t="str">
        <f>VLOOKUP($E75,Customer_Dim!$A$2:$F$501,6,FALSE)</f>
        <v>Silver</v>
      </c>
      <c r="P75" t="str">
        <f>VLOOKUP($A75,Store_Dim!$A$2:$F$21,3,FALSE)</f>
        <v>EastWashingtonfurt</v>
      </c>
    </row>
    <row r="76" spans="1:16" x14ac:dyDescent="0.25">
      <c r="A76" t="s">
        <v>780</v>
      </c>
      <c r="B76" t="s">
        <v>1622</v>
      </c>
      <c r="C76" t="s">
        <v>742</v>
      </c>
      <c r="D76" s="2">
        <v>45486</v>
      </c>
      <c r="E76" t="s">
        <v>240</v>
      </c>
      <c r="F76" t="str">
        <f>VLOOKUP($C76,Product_Dim!$A$2:$D$101,3,FALSE)</f>
        <v>Butler Group</v>
      </c>
      <c r="G76" t="str">
        <f>VLOOKUP($C76,Product_Dim!$A$2:$D$101,2,FALSE)</f>
        <v>Beauty</v>
      </c>
      <c r="H76">
        <v>1</v>
      </c>
      <c r="I76">
        <v>303.79000000000002</v>
      </c>
      <c r="J76">
        <v>0.24</v>
      </c>
      <c r="K76" s="3">
        <v>230.88040000000001</v>
      </c>
      <c r="L76" t="s">
        <v>854</v>
      </c>
      <c r="M76" t="str">
        <f>VLOOKUP($E76,Customer_Dim!$A$2:$F$501,3,FALSE)</f>
        <v>Male</v>
      </c>
      <c r="N76" t="str">
        <f>VLOOKUP($E76,Customer_Dim!$A$2:$F$501,5,FALSE)</f>
        <v>USA</v>
      </c>
      <c r="O76" t="str">
        <f>VLOOKUP($E76,Customer_Dim!$A$2:$F$501,6,FALSE)</f>
        <v>Silver</v>
      </c>
      <c r="P76" t="str">
        <f>VLOOKUP($A76,Store_Dim!$A$2:$F$21,3,FALSE)</f>
        <v>EastWashingtonfurt</v>
      </c>
    </row>
    <row r="77" spans="1:16" hidden="1" x14ac:dyDescent="0.25">
      <c r="A77" t="s">
        <v>780</v>
      </c>
      <c r="B77" t="s">
        <v>2690</v>
      </c>
      <c r="C77" t="s">
        <v>742</v>
      </c>
      <c r="D77" s="2">
        <v>45681</v>
      </c>
      <c r="E77" t="s">
        <v>327</v>
      </c>
      <c r="F77" t="str">
        <f>VLOOKUP($C77,Product_Dim!$A$2:$D$101,3,FALSE)</f>
        <v>Butler Group</v>
      </c>
      <c r="G77" t="str">
        <f>VLOOKUP($C77,Product_Dim!$A$2:$D$101,2,FALSE)</f>
        <v>Beauty</v>
      </c>
      <c r="H77">
        <v>3</v>
      </c>
      <c r="I77">
        <v>63.96</v>
      </c>
      <c r="J77">
        <v>0.02</v>
      </c>
      <c r="K77" s="3">
        <v>188.04239999999999</v>
      </c>
      <c r="L77" t="s">
        <v>852</v>
      </c>
      <c r="M77" t="str">
        <f>VLOOKUP($E77,Customer_Dim!$A$2:$F$501,3,FALSE)</f>
        <v>Female</v>
      </c>
      <c r="N77" t="str">
        <f>VLOOKUP($E77,Customer_Dim!$A$2:$F$501,5,FALSE)</f>
        <v>USA</v>
      </c>
      <c r="O77" t="str">
        <f>VLOOKUP($E77,Customer_Dim!$A$2:$F$501,6,FALSE)</f>
        <v>Silver</v>
      </c>
      <c r="P77" t="str">
        <f>VLOOKUP($A77,Store_Dim!$A$2:$F$21,3,FALSE)</f>
        <v>EastWashingtonfurt</v>
      </c>
    </row>
    <row r="78" spans="1:16" x14ac:dyDescent="0.25">
      <c r="A78" t="s">
        <v>780</v>
      </c>
      <c r="B78" t="s">
        <v>1483</v>
      </c>
      <c r="C78" t="s">
        <v>742</v>
      </c>
      <c r="D78" s="2">
        <v>45792</v>
      </c>
      <c r="E78" t="s">
        <v>429</v>
      </c>
      <c r="F78" t="str">
        <f>VLOOKUP($C78,Product_Dim!$A$2:$D$101,3,FALSE)</f>
        <v>Butler Group</v>
      </c>
      <c r="G78" t="str">
        <f>VLOOKUP($C78,Product_Dim!$A$2:$D$101,2,FALSE)</f>
        <v>Beauty</v>
      </c>
      <c r="H78">
        <v>1</v>
      </c>
      <c r="I78">
        <v>92.83</v>
      </c>
      <c r="J78">
        <v>0.26</v>
      </c>
      <c r="K78" s="3">
        <v>68.694199999999995</v>
      </c>
      <c r="L78" t="s">
        <v>854</v>
      </c>
      <c r="M78" t="str">
        <f>VLOOKUP($E78,Customer_Dim!$A$2:$F$501,3,FALSE)</f>
        <v>Male</v>
      </c>
      <c r="N78" t="str">
        <f>VLOOKUP($E78,Customer_Dim!$A$2:$F$501,5,FALSE)</f>
        <v>USA</v>
      </c>
      <c r="O78" t="str">
        <f>VLOOKUP($E78,Customer_Dim!$A$2:$F$501,6,FALSE)</f>
        <v>Gold</v>
      </c>
      <c r="P78" t="str">
        <f>VLOOKUP($A78,Store_Dim!$A$2:$F$21,3,FALSE)</f>
        <v>EastWashingtonfurt</v>
      </c>
    </row>
    <row r="79" spans="1:16" hidden="1" x14ac:dyDescent="0.25">
      <c r="A79" t="s">
        <v>780</v>
      </c>
      <c r="B79" t="s">
        <v>1294</v>
      </c>
      <c r="C79" t="s">
        <v>746</v>
      </c>
      <c r="D79" s="2">
        <v>45736</v>
      </c>
      <c r="E79" t="s">
        <v>28</v>
      </c>
      <c r="F79" t="str">
        <f>VLOOKUP($C79,Product_Dim!$A$2:$D$101,3,FALSE)</f>
        <v>Richardson-Carrillo</v>
      </c>
      <c r="G79" t="str">
        <f>VLOOKUP($C79,Product_Dim!$A$2:$D$101,2,FALSE)</f>
        <v>Clothing</v>
      </c>
      <c r="H79">
        <v>2</v>
      </c>
      <c r="I79">
        <v>226.43</v>
      </c>
      <c r="J79">
        <v>0.03</v>
      </c>
      <c r="K79" s="3">
        <v>439.27420000000001</v>
      </c>
      <c r="L79" t="s">
        <v>852</v>
      </c>
      <c r="M79" t="str">
        <f>VLOOKUP($E79,Customer_Dim!$A$2:$F$501,3,FALSE)</f>
        <v>Female</v>
      </c>
      <c r="N79" t="str">
        <f>VLOOKUP($E79,Customer_Dim!$A$2:$F$501,5,FALSE)</f>
        <v>USA</v>
      </c>
      <c r="O79" t="str">
        <f>VLOOKUP($E79,Customer_Dim!$A$2:$F$501,6,FALSE)</f>
        <v>Bronze</v>
      </c>
      <c r="P79" t="str">
        <f>VLOOKUP($A79,Store_Dim!$A$2:$F$21,3,FALSE)</f>
        <v>EastWashingtonfurt</v>
      </c>
    </row>
    <row r="80" spans="1:16" x14ac:dyDescent="0.25">
      <c r="A80" t="s">
        <v>780</v>
      </c>
      <c r="B80" t="s">
        <v>1737</v>
      </c>
      <c r="C80" t="s">
        <v>746</v>
      </c>
      <c r="D80" s="2">
        <v>45526</v>
      </c>
      <c r="E80" t="s">
        <v>182</v>
      </c>
      <c r="F80" t="str">
        <f>VLOOKUP($C80,Product_Dim!$A$2:$D$101,3,FALSE)</f>
        <v>Richardson-Carrillo</v>
      </c>
      <c r="G80" t="str">
        <f>VLOOKUP($C80,Product_Dim!$A$2:$D$101,2,FALSE)</f>
        <v>Clothing</v>
      </c>
      <c r="H80">
        <v>3</v>
      </c>
      <c r="I80">
        <v>762</v>
      </c>
      <c r="J80">
        <v>0.02</v>
      </c>
      <c r="K80" s="3">
        <v>2240.2800000000002</v>
      </c>
      <c r="L80" t="s">
        <v>854</v>
      </c>
      <c r="M80" t="str">
        <f>VLOOKUP($E80,Customer_Dim!$A$2:$F$501,3,FALSE)</f>
        <v>Male</v>
      </c>
      <c r="N80" t="str">
        <f>VLOOKUP($E80,Customer_Dim!$A$2:$F$501,5,FALSE)</f>
        <v>USA</v>
      </c>
      <c r="O80" t="str">
        <f>VLOOKUP($E80,Customer_Dim!$A$2:$F$501,6,FALSE)</f>
        <v>Bronze</v>
      </c>
      <c r="P80" t="str">
        <f>VLOOKUP($A80,Store_Dim!$A$2:$F$21,3,FALSE)</f>
        <v>EastWashingtonfurt</v>
      </c>
    </row>
    <row r="81" spans="1:16" x14ac:dyDescent="0.25">
      <c r="A81" t="s">
        <v>780</v>
      </c>
      <c r="B81" t="s">
        <v>2106</v>
      </c>
      <c r="C81" t="s">
        <v>748</v>
      </c>
      <c r="D81" s="2">
        <v>45345</v>
      </c>
      <c r="E81" t="s">
        <v>372</v>
      </c>
      <c r="F81" t="str">
        <f>VLOOKUP($C81,Product_Dim!$A$2:$D$101,3,FALSE)</f>
        <v>Taylor, Dodson and Johnston</v>
      </c>
      <c r="G81" t="str">
        <f>VLOOKUP($C81,Product_Dim!$A$2:$D$101,2,FALSE)</f>
        <v>Home</v>
      </c>
      <c r="H81">
        <v>1</v>
      </c>
      <c r="I81">
        <v>227.35</v>
      </c>
      <c r="J81">
        <v>0.06</v>
      </c>
      <c r="K81" s="3">
        <v>213.709</v>
      </c>
      <c r="L81" t="s">
        <v>857</v>
      </c>
      <c r="M81" t="str">
        <f>VLOOKUP($E81,Customer_Dim!$A$2:$F$501,3,FALSE)</f>
        <v>Male</v>
      </c>
      <c r="N81" t="str">
        <f>VLOOKUP($E81,Customer_Dim!$A$2:$F$501,5,FALSE)</f>
        <v>USA</v>
      </c>
      <c r="O81" t="str">
        <f>VLOOKUP($E81,Customer_Dim!$A$2:$F$501,6,FALSE)</f>
        <v>Platinum</v>
      </c>
      <c r="P81" t="str">
        <f>VLOOKUP($A81,Store_Dim!$A$2:$F$21,3,FALSE)</f>
        <v>EastWashingtonfurt</v>
      </c>
    </row>
    <row r="82" spans="1:16" hidden="1" x14ac:dyDescent="0.25">
      <c r="A82" t="s">
        <v>780</v>
      </c>
      <c r="B82" t="s">
        <v>1693</v>
      </c>
      <c r="C82" t="s">
        <v>750</v>
      </c>
      <c r="D82" s="2">
        <v>45755</v>
      </c>
      <c r="E82" t="s">
        <v>278</v>
      </c>
      <c r="F82" t="str">
        <f>VLOOKUP($C82,Product_Dim!$A$2:$D$101,3,FALSE)</f>
        <v>Aguilar, Horton and Lewis</v>
      </c>
      <c r="G82" t="str">
        <f>VLOOKUP($C82,Product_Dim!$A$2:$D$101,2,FALSE)</f>
        <v>Home</v>
      </c>
      <c r="H82">
        <v>3</v>
      </c>
      <c r="I82">
        <v>693.42</v>
      </c>
      <c r="J82">
        <v>0.08</v>
      </c>
      <c r="K82" s="3">
        <v>1913.8391999999999</v>
      </c>
      <c r="L82" t="s">
        <v>854</v>
      </c>
      <c r="M82" t="str">
        <f>VLOOKUP($E82,Customer_Dim!$A$2:$F$501,3,FALSE)</f>
        <v>Female</v>
      </c>
      <c r="N82" t="str">
        <f>VLOOKUP($E82,Customer_Dim!$A$2:$F$501,5,FALSE)</f>
        <v>USA</v>
      </c>
      <c r="O82" t="str">
        <f>VLOOKUP($E82,Customer_Dim!$A$2:$F$501,6,FALSE)</f>
        <v>Platinum</v>
      </c>
      <c r="P82" t="str">
        <f>VLOOKUP($A82,Store_Dim!$A$2:$F$21,3,FALSE)</f>
        <v>EastWashingtonfurt</v>
      </c>
    </row>
    <row r="83" spans="1:16" x14ac:dyDescent="0.25">
      <c r="A83" t="s">
        <v>780</v>
      </c>
      <c r="B83" t="s">
        <v>1002</v>
      </c>
      <c r="C83" t="s">
        <v>750</v>
      </c>
      <c r="D83" s="2">
        <v>45878</v>
      </c>
      <c r="E83" t="s">
        <v>560</v>
      </c>
      <c r="F83" t="str">
        <f>VLOOKUP($C83,Product_Dim!$A$2:$D$101,3,FALSE)</f>
        <v>Aguilar, Horton and Lewis</v>
      </c>
      <c r="G83" t="str">
        <f>VLOOKUP($C83,Product_Dim!$A$2:$D$101,2,FALSE)</f>
        <v>Home</v>
      </c>
      <c r="H83">
        <v>1</v>
      </c>
      <c r="I83">
        <v>652.03</v>
      </c>
      <c r="J83">
        <v>0.27</v>
      </c>
      <c r="K83" s="3">
        <v>475.9819</v>
      </c>
      <c r="L83" t="s">
        <v>852</v>
      </c>
      <c r="M83" t="str">
        <f>VLOOKUP($E83,Customer_Dim!$A$2:$F$501,3,FALSE)</f>
        <v>Male</v>
      </c>
      <c r="N83" t="str">
        <f>VLOOKUP($E83,Customer_Dim!$A$2:$F$501,5,FALSE)</f>
        <v>USA</v>
      </c>
      <c r="O83" t="str">
        <f>VLOOKUP($E83,Customer_Dim!$A$2:$F$501,6,FALSE)</f>
        <v>Silver</v>
      </c>
      <c r="P83" t="str">
        <f>VLOOKUP($A83,Store_Dim!$A$2:$F$21,3,FALSE)</f>
        <v>EastWashingtonfurt</v>
      </c>
    </row>
    <row r="84" spans="1:16" x14ac:dyDescent="0.25">
      <c r="A84" t="s">
        <v>780</v>
      </c>
      <c r="B84" t="s">
        <v>1373</v>
      </c>
      <c r="C84" t="s">
        <v>752</v>
      </c>
      <c r="D84" s="2">
        <v>45495</v>
      </c>
      <c r="E84" t="s">
        <v>299</v>
      </c>
      <c r="F84" t="str">
        <f>VLOOKUP($C84,Product_Dim!$A$2:$D$101,3,FALSE)</f>
        <v>Olsen-Daniels</v>
      </c>
      <c r="G84" t="str">
        <f>VLOOKUP($C84,Product_Dim!$A$2:$D$101,2,FALSE)</f>
        <v>Sports</v>
      </c>
      <c r="H84">
        <v>4</v>
      </c>
      <c r="I84">
        <v>370.09</v>
      </c>
      <c r="J84">
        <v>0.22</v>
      </c>
      <c r="K84" s="3">
        <v>1154.6808000000001</v>
      </c>
      <c r="L84" t="s">
        <v>857</v>
      </c>
      <c r="M84" t="str">
        <f>VLOOKUP($E84,Customer_Dim!$A$2:$F$501,3,FALSE)</f>
        <v>Male</v>
      </c>
      <c r="N84" t="str">
        <f>VLOOKUP($E84,Customer_Dim!$A$2:$F$501,5,FALSE)</f>
        <v>USA</v>
      </c>
      <c r="O84" t="str">
        <f>VLOOKUP($E84,Customer_Dim!$A$2:$F$501,6,FALSE)</f>
        <v>Silver</v>
      </c>
      <c r="P84" t="str">
        <f>VLOOKUP($A84,Store_Dim!$A$2:$F$21,3,FALSE)</f>
        <v>EastWashingtonfurt</v>
      </c>
    </row>
    <row r="85" spans="1:16" x14ac:dyDescent="0.25">
      <c r="A85" t="s">
        <v>780</v>
      </c>
      <c r="B85" t="s">
        <v>2134</v>
      </c>
      <c r="C85" t="s">
        <v>754</v>
      </c>
      <c r="D85" s="2">
        <v>45328</v>
      </c>
      <c r="E85" t="s">
        <v>246</v>
      </c>
      <c r="F85" t="str">
        <f>VLOOKUP($C85,Product_Dim!$A$2:$D$101,3,FALSE)</f>
        <v>Taylor-Elliott</v>
      </c>
      <c r="G85" t="str">
        <f>VLOOKUP($C85,Product_Dim!$A$2:$D$101,2,FALSE)</f>
        <v>Beauty</v>
      </c>
      <c r="H85">
        <v>2</v>
      </c>
      <c r="I85">
        <v>121.67</v>
      </c>
      <c r="J85">
        <v>0.08</v>
      </c>
      <c r="K85" s="3">
        <v>223.87280000000001</v>
      </c>
      <c r="L85" t="s">
        <v>857</v>
      </c>
      <c r="M85" t="str">
        <f>VLOOKUP($E85,Customer_Dim!$A$2:$F$501,3,FALSE)</f>
        <v>Male</v>
      </c>
      <c r="N85" t="str">
        <f>VLOOKUP($E85,Customer_Dim!$A$2:$F$501,5,FALSE)</f>
        <v>USA</v>
      </c>
      <c r="O85" t="str">
        <f>VLOOKUP($E85,Customer_Dim!$A$2:$F$501,6,FALSE)</f>
        <v>Bronze</v>
      </c>
      <c r="P85" t="str">
        <f>VLOOKUP($A85,Store_Dim!$A$2:$F$21,3,FALSE)</f>
        <v>EastWashingtonfurt</v>
      </c>
    </row>
    <row r="86" spans="1:16" hidden="1" x14ac:dyDescent="0.25">
      <c r="A86" t="s">
        <v>780</v>
      </c>
      <c r="B86" t="s">
        <v>2363</v>
      </c>
      <c r="C86" t="s">
        <v>756</v>
      </c>
      <c r="D86" s="2">
        <v>45765</v>
      </c>
      <c r="E86" t="s">
        <v>311</v>
      </c>
      <c r="F86" t="str">
        <f>VLOOKUP($C86,Product_Dim!$A$2:$D$101,3,FALSE)</f>
        <v>Sharp, Taylor and Rodriguez</v>
      </c>
      <c r="G86" t="str">
        <f>VLOOKUP($C86,Product_Dim!$A$2:$D$101,2,FALSE)</f>
        <v>Electronics</v>
      </c>
      <c r="H86">
        <v>3</v>
      </c>
      <c r="I86">
        <v>65.569999999999993</v>
      </c>
      <c r="J86">
        <v>0.3</v>
      </c>
      <c r="K86" s="3">
        <v>137.697</v>
      </c>
      <c r="L86" t="s">
        <v>857</v>
      </c>
      <c r="M86" t="str">
        <f>VLOOKUP($E86,Customer_Dim!$A$2:$F$501,3,FALSE)</f>
        <v>Female</v>
      </c>
      <c r="N86" t="str">
        <f>VLOOKUP($E86,Customer_Dim!$A$2:$F$501,5,FALSE)</f>
        <v>USA</v>
      </c>
      <c r="O86" t="str">
        <f>VLOOKUP($E86,Customer_Dim!$A$2:$F$501,6,FALSE)</f>
        <v>Platinum</v>
      </c>
      <c r="P86" t="str">
        <f>VLOOKUP($A86,Store_Dim!$A$2:$F$21,3,FALSE)</f>
        <v>EastWashingtonfurt</v>
      </c>
    </row>
    <row r="87" spans="1:16" x14ac:dyDescent="0.25">
      <c r="A87" t="s">
        <v>780</v>
      </c>
      <c r="B87" t="s">
        <v>963</v>
      </c>
      <c r="C87" t="s">
        <v>758</v>
      </c>
      <c r="D87" s="2">
        <v>45738</v>
      </c>
      <c r="E87" t="s">
        <v>279</v>
      </c>
      <c r="F87" t="str">
        <f>VLOOKUP($C87,Product_Dim!$A$2:$D$101,3,FALSE)</f>
        <v>Smith-Charles</v>
      </c>
      <c r="G87" t="str">
        <f>VLOOKUP($C87,Product_Dim!$A$2:$D$101,2,FALSE)</f>
        <v>Clothing</v>
      </c>
      <c r="H87">
        <v>3</v>
      </c>
      <c r="I87">
        <v>376.46</v>
      </c>
      <c r="J87">
        <v>0.09</v>
      </c>
      <c r="K87" s="3">
        <v>1027.7357999999999</v>
      </c>
      <c r="L87" t="s">
        <v>857</v>
      </c>
      <c r="M87" t="str">
        <f>VLOOKUP($E87,Customer_Dim!$A$2:$F$501,3,FALSE)</f>
        <v>Male</v>
      </c>
      <c r="N87" t="str">
        <f>VLOOKUP($E87,Customer_Dim!$A$2:$F$501,5,FALSE)</f>
        <v>USA</v>
      </c>
      <c r="O87" t="str">
        <f>VLOOKUP($E87,Customer_Dim!$A$2:$F$501,6,FALSE)</f>
        <v>Gold</v>
      </c>
      <c r="P87" t="str">
        <f>VLOOKUP($A87,Store_Dim!$A$2:$F$21,3,FALSE)</f>
        <v>EastWashingtonfurt</v>
      </c>
    </row>
    <row r="88" spans="1:16" hidden="1" x14ac:dyDescent="0.25">
      <c r="A88" t="s">
        <v>780</v>
      </c>
      <c r="B88" t="s">
        <v>2001</v>
      </c>
      <c r="C88" t="s">
        <v>758</v>
      </c>
      <c r="D88" s="2">
        <v>45854</v>
      </c>
      <c r="E88" t="s">
        <v>284</v>
      </c>
      <c r="F88" t="str">
        <f>VLOOKUP($C88,Product_Dim!$A$2:$D$101,3,FALSE)</f>
        <v>Smith-Charles</v>
      </c>
      <c r="G88" t="str">
        <f>VLOOKUP($C88,Product_Dim!$A$2:$D$101,2,FALSE)</f>
        <v>Clothing</v>
      </c>
      <c r="H88">
        <v>2</v>
      </c>
      <c r="I88">
        <v>844.31</v>
      </c>
      <c r="J88">
        <v>7.0000000000000007E-2</v>
      </c>
      <c r="K88" s="3">
        <v>1570.4166</v>
      </c>
      <c r="L88" t="s">
        <v>854</v>
      </c>
      <c r="M88" t="str">
        <f>VLOOKUP($E88,Customer_Dim!$A$2:$F$501,3,FALSE)</f>
        <v>Female</v>
      </c>
      <c r="N88" t="str">
        <f>VLOOKUP($E88,Customer_Dim!$A$2:$F$501,5,FALSE)</f>
        <v>USA</v>
      </c>
      <c r="O88" t="str">
        <f>VLOOKUP($E88,Customer_Dim!$A$2:$F$501,6,FALSE)</f>
        <v>Gold</v>
      </c>
      <c r="P88" t="str">
        <f>VLOOKUP($A88,Store_Dim!$A$2:$F$21,3,FALSE)</f>
        <v>EastWashingtonfurt</v>
      </c>
    </row>
    <row r="89" spans="1:16" hidden="1" x14ac:dyDescent="0.25">
      <c r="A89" t="s">
        <v>780</v>
      </c>
      <c r="B89" t="s">
        <v>1582</v>
      </c>
      <c r="C89" t="s">
        <v>758</v>
      </c>
      <c r="D89" s="2">
        <v>45225</v>
      </c>
      <c r="E89" t="s">
        <v>326</v>
      </c>
      <c r="F89" t="str">
        <f>VLOOKUP($C89,Product_Dim!$A$2:$D$101,3,FALSE)</f>
        <v>Smith-Charles</v>
      </c>
      <c r="G89" t="str">
        <f>VLOOKUP($C89,Product_Dim!$A$2:$D$101,2,FALSE)</f>
        <v>Clothing</v>
      </c>
      <c r="H89">
        <v>4</v>
      </c>
      <c r="I89">
        <v>289.77</v>
      </c>
      <c r="J89">
        <v>0.06</v>
      </c>
      <c r="K89" s="3">
        <v>1089.5352</v>
      </c>
      <c r="L89" t="s">
        <v>854</v>
      </c>
      <c r="M89" t="str">
        <f>VLOOKUP($E89,Customer_Dim!$A$2:$F$501,3,FALSE)</f>
        <v>Female</v>
      </c>
      <c r="N89" t="str">
        <f>VLOOKUP($E89,Customer_Dim!$A$2:$F$501,5,FALSE)</f>
        <v>USA</v>
      </c>
      <c r="O89" t="str">
        <f>VLOOKUP($E89,Customer_Dim!$A$2:$F$501,6,FALSE)</f>
        <v>Platinum</v>
      </c>
      <c r="P89" t="str">
        <f>VLOOKUP($A89,Store_Dim!$A$2:$F$21,3,FALSE)</f>
        <v>EastWashingtonfurt</v>
      </c>
    </row>
    <row r="90" spans="1:16" hidden="1" x14ac:dyDescent="0.25">
      <c r="A90" t="s">
        <v>780</v>
      </c>
      <c r="B90" t="s">
        <v>1746</v>
      </c>
      <c r="C90" t="s">
        <v>760</v>
      </c>
      <c r="D90" s="2">
        <v>45895</v>
      </c>
      <c r="E90" t="s">
        <v>305</v>
      </c>
      <c r="F90" t="str">
        <f>VLOOKUP($C90,Product_Dim!$A$2:$D$101,3,FALSE)</f>
        <v>Green, Powell and Palmer</v>
      </c>
      <c r="G90" t="str">
        <f>VLOOKUP($C90,Product_Dim!$A$2:$D$101,2,FALSE)</f>
        <v>Home</v>
      </c>
      <c r="H90">
        <v>1</v>
      </c>
      <c r="I90">
        <v>533.79999999999995</v>
      </c>
      <c r="J90">
        <v>0.27</v>
      </c>
      <c r="K90" s="3">
        <v>389.67399999999998</v>
      </c>
      <c r="L90" t="s">
        <v>857</v>
      </c>
      <c r="M90" t="str">
        <f>VLOOKUP($E90,Customer_Dim!$A$2:$F$501,3,FALSE)</f>
        <v>Female</v>
      </c>
      <c r="N90" t="str">
        <f>VLOOKUP($E90,Customer_Dim!$A$2:$F$501,5,FALSE)</f>
        <v>USA</v>
      </c>
      <c r="O90" t="str">
        <f>VLOOKUP($E90,Customer_Dim!$A$2:$F$501,6,FALSE)</f>
        <v>Platinum</v>
      </c>
      <c r="P90" t="str">
        <f>VLOOKUP($A90,Store_Dim!$A$2:$F$21,3,FALSE)</f>
        <v>EastWashingtonfurt</v>
      </c>
    </row>
    <row r="91" spans="1:16" hidden="1" x14ac:dyDescent="0.25">
      <c r="A91" t="s">
        <v>780</v>
      </c>
      <c r="B91" t="s">
        <v>2436</v>
      </c>
      <c r="C91" t="s">
        <v>760</v>
      </c>
      <c r="D91" s="2">
        <v>45402</v>
      </c>
      <c r="E91" t="s">
        <v>393</v>
      </c>
      <c r="F91" t="str">
        <f>VLOOKUP($C91,Product_Dim!$A$2:$D$101,3,FALSE)</f>
        <v>Green, Powell and Palmer</v>
      </c>
      <c r="G91" t="str">
        <f>VLOOKUP($C91,Product_Dim!$A$2:$D$101,2,FALSE)</f>
        <v>Home</v>
      </c>
      <c r="H91">
        <v>1</v>
      </c>
      <c r="I91">
        <v>681.47</v>
      </c>
      <c r="J91">
        <v>0.15</v>
      </c>
      <c r="K91" s="3">
        <v>579.24950000000001</v>
      </c>
      <c r="L91" t="s">
        <v>852</v>
      </c>
      <c r="M91" t="str">
        <f>VLOOKUP($E91,Customer_Dim!$A$2:$F$501,3,FALSE)</f>
        <v>Female</v>
      </c>
      <c r="N91" t="str">
        <f>VLOOKUP($E91,Customer_Dim!$A$2:$F$501,5,FALSE)</f>
        <v>USA</v>
      </c>
      <c r="O91" t="str">
        <f>VLOOKUP($E91,Customer_Dim!$A$2:$F$501,6,FALSE)</f>
        <v>Gold</v>
      </c>
      <c r="P91" t="str">
        <f>VLOOKUP($A91,Store_Dim!$A$2:$F$21,3,FALSE)</f>
        <v>EastWashingtonfurt</v>
      </c>
    </row>
    <row r="92" spans="1:16" hidden="1" x14ac:dyDescent="0.25">
      <c r="A92" t="s">
        <v>780</v>
      </c>
      <c r="B92" t="s">
        <v>1672</v>
      </c>
      <c r="C92" t="s">
        <v>764</v>
      </c>
      <c r="D92" s="2">
        <v>45844</v>
      </c>
      <c r="E92" t="s">
        <v>161</v>
      </c>
      <c r="F92" t="str">
        <f>VLOOKUP($C92,Product_Dim!$A$2:$D$101,3,FALSE)</f>
        <v>Hoffman-Williams</v>
      </c>
      <c r="G92" t="str">
        <f>VLOOKUP($C92,Product_Dim!$A$2:$D$101,2,FALSE)</f>
        <v>Beauty</v>
      </c>
      <c r="H92">
        <v>2</v>
      </c>
      <c r="I92">
        <v>698.94</v>
      </c>
      <c r="J92">
        <v>0.06</v>
      </c>
      <c r="K92" s="3">
        <v>1314.0072</v>
      </c>
      <c r="L92" t="s">
        <v>852</v>
      </c>
      <c r="M92" t="str">
        <f>VLOOKUP($E92,Customer_Dim!$A$2:$F$501,3,FALSE)</f>
        <v>Female</v>
      </c>
      <c r="N92" t="str">
        <f>VLOOKUP($E92,Customer_Dim!$A$2:$F$501,5,FALSE)</f>
        <v>USA</v>
      </c>
      <c r="O92" t="str">
        <f>VLOOKUP($E92,Customer_Dim!$A$2:$F$501,6,FALSE)</f>
        <v>Platinum</v>
      </c>
      <c r="P92" t="str">
        <f>VLOOKUP($A92,Store_Dim!$A$2:$F$21,3,FALSE)</f>
        <v>EastWashingtonfurt</v>
      </c>
    </row>
    <row r="93" spans="1:16" hidden="1" x14ac:dyDescent="0.25">
      <c r="A93" t="s">
        <v>780</v>
      </c>
      <c r="B93" t="s">
        <v>1350</v>
      </c>
      <c r="C93" t="s">
        <v>766</v>
      </c>
      <c r="D93" s="2">
        <v>45238</v>
      </c>
      <c r="E93" t="s">
        <v>298</v>
      </c>
      <c r="F93" t="str">
        <f>VLOOKUP($C93,Product_Dim!$A$2:$D$101,3,FALSE)</f>
        <v>Wilson Group</v>
      </c>
      <c r="G93" t="str">
        <f>VLOOKUP($C93,Product_Dim!$A$2:$D$101,2,FALSE)</f>
        <v>Sports</v>
      </c>
      <c r="H93">
        <v>2</v>
      </c>
      <c r="I93">
        <v>264.39</v>
      </c>
      <c r="J93">
        <v>0.11</v>
      </c>
      <c r="K93" s="3">
        <v>470.61419999999998</v>
      </c>
      <c r="L93" t="s">
        <v>857</v>
      </c>
      <c r="M93" t="str">
        <f>VLOOKUP($E93,Customer_Dim!$A$2:$F$501,3,FALSE)</f>
        <v>Female</v>
      </c>
      <c r="N93" t="str">
        <f>VLOOKUP($E93,Customer_Dim!$A$2:$F$501,5,FALSE)</f>
        <v>USA</v>
      </c>
      <c r="O93" t="str">
        <f>VLOOKUP($E93,Customer_Dim!$A$2:$F$501,6,FALSE)</f>
        <v>Platinum</v>
      </c>
      <c r="P93" t="str">
        <f>VLOOKUP($A93,Store_Dim!$A$2:$F$21,3,FALSE)</f>
        <v>EastWashingtonfurt</v>
      </c>
    </row>
    <row r="94" spans="1:16" x14ac:dyDescent="0.25">
      <c r="A94" t="s">
        <v>780</v>
      </c>
      <c r="B94" t="s">
        <v>2593</v>
      </c>
      <c r="C94" t="s">
        <v>768</v>
      </c>
      <c r="D94" s="2">
        <v>45887</v>
      </c>
      <c r="E94" t="s">
        <v>383</v>
      </c>
      <c r="F94" t="str">
        <f>VLOOKUP($C94,Product_Dim!$A$2:$D$101,3,FALSE)</f>
        <v>Phillips and Sons</v>
      </c>
      <c r="G94" t="str">
        <f>VLOOKUP($C94,Product_Dim!$A$2:$D$101,2,FALSE)</f>
        <v>Clothing</v>
      </c>
      <c r="H94">
        <v>3</v>
      </c>
      <c r="I94">
        <v>330.98</v>
      </c>
      <c r="J94">
        <v>0.11</v>
      </c>
      <c r="K94" s="3">
        <v>883.71660000000008</v>
      </c>
      <c r="L94" t="s">
        <v>852</v>
      </c>
      <c r="M94" t="str">
        <f>VLOOKUP($E94,Customer_Dim!$A$2:$F$501,3,FALSE)</f>
        <v>Male</v>
      </c>
      <c r="N94" t="str">
        <f>VLOOKUP($E94,Customer_Dim!$A$2:$F$501,5,FALSE)</f>
        <v>USA</v>
      </c>
      <c r="O94" t="str">
        <f>VLOOKUP($E94,Customer_Dim!$A$2:$F$501,6,FALSE)</f>
        <v>Gold</v>
      </c>
      <c r="P94" t="str">
        <f>VLOOKUP($A94,Store_Dim!$A$2:$F$21,3,FALSE)</f>
        <v>EastWashingtonfurt</v>
      </c>
    </row>
    <row r="95" spans="1:16" hidden="1" x14ac:dyDescent="0.25">
      <c r="A95" t="s">
        <v>785</v>
      </c>
      <c r="B95" t="s">
        <v>1128</v>
      </c>
      <c r="C95" t="s">
        <v>596</v>
      </c>
      <c r="D95" s="2">
        <v>45316</v>
      </c>
      <c r="E95" t="s">
        <v>500</v>
      </c>
      <c r="F95" t="str">
        <f>VLOOKUP($C95,Product_Dim!$A$2:$D$101,3,FALSE)</f>
        <v>Hamilton Group</v>
      </c>
      <c r="G95" t="str">
        <f>VLOOKUP($C95,Product_Dim!$A$2:$D$101,2,FALSE)</f>
        <v>Home</v>
      </c>
      <c r="H95">
        <v>1</v>
      </c>
      <c r="I95">
        <v>406.79</v>
      </c>
      <c r="J95">
        <v>0.03</v>
      </c>
      <c r="K95" s="3">
        <v>394.58629999999999</v>
      </c>
      <c r="L95" t="s">
        <v>857</v>
      </c>
      <c r="M95" t="str">
        <f>VLOOKUP($E95,Customer_Dim!$A$2:$F$501,3,FALSE)</f>
        <v>Female</v>
      </c>
      <c r="N95" t="str">
        <f>VLOOKUP($E95,Customer_Dim!$A$2:$F$501,5,FALSE)</f>
        <v>USA</v>
      </c>
      <c r="O95" t="str">
        <f>VLOOKUP($E95,Customer_Dim!$A$2:$F$501,6,FALSE)</f>
        <v>Silver</v>
      </c>
      <c r="P95" t="str">
        <f>VLOOKUP($A95,Store_Dim!$A$2:$F$21,3,FALSE)</f>
        <v>NorthDanielmouth</v>
      </c>
    </row>
    <row r="96" spans="1:16" x14ac:dyDescent="0.25">
      <c r="A96" t="s">
        <v>785</v>
      </c>
      <c r="B96" t="s">
        <v>2719</v>
      </c>
      <c r="C96" t="s">
        <v>598</v>
      </c>
      <c r="D96" s="2">
        <v>45720</v>
      </c>
      <c r="E96" t="s">
        <v>547</v>
      </c>
      <c r="F96" t="str">
        <f>VLOOKUP($C96,Product_Dim!$A$2:$D$101,3,FALSE)</f>
        <v>Gibson, Hobbs and Weaver</v>
      </c>
      <c r="G96" t="str">
        <f>VLOOKUP($C96,Product_Dim!$A$2:$D$101,2,FALSE)</f>
        <v>Electronics</v>
      </c>
      <c r="H96">
        <v>4</v>
      </c>
      <c r="I96">
        <v>972.14</v>
      </c>
      <c r="J96">
        <v>0.25</v>
      </c>
      <c r="K96" s="3">
        <v>2916.42</v>
      </c>
      <c r="L96" t="s">
        <v>852</v>
      </c>
      <c r="M96" t="str">
        <f>VLOOKUP($E96,Customer_Dim!$A$2:$F$501,3,FALSE)</f>
        <v>Male</v>
      </c>
      <c r="N96" t="str">
        <f>VLOOKUP($E96,Customer_Dim!$A$2:$F$501,5,FALSE)</f>
        <v>USA</v>
      </c>
      <c r="O96" t="str">
        <f>VLOOKUP($E96,Customer_Dim!$A$2:$F$501,6,FALSE)</f>
        <v>Bronze</v>
      </c>
      <c r="P96" t="str">
        <f>VLOOKUP($A96,Store_Dim!$A$2:$F$21,3,FALSE)</f>
        <v>NorthDanielmouth</v>
      </c>
    </row>
    <row r="97" spans="1:16" hidden="1" x14ac:dyDescent="0.25">
      <c r="A97" t="s">
        <v>785</v>
      </c>
      <c r="B97" t="s">
        <v>2569</v>
      </c>
      <c r="C97" t="s">
        <v>600</v>
      </c>
      <c r="D97" s="2">
        <v>45823</v>
      </c>
      <c r="E97" t="s">
        <v>500</v>
      </c>
      <c r="F97" t="str">
        <f>VLOOKUP($C97,Product_Dim!$A$2:$D$101,3,FALSE)</f>
        <v>Rice LLC</v>
      </c>
      <c r="G97" t="str">
        <f>VLOOKUP($C97,Product_Dim!$A$2:$D$101,2,FALSE)</f>
        <v>Beauty</v>
      </c>
      <c r="H97">
        <v>1</v>
      </c>
      <c r="I97">
        <v>120.83</v>
      </c>
      <c r="J97">
        <v>0.08</v>
      </c>
      <c r="K97" s="3">
        <v>111.1636</v>
      </c>
      <c r="L97" t="s">
        <v>852</v>
      </c>
      <c r="M97" t="str">
        <f>VLOOKUP($E97,Customer_Dim!$A$2:$F$501,3,FALSE)</f>
        <v>Female</v>
      </c>
      <c r="N97" t="str">
        <f>VLOOKUP($E97,Customer_Dim!$A$2:$F$501,5,FALSE)</f>
        <v>USA</v>
      </c>
      <c r="O97" t="str">
        <f>VLOOKUP($E97,Customer_Dim!$A$2:$F$501,6,FALSE)</f>
        <v>Silver</v>
      </c>
      <c r="P97" t="str">
        <f>VLOOKUP($A97,Store_Dim!$A$2:$F$21,3,FALSE)</f>
        <v>NorthDanielmouth</v>
      </c>
    </row>
    <row r="98" spans="1:16" hidden="1" x14ac:dyDescent="0.25">
      <c r="A98" t="s">
        <v>785</v>
      </c>
      <c r="B98" t="s">
        <v>1180</v>
      </c>
      <c r="C98" t="s">
        <v>602</v>
      </c>
      <c r="D98" s="2">
        <v>45924</v>
      </c>
      <c r="E98" t="s">
        <v>252</v>
      </c>
      <c r="F98" t="str">
        <f>VLOOKUP($C98,Product_Dim!$A$2:$D$101,3,FALSE)</f>
        <v>Dawson-Perkins</v>
      </c>
      <c r="G98" t="str">
        <f>VLOOKUP($C98,Product_Dim!$A$2:$D$101,2,FALSE)</f>
        <v>Electronics</v>
      </c>
      <c r="H98">
        <v>2</v>
      </c>
      <c r="I98">
        <v>610.37</v>
      </c>
      <c r="J98">
        <v>0.1</v>
      </c>
      <c r="K98" s="3">
        <v>1098.6659999999999</v>
      </c>
      <c r="L98" t="s">
        <v>854</v>
      </c>
      <c r="M98" t="str">
        <f>VLOOKUP($E98,Customer_Dim!$A$2:$F$501,3,FALSE)</f>
        <v>Female</v>
      </c>
      <c r="N98" t="str">
        <f>VLOOKUP($E98,Customer_Dim!$A$2:$F$501,5,FALSE)</f>
        <v>USA</v>
      </c>
      <c r="O98" t="str">
        <f>VLOOKUP($E98,Customer_Dim!$A$2:$F$501,6,FALSE)</f>
        <v>Platinum</v>
      </c>
      <c r="P98" t="str">
        <f>VLOOKUP($A98,Store_Dim!$A$2:$F$21,3,FALSE)</f>
        <v>NorthDanielmouth</v>
      </c>
    </row>
    <row r="99" spans="1:16" x14ac:dyDescent="0.25">
      <c r="A99" t="s">
        <v>785</v>
      </c>
      <c r="B99" t="s">
        <v>2749</v>
      </c>
      <c r="C99" t="s">
        <v>604</v>
      </c>
      <c r="D99" s="2">
        <v>45423</v>
      </c>
      <c r="E99" t="s">
        <v>58</v>
      </c>
      <c r="F99" t="str">
        <f>VLOOKUP($C99,Product_Dim!$A$2:$D$101,3,FALSE)</f>
        <v>Luna, Anderson and Bowman</v>
      </c>
      <c r="G99" t="str">
        <f>VLOOKUP($C99,Product_Dim!$A$2:$D$101,2,FALSE)</f>
        <v>Home</v>
      </c>
      <c r="H99">
        <v>2</v>
      </c>
      <c r="I99">
        <v>660.27</v>
      </c>
      <c r="J99">
        <v>0.01</v>
      </c>
      <c r="K99" s="3">
        <v>1307.3345999999999</v>
      </c>
      <c r="L99" t="s">
        <v>854</v>
      </c>
      <c r="M99" t="str">
        <f>VLOOKUP($E99,Customer_Dim!$A$2:$F$501,3,FALSE)</f>
        <v>Male</v>
      </c>
      <c r="N99" t="str">
        <f>VLOOKUP($E99,Customer_Dim!$A$2:$F$501,5,FALSE)</f>
        <v>USA</v>
      </c>
      <c r="O99" t="str">
        <f>VLOOKUP($E99,Customer_Dim!$A$2:$F$501,6,FALSE)</f>
        <v>Platinum</v>
      </c>
      <c r="P99" t="str">
        <f>VLOOKUP($A99,Store_Dim!$A$2:$F$21,3,FALSE)</f>
        <v>NorthDanielmouth</v>
      </c>
    </row>
    <row r="100" spans="1:16" x14ac:dyDescent="0.25">
      <c r="A100" t="s">
        <v>785</v>
      </c>
      <c r="B100" t="s">
        <v>2039</v>
      </c>
      <c r="C100" t="s">
        <v>606</v>
      </c>
      <c r="D100" s="2">
        <v>45505</v>
      </c>
      <c r="E100" t="s">
        <v>487</v>
      </c>
      <c r="F100" t="str">
        <f>VLOOKUP($C100,Product_Dim!$A$2:$D$101,3,FALSE)</f>
        <v>Thomas LLC</v>
      </c>
      <c r="G100" t="str">
        <f>VLOOKUP($C100,Product_Dim!$A$2:$D$101,2,FALSE)</f>
        <v>Electronics</v>
      </c>
      <c r="H100">
        <v>1</v>
      </c>
      <c r="I100">
        <v>86.03</v>
      </c>
      <c r="J100">
        <v>0.01</v>
      </c>
      <c r="K100" s="3">
        <v>85.169700000000006</v>
      </c>
      <c r="L100" t="s">
        <v>852</v>
      </c>
      <c r="M100" t="str">
        <f>VLOOKUP($E100,Customer_Dim!$A$2:$F$501,3,FALSE)</f>
        <v>Male</v>
      </c>
      <c r="N100" t="str">
        <f>VLOOKUP($E100,Customer_Dim!$A$2:$F$501,5,FALSE)</f>
        <v>USA</v>
      </c>
      <c r="O100" t="str">
        <f>VLOOKUP($E100,Customer_Dim!$A$2:$F$501,6,FALSE)</f>
        <v>Bronze</v>
      </c>
      <c r="P100" t="str">
        <f>VLOOKUP($A100,Store_Dim!$A$2:$F$21,3,FALSE)</f>
        <v>NorthDanielmouth</v>
      </c>
    </row>
    <row r="101" spans="1:16" hidden="1" x14ac:dyDescent="0.25">
      <c r="A101" t="s">
        <v>785</v>
      </c>
      <c r="B101" t="s">
        <v>1463</v>
      </c>
      <c r="C101" t="s">
        <v>606</v>
      </c>
      <c r="D101" s="2">
        <v>45921</v>
      </c>
      <c r="E101" t="s">
        <v>537</v>
      </c>
      <c r="F101" t="str">
        <f>VLOOKUP($C101,Product_Dim!$A$2:$D$101,3,FALSE)</f>
        <v>Thomas LLC</v>
      </c>
      <c r="G101" t="str">
        <f>VLOOKUP($C101,Product_Dim!$A$2:$D$101,2,FALSE)</f>
        <v>Electronics</v>
      </c>
      <c r="H101">
        <v>4</v>
      </c>
      <c r="I101">
        <v>479.11</v>
      </c>
      <c r="J101">
        <v>0.24</v>
      </c>
      <c r="K101" s="3">
        <v>1456.4944</v>
      </c>
      <c r="L101" t="s">
        <v>854</v>
      </c>
      <c r="M101" t="str">
        <f>VLOOKUP($E101,Customer_Dim!$A$2:$F$501,3,FALSE)</f>
        <v>Female</v>
      </c>
      <c r="N101" t="str">
        <f>VLOOKUP($E101,Customer_Dim!$A$2:$F$501,5,FALSE)</f>
        <v>USA</v>
      </c>
      <c r="O101" t="str">
        <f>VLOOKUP($E101,Customer_Dim!$A$2:$F$501,6,FALSE)</f>
        <v>Gold</v>
      </c>
      <c r="P101" t="str">
        <f>VLOOKUP($A101,Store_Dim!$A$2:$F$21,3,FALSE)</f>
        <v>NorthDanielmouth</v>
      </c>
    </row>
    <row r="102" spans="1:16" hidden="1" x14ac:dyDescent="0.25">
      <c r="A102" t="s">
        <v>785</v>
      </c>
      <c r="B102" t="s">
        <v>945</v>
      </c>
      <c r="C102" t="s">
        <v>608</v>
      </c>
      <c r="D102" s="2">
        <v>45312</v>
      </c>
      <c r="E102" t="s">
        <v>473</v>
      </c>
      <c r="F102" t="str">
        <f>VLOOKUP($C102,Product_Dim!$A$2:$D$101,3,FALSE)</f>
        <v>Erickson-Green</v>
      </c>
      <c r="G102" t="str">
        <f>VLOOKUP($C102,Product_Dim!$A$2:$D$101,2,FALSE)</f>
        <v>Beauty</v>
      </c>
      <c r="H102">
        <v>4</v>
      </c>
      <c r="I102">
        <v>102.19</v>
      </c>
      <c r="J102">
        <v>0.17</v>
      </c>
      <c r="K102" s="3">
        <v>339.27080000000001</v>
      </c>
      <c r="L102" t="s">
        <v>854</v>
      </c>
      <c r="M102" t="str">
        <f>VLOOKUP($E102,Customer_Dim!$A$2:$F$501,3,FALSE)</f>
        <v>Female</v>
      </c>
      <c r="N102" t="str">
        <f>VLOOKUP($E102,Customer_Dim!$A$2:$F$501,5,FALSE)</f>
        <v>USA</v>
      </c>
      <c r="O102" t="str">
        <f>VLOOKUP($E102,Customer_Dim!$A$2:$F$501,6,FALSE)</f>
        <v>Gold</v>
      </c>
      <c r="P102" t="str">
        <f>VLOOKUP($A102,Store_Dim!$A$2:$F$21,3,FALSE)</f>
        <v>NorthDanielmouth</v>
      </c>
    </row>
    <row r="103" spans="1:16" x14ac:dyDescent="0.25">
      <c r="A103" t="s">
        <v>785</v>
      </c>
      <c r="B103" t="s">
        <v>1426</v>
      </c>
      <c r="C103" t="s">
        <v>610</v>
      </c>
      <c r="D103" s="2">
        <v>45249</v>
      </c>
      <c r="E103" t="s">
        <v>81</v>
      </c>
      <c r="F103" t="str">
        <f>VLOOKUP($C103,Product_Dim!$A$2:$D$101,3,FALSE)</f>
        <v>Ford, Murphy and Wilson</v>
      </c>
      <c r="G103" t="str">
        <f>VLOOKUP($C103,Product_Dim!$A$2:$D$101,2,FALSE)</f>
        <v>Sports</v>
      </c>
      <c r="H103">
        <v>3</v>
      </c>
      <c r="I103">
        <v>282.33</v>
      </c>
      <c r="J103">
        <v>7.0000000000000007E-2</v>
      </c>
      <c r="K103" s="3">
        <v>787.70069999999998</v>
      </c>
      <c r="L103" t="s">
        <v>852</v>
      </c>
      <c r="M103" t="str">
        <f>VLOOKUP($E103,Customer_Dim!$A$2:$F$501,3,FALSE)</f>
        <v>Male</v>
      </c>
      <c r="N103" t="str">
        <f>VLOOKUP($E103,Customer_Dim!$A$2:$F$501,5,FALSE)</f>
        <v>USA</v>
      </c>
      <c r="O103" t="str">
        <f>VLOOKUP($E103,Customer_Dim!$A$2:$F$501,6,FALSE)</f>
        <v>Gold</v>
      </c>
      <c r="P103" t="str">
        <f>VLOOKUP($A103,Store_Dim!$A$2:$F$21,3,FALSE)</f>
        <v>NorthDanielmouth</v>
      </c>
    </row>
    <row r="104" spans="1:16" x14ac:dyDescent="0.25">
      <c r="A104" t="s">
        <v>785</v>
      </c>
      <c r="B104" t="s">
        <v>943</v>
      </c>
      <c r="C104" t="s">
        <v>610</v>
      </c>
      <c r="D104" s="2">
        <v>45848</v>
      </c>
      <c r="E104" t="s">
        <v>207</v>
      </c>
      <c r="F104" t="str">
        <f>VLOOKUP($C104,Product_Dim!$A$2:$D$101,3,FALSE)</f>
        <v>Ford, Murphy and Wilson</v>
      </c>
      <c r="G104" t="str">
        <f>VLOOKUP($C104,Product_Dim!$A$2:$D$101,2,FALSE)</f>
        <v>Sports</v>
      </c>
      <c r="H104">
        <v>4</v>
      </c>
      <c r="I104">
        <v>187.71</v>
      </c>
      <c r="J104">
        <v>0.06</v>
      </c>
      <c r="K104" s="3">
        <v>705.78959999999995</v>
      </c>
      <c r="L104" t="s">
        <v>857</v>
      </c>
      <c r="M104" t="str">
        <f>VLOOKUP($E104,Customer_Dim!$A$2:$F$501,3,FALSE)</f>
        <v>Male</v>
      </c>
      <c r="N104" t="str">
        <f>VLOOKUP($E104,Customer_Dim!$A$2:$F$501,5,FALSE)</f>
        <v>USA</v>
      </c>
      <c r="O104" t="str">
        <f>VLOOKUP($E104,Customer_Dim!$A$2:$F$501,6,FALSE)</f>
        <v>Bronze</v>
      </c>
      <c r="P104" t="str">
        <f>VLOOKUP($A104,Store_Dim!$A$2:$F$21,3,FALSE)</f>
        <v>NorthDanielmouth</v>
      </c>
    </row>
    <row r="105" spans="1:16" hidden="1" x14ac:dyDescent="0.25">
      <c r="A105" t="s">
        <v>785</v>
      </c>
      <c r="B105" t="s">
        <v>1151</v>
      </c>
      <c r="C105" t="s">
        <v>610</v>
      </c>
      <c r="D105" s="2">
        <v>45871</v>
      </c>
      <c r="E105" t="s">
        <v>256</v>
      </c>
      <c r="F105" t="str">
        <f>VLOOKUP($C105,Product_Dim!$A$2:$D$101,3,FALSE)</f>
        <v>Ford, Murphy and Wilson</v>
      </c>
      <c r="G105" t="str">
        <f>VLOOKUP($C105,Product_Dim!$A$2:$D$101,2,FALSE)</f>
        <v>Sports</v>
      </c>
      <c r="H105">
        <v>4</v>
      </c>
      <c r="I105">
        <v>353.67</v>
      </c>
      <c r="J105">
        <v>0.03</v>
      </c>
      <c r="K105" s="3">
        <v>1372.2396000000001</v>
      </c>
      <c r="L105" t="s">
        <v>857</v>
      </c>
      <c r="M105" t="str">
        <f>VLOOKUP($E105,Customer_Dim!$A$2:$F$501,3,FALSE)</f>
        <v>Female</v>
      </c>
      <c r="N105" t="str">
        <f>VLOOKUP($E105,Customer_Dim!$A$2:$F$501,5,FALSE)</f>
        <v>USA</v>
      </c>
      <c r="O105" t="str">
        <f>VLOOKUP($E105,Customer_Dim!$A$2:$F$501,6,FALSE)</f>
        <v>Bronze</v>
      </c>
      <c r="P105" t="str">
        <f>VLOOKUP($A105,Store_Dim!$A$2:$F$21,3,FALSE)</f>
        <v>NorthDanielmouth</v>
      </c>
    </row>
    <row r="106" spans="1:16" x14ac:dyDescent="0.25">
      <c r="A106" t="s">
        <v>785</v>
      </c>
      <c r="B106" t="s">
        <v>1537</v>
      </c>
      <c r="C106" t="s">
        <v>610</v>
      </c>
      <c r="D106" s="2">
        <v>45232</v>
      </c>
      <c r="E106" t="s">
        <v>424</v>
      </c>
      <c r="F106" t="str">
        <f>VLOOKUP($C106,Product_Dim!$A$2:$D$101,3,FALSE)</f>
        <v>Ford, Murphy and Wilson</v>
      </c>
      <c r="G106" t="str">
        <f>VLOOKUP($C106,Product_Dim!$A$2:$D$101,2,FALSE)</f>
        <v>Sports</v>
      </c>
      <c r="H106">
        <v>3</v>
      </c>
      <c r="I106">
        <v>401.42</v>
      </c>
      <c r="J106">
        <v>0.01</v>
      </c>
      <c r="K106" s="3">
        <v>1192.2174</v>
      </c>
      <c r="L106" t="s">
        <v>857</v>
      </c>
      <c r="M106" t="str">
        <f>VLOOKUP($E106,Customer_Dim!$A$2:$F$501,3,FALSE)</f>
        <v>Male</v>
      </c>
      <c r="N106" t="str">
        <f>VLOOKUP($E106,Customer_Dim!$A$2:$F$501,5,FALSE)</f>
        <v>USA</v>
      </c>
      <c r="O106" t="str">
        <f>VLOOKUP($E106,Customer_Dim!$A$2:$F$501,6,FALSE)</f>
        <v>Gold</v>
      </c>
      <c r="P106" t="str">
        <f>VLOOKUP($A106,Store_Dim!$A$2:$F$21,3,FALSE)</f>
        <v>NorthDanielmouth</v>
      </c>
    </row>
    <row r="107" spans="1:16" hidden="1" x14ac:dyDescent="0.25">
      <c r="A107" t="s">
        <v>785</v>
      </c>
      <c r="B107" t="s">
        <v>1210</v>
      </c>
      <c r="C107" t="s">
        <v>612</v>
      </c>
      <c r="D107" s="2">
        <v>45299</v>
      </c>
      <c r="E107" t="s">
        <v>116</v>
      </c>
      <c r="F107" t="str">
        <f>VLOOKUP($C107,Product_Dim!$A$2:$D$101,3,FALSE)</f>
        <v>Guerra-Hendrix</v>
      </c>
      <c r="G107" t="str">
        <f>VLOOKUP($C107,Product_Dim!$A$2:$D$101,2,FALSE)</f>
        <v>Clothing</v>
      </c>
      <c r="H107">
        <v>1</v>
      </c>
      <c r="I107">
        <v>691.38</v>
      </c>
      <c r="J107">
        <v>0.11</v>
      </c>
      <c r="K107" s="3">
        <v>615.32820000000004</v>
      </c>
      <c r="L107" t="s">
        <v>857</v>
      </c>
      <c r="M107" t="str">
        <f>VLOOKUP($E107,Customer_Dim!$A$2:$F$501,3,FALSE)</f>
        <v>Female</v>
      </c>
      <c r="N107" t="str">
        <f>VLOOKUP($E107,Customer_Dim!$A$2:$F$501,5,FALSE)</f>
        <v>USA</v>
      </c>
      <c r="O107" t="str">
        <f>VLOOKUP($E107,Customer_Dim!$A$2:$F$501,6,FALSE)</f>
        <v>Silver</v>
      </c>
      <c r="P107" t="str">
        <f>VLOOKUP($A107,Store_Dim!$A$2:$F$21,3,FALSE)</f>
        <v>NorthDanielmouth</v>
      </c>
    </row>
    <row r="108" spans="1:16" x14ac:dyDescent="0.25">
      <c r="A108" t="s">
        <v>785</v>
      </c>
      <c r="B108" t="s">
        <v>1501</v>
      </c>
      <c r="C108" t="s">
        <v>614</v>
      </c>
      <c r="D108" s="2">
        <v>45592</v>
      </c>
      <c r="E108" t="s">
        <v>233</v>
      </c>
      <c r="F108" t="str">
        <f>VLOOKUP($C108,Product_Dim!$A$2:$D$101,3,FALSE)</f>
        <v>May-Reese</v>
      </c>
      <c r="G108" t="str">
        <f>VLOOKUP($C108,Product_Dim!$A$2:$D$101,2,FALSE)</f>
        <v>Sports</v>
      </c>
      <c r="H108">
        <v>3</v>
      </c>
      <c r="I108">
        <v>79.95</v>
      </c>
      <c r="J108">
        <v>0.2</v>
      </c>
      <c r="K108" s="3">
        <v>191.88</v>
      </c>
      <c r="L108" t="s">
        <v>857</v>
      </c>
      <c r="M108" t="str">
        <f>VLOOKUP($E108,Customer_Dim!$A$2:$F$501,3,FALSE)</f>
        <v>Male</v>
      </c>
      <c r="N108" t="str">
        <f>VLOOKUP($E108,Customer_Dim!$A$2:$F$501,5,FALSE)</f>
        <v>USA</v>
      </c>
      <c r="O108" t="str">
        <f>VLOOKUP($E108,Customer_Dim!$A$2:$F$501,6,FALSE)</f>
        <v>Bronze</v>
      </c>
      <c r="P108" t="str">
        <f>VLOOKUP($A108,Store_Dim!$A$2:$F$21,3,FALSE)</f>
        <v>NorthDanielmouth</v>
      </c>
    </row>
    <row r="109" spans="1:16" x14ac:dyDescent="0.25">
      <c r="A109" t="s">
        <v>785</v>
      </c>
      <c r="B109" t="s">
        <v>2194</v>
      </c>
      <c r="C109" t="s">
        <v>616</v>
      </c>
      <c r="D109" s="2">
        <v>45855</v>
      </c>
      <c r="E109" t="s">
        <v>506</v>
      </c>
      <c r="F109" t="str">
        <f>VLOOKUP($C109,Product_Dim!$A$2:$D$101,3,FALSE)</f>
        <v>Soto-Ellis</v>
      </c>
      <c r="G109" t="str">
        <f>VLOOKUP($C109,Product_Dim!$A$2:$D$101,2,FALSE)</f>
        <v>Sports</v>
      </c>
      <c r="H109">
        <v>3</v>
      </c>
      <c r="I109">
        <v>684.22</v>
      </c>
      <c r="J109">
        <v>0.09</v>
      </c>
      <c r="K109" s="3">
        <v>1867.9205999999999</v>
      </c>
      <c r="L109" t="s">
        <v>852</v>
      </c>
      <c r="M109" t="str">
        <f>VLOOKUP($E109,Customer_Dim!$A$2:$F$501,3,FALSE)</f>
        <v>Male</v>
      </c>
      <c r="N109" t="str">
        <f>VLOOKUP($E109,Customer_Dim!$A$2:$F$501,5,FALSE)</f>
        <v>USA</v>
      </c>
      <c r="O109" t="str">
        <f>VLOOKUP($E109,Customer_Dim!$A$2:$F$501,6,FALSE)</f>
        <v>Silver</v>
      </c>
      <c r="P109" t="str">
        <f>VLOOKUP($A109,Store_Dim!$A$2:$F$21,3,FALSE)</f>
        <v>NorthDanielmouth</v>
      </c>
    </row>
    <row r="110" spans="1:16" hidden="1" x14ac:dyDescent="0.25">
      <c r="A110" t="s">
        <v>785</v>
      </c>
      <c r="B110" t="s">
        <v>2673</v>
      </c>
      <c r="C110" t="s">
        <v>618</v>
      </c>
      <c r="D110" s="2">
        <v>45323</v>
      </c>
      <c r="E110" t="s">
        <v>236</v>
      </c>
      <c r="F110" t="str">
        <f>VLOOKUP($C110,Product_Dim!$A$2:$D$101,3,FALSE)</f>
        <v>Gardner-Montes</v>
      </c>
      <c r="G110" t="str">
        <f>VLOOKUP($C110,Product_Dim!$A$2:$D$101,2,FALSE)</f>
        <v>Home</v>
      </c>
      <c r="H110">
        <v>1</v>
      </c>
      <c r="I110">
        <v>486.39</v>
      </c>
      <c r="J110">
        <v>0.09</v>
      </c>
      <c r="K110" s="3">
        <v>442.61489999999998</v>
      </c>
      <c r="L110" t="s">
        <v>857</v>
      </c>
      <c r="M110" t="str">
        <f>VLOOKUP($E110,Customer_Dim!$A$2:$F$501,3,FALSE)</f>
        <v>Female</v>
      </c>
      <c r="N110" t="str">
        <f>VLOOKUP($E110,Customer_Dim!$A$2:$F$501,5,FALSE)</f>
        <v>USA</v>
      </c>
      <c r="O110" t="str">
        <f>VLOOKUP($E110,Customer_Dim!$A$2:$F$501,6,FALSE)</f>
        <v>Bronze</v>
      </c>
      <c r="P110" t="str">
        <f>VLOOKUP($A110,Store_Dim!$A$2:$F$21,3,FALSE)</f>
        <v>NorthDanielmouth</v>
      </c>
    </row>
    <row r="111" spans="1:16" x14ac:dyDescent="0.25">
      <c r="A111" t="s">
        <v>785</v>
      </c>
      <c r="B111" t="s">
        <v>1833</v>
      </c>
      <c r="C111" t="s">
        <v>618</v>
      </c>
      <c r="D111" s="2">
        <v>45771</v>
      </c>
      <c r="E111" t="s">
        <v>395</v>
      </c>
      <c r="F111" t="str">
        <f>VLOOKUP($C111,Product_Dim!$A$2:$D$101,3,FALSE)</f>
        <v>Gardner-Montes</v>
      </c>
      <c r="G111" t="str">
        <f>VLOOKUP($C111,Product_Dim!$A$2:$D$101,2,FALSE)</f>
        <v>Home</v>
      </c>
      <c r="H111">
        <v>3</v>
      </c>
      <c r="I111">
        <v>614.63</v>
      </c>
      <c r="J111">
        <v>0.06</v>
      </c>
      <c r="K111" s="3">
        <v>1733.2565999999999</v>
      </c>
      <c r="L111" t="s">
        <v>854</v>
      </c>
      <c r="M111" t="str">
        <f>VLOOKUP($E111,Customer_Dim!$A$2:$F$501,3,FALSE)</f>
        <v>Male</v>
      </c>
      <c r="N111" t="str">
        <f>VLOOKUP($E111,Customer_Dim!$A$2:$F$501,5,FALSE)</f>
        <v>USA</v>
      </c>
      <c r="O111" t="str">
        <f>VLOOKUP($E111,Customer_Dim!$A$2:$F$501,6,FALSE)</f>
        <v>Platinum</v>
      </c>
      <c r="P111" t="str">
        <f>VLOOKUP($A111,Store_Dim!$A$2:$F$21,3,FALSE)</f>
        <v>NorthDanielmouth</v>
      </c>
    </row>
    <row r="112" spans="1:16" x14ac:dyDescent="0.25">
      <c r="A112" t="s">
        <v>785</v>
      </c>
      <c r="B112" t="s">
        <v>2271</v>
      </c>
      <c r="C112" t="s">
        <v>622</v>
      </c>
      <c r="D112" s="2">
        <v>45304</v>
      </c>
      <c r="E112" t="s">
        <v>108</v>
      </c>
      <c r="F112" t="str">
        <f>VLOOKUP($C112,Product_Dim!$A$2:$D$101,3,FALSE)</f>
        <v>Moon, Mora and Santos</v>
      </c>
      <c r="G112" t="str">
        <f>VLOOKUP($C112,Product_Dim!$A$2:$D$101,2,FALSE)</f>
        <v>Clothing</v>
      </c>
      <c r="H112">
        <v>2</v>
      </c>
      <c r="I112">
        <v>54.51</v>
      </c>
      <c r="J112">
        <v>7.0000000000000007E-2</v>
      </c>
      <c r="K112" s="3">
        <v>101.3886</v>
      </c>
      <c r="L112" t="s">
        <v>852</v>
      </c>
      <c r="M112" t="str">
        <f>VLOOKUP($E112,Customer_Dim!$A$2:$F$501,3,FALSE)</f>
        <v>Male</v>
      </c>
      <c r="N112" t="str">
        <f>VLOOKUP($E112,Customer_Dim!$A$2:$F$501,5,FALSE)</f>
        <v>USA</v>
      </c>
      <c r="O112" t="str">
        <f>VLOOKUP($E112,Customer_Dim!$A$2:$F$501,6,FALSE)</f>
        <v>Platinum</v>
      </c>
      <c r="P112" t="str">
        <f>VLOOKUP($A112,Store_Dim!$A$2:$F$21,3,FALSE)</f>
        <v>NorthDanielmouth</v>
      </c>
    </row>
    <row r="113" spans="1:16" hidden="1" x14ac:dyDescent="0.25">
      <c r="A113" t="s">
        <v>785</v>
      </c>
      <c r="B113" t="s">
        <v>1890</v>
      </c>
      <c r="C113" t="s">
        <v>622</v>
      </c>
      <c r="D113" s="2">
        <v>45773</v>
      </c>
      <c r="E113" t="s">
        <v>345</v>
      </c>
      <c r="F113" t="str">
        <f>VLOOKUP($C113,Product_Dim!$A$2:$D$101,3,FALSE)</f>
        <v>Moon, Mora and Santos</v>
      </c>
      <c r="G113" t="str">
        <f>VLOOKUP($C113,Product_Dim!$A$2:$D$101,2,FALSE)</f>
        <v>Clothing</v>
      </c>
      <c r="H113">
        <v>3</v>
      </c>
      <c r="I113">
        <v>688.76</v>
      </c>
      <c r="J113">
        <v>0.12</v>
      </c>
      <c r="K113" s="3">
        <v>1818.3263999999999</v>
      </c>
      <c r="L113" t="s">
        <v>854</v>
      </c>
      <c r="M113" t="str">
        <f>VLOOKUP($E113,Customer_Dim!$A$2:$F$501,3,FALSE)</f>
        <v>Female</v>
      </c>
      <c r="N113" t="str">
        <f>VLOOKUP($E113,Customer_Dim!$A$2:$F$501,5,FALSE)</f>
        <v>USA</v>
      </c>
      <c r="O113" t="str">
        <f>VLOOKUP($E113,Customer_Dim!$A$2:$F$501,6,FALSE)</f>
        <v>Platinum</v>
      </c>
      <c r="P113" t="str">
        <f>VLOOKUP($A113,Store_Dim!$A$2:$F$21,3,FALSE)</f>
        <v>NorthDanielmouth</v>
      </c>
    </row>
    <row r="114" spans="1:16" hidden="1" x14ac:dyDescent="0.25">
      <c r="A114" t="s">
        <v>785</v>
      </c>
      <c r="B114" t="s">
        <v>1111</v>
      </c>
      <c r="C114" t="s">
        <v>624</v>
      </c>
      <c r="D114" s="2">
        <v>45717</v>
      </c>
      <c r="E114" t="s">
        <v>39</v>
      </c>
      <c r="F114" t="str">
        <f>VLOOKUP($C114,Product_Dim!$A$2:$D$101,3,FALSE)</f>
        <v>Cook Ltd</v>
      </c>
      <c r="G114" t="str">
        <f>VLOOKUP($C114,Product_Dim!$A$2:$D$101,2,FALSE)</f>
        <v>Sports</v>
      </c>
      <c r="H114">
        <v>2</v>
      </c>
      <c r="I114">
        <v>679.86</v>
      </c>
      <c r="J114">
        <v>0.22</v>
      </c>
      <c r="K114" s="3">
        <v>1060.5816</v>
      </c>
      <c r="L114" t="s">
        <v>857</v>
      </c>
      <c r="M114" t="str">
        <f>VLOOKUP($E114,Customer_Dim!$A$2:$F$501,3,FALSE)</f>
        <v>Female</v>
      </c>
      <c r="N114" t="str">
        <f>VLOOKUP($E114,Customer_Dim!$A$2:$F$501,5,FALSE)</f>
        <v>USA</v>
      </c>
      <c r="O114" t="str">
        <f>VLOOKUP($E114,Customer_Dim!$A$2:$F$501,6,FALSE)</f>
        <v>Silver</v>
      </c>
      <c r="P114" t="str">
        <f>VLOOKUP($A114,Store_Dim!$A$2:$F$21,3,FALSE)</f>
        <v>NorthDanielmouth</v>
      </c>
    </row>
    <row r="115" spans="1:16" x14ac:dyDescent="0.25">
      <c r="A115" t="s">
        <v>785</v>
      </c>
      <c r="B115" t="s">
        <v>1857</v>
      </c>
      <c r="C115" t="s">
        <v>624</v>
      </c>
      <c r="D115" s="2">
        <v>45542</v>
      </c>
      <c r="E115" t="s">
        <v>466</v>
      </c>
      <c r="F115" t="str">
        <f>VLOOKUP($C115,Product_Dim!$A$2:$D$101,3,FALSE)</f>
        <v>Cook Ltd</v>
      </c>
      <c r="G115" t="str">
        <f>VLOOKUP($C115,Product_Dim!$A$2:$D$101,2,FALSE)</f>
        <v>Sports</v>
      </c>
      <c r="H115">
        <v>4</v>
      </c>
      <c r="I115">
        <v>996.85</v>
      </c>
      <c r="J115">
        <v>0.24</v>
      </c>
      <c r="K115" s="3">
        <v>3030.424</v>
      </c>
      <c r="L115" t="s">
        <v>854</v>
      </c>
      <c r="M115" t="str">
        <f>VLOOKUP($E115,Customer_Dim!$A$2:$F$501,3,FALSE)</f>
        <v>Male</v>
      </c>
      <c r="N115" t="str">
        <f>VLOOKUP($E115,Customer_Dim!$A$2:$F$501,5,FALSE)</f>
        <v>USA</v>
      </c>
      <c r="O115" t="str">
        <f>VLOOKUP($E115,Customer_Dim!$A$2:$F$501,6,FALSE)</f>
        <v>Bronze</v>
      </c>
      <c r="P115" t="str">
        <f>VLOOKUP($A115,Store_Dim!$A$2:$F$21,3,FALSE)</f>
        <v>NorthDanielmouth</v>
      </c>
    </row>
    <row r="116" spans="1:16" x14ac:dyDescent="0.25">
      <c r="A116" t="s">
        <v>785</v>
      </c>
      <c r="B116" t="s">
        <v>1399</v>
      </c>
      <c r="C116" t="s">
        <v>628</v>
      </c>
      <c r="D116" s="2">
        <v>45255</v>
      </c>
      <c r="E116" t="s">
        <v>165</v>
      </c>
      <c r="F116" t="str">
        <f>VLOOKUP($C116,Product_Dim!$A$2:$D$101,3,FALSE)</f>
        <v>Reed-Schmidt</v>
      </c>
      <c r="G116" t="str">
        <f>VLOOKUP($C116,Product_Dim!$A$2:$D$101,2,FALSE)</f>
        <v>Electronics</v>
      </c>
      <c r="H116">
        <v>4</v>
      </c>
      <c r="I116">
        <v>90.32</v>
      </c>
      <c r="J116">
        <v>0.08</v>
      </c>
      <c r="K116" s="3">
        <v>332.37759999999997</v>
      </c>
      <c r="L116" t="s">
        <v>854</v>
      </c>
      <c r="M116" t="str">
        <f>VLOOKUP($E116,Customer_Dim!$A$2:$F$501,3,FALSE)</f>
        <v>Male</v>
      </c>
      <c r="N116" t="str">
        <f>VLOOKUP($E116,Customer_Dim!$A$2:$F$501,5,FALSE)</f>
        <v>USA</v>
      </c>
      <c r="O116" t="str">
        <f>VLOOKUP($E116,Customer_Dim!$A$2:$F$501,6,FALSE)</f>
        <v>Bronze</v>
      </c>
      <c r="P116" t="str">
        <f>VLOOKUP($A116,Store_Dim!$A$2:$F$21,3,FALSE)</f>
        <v>NorthDanielmouth</v>
      </c>
    </row>
    <row r="117" spans="1:16" x14ac:dyDescent="0.25">
      <c r="A117" t="s">
        <v>785</v>
      </c>
      <c r="B117" t="s">
        <v>1335</v>
      </c>
      <c r="C117" t="s">
        <v>632</v>
      </c>
      <c r="D117" s="2">
        <v>45745</v>
      </c>
      <c r="E117" t="s">
        <v>248</v>
      </c>
      <c r="F117" t="str">
        <f>VLOOKUP($C117,Product_Dim!$A$2:$D$101,3,FALSE)</f>
        <v>Burns-Hansen</v>
      </c>
      <c r="G117" t="str">
        <f>VLOOKUP($C117,Product_Dim!$A$2:$D$101,2,FALSE)</f>
        <v>Sports</v>
      </c>
      <c r="H117">
        <v>3</v>
      </c>
      <c r="I117">
        <v>205.34</v>
      </c>
      <c r="J117">
        <v>0.25</v>
      </c>
      <c r="K117" s="3">
        <v>462.01499999999999</v>
      </c>
      <c r="L117" t="s">
        <v>852</v>
      </c>
      <c r="M117" t="str">
        <f>VLOOKUP($E117,Customer_Dim!$A$2:$F$501,3,FALSE)</f>
        <v>Male</v>
      </c>
      <c r="N117" t="str">
        <f>VLOOKUP($E117,Customer_Dim!$A$2:$F$501,5,FALSE)</f>
        <v>USA</v>
      </c>
      <c r="O117" t="str">
        <f>VLOOKUP($E117,Customer_Dim!$A$2:$F$501,6,FALSE)</f>
        <v>Platinum</v>
      </c>
      <c r="P117" t="str">
        <f>VLOOKUP($A117,Store_Dim!$A$2:$F$21,3,FALSE)</f>
        <v>NorthDanielmouth</v>
      </c>
    </row>
    <row r="118" spans="1:16" x14ac:dyDescent="0.25">
      <c r="A118" t="s">
        <v>785</v>
      </c>
      <c r="B118" t="s">
        <v>1793</v>
      </c>
      <c r="C118" t="s">
        <v>632</v>
      </c>
      <c r="D118" s="2">
        <v>45803</v>
      </c>
      <c r="E118" t="s">
        <v>372</v>
      </c>
      <c r="F118" t="str">
        <f>VLOOKUP($C118,Product_Dim!$A$2:$D$101,3,FALSE)</f>
        <v>Burns-Hansen</v>
      </c>
      <c r="G118" t="str">
        <f>VLOOKUP($C118,Product_Dim!$A$2:$D$101,2,FALSE)</f>
        <v>Sports</v>
      </c>
      <c r="H118">
        <v>1</v>
      </c>
      <c r="I118">
        <v>182.28</v>
      </c>
      <c r="J118">
        <v>0.15</v>
      </c>
      <c r="K118" s="3">
        <v>154.93799999999999</v>
      </c>
      <c r="L118" t="s">
        <v>857</v>
      </c>
      <c r="M118" t="str">
        <f>VLOOKUP($E118,Customer_Dim!$A$2:$F$501,3,FALSE)</f>
        <v>Male</v>
      </c>
      <c r="N118" t="str">
        <f>VLOOKUP($E118,Customer_Dim!$A$2:$F$501,5,FALSE)</f>
        <v>USA</v>
      </c>
      <c r="O118" t="str">
        <f>VLOOKUP($E118,Customer_Dim!$A$2:$F$501,6,FALSE)</f>
        <v>Platinum</v>
      </c>
      <c r="P118" t="str">
        <f>VLOOKUP($A118,Store_Dim!$A$2:$F$21,3,FALSE)</f>
        <v>NorthDanielmouth</v>
      </c>
    </row>
    <row r="119" spans="1:16" x14ac:dyDescent="0.25">
      <c r="A119" t="s">
        <v>785</v>
      </c>
      <c r="B119" t="s">
        <v>2756</v>
      </c>
      <c r="C119" t="s">
        <v>579</v>
      </c>
      <c r="D119" s="2">
        <v>45691</v>
      </c>
      <c r="E119" t="s">
        <v>522</v>
      </c>
      <c r="F119" t="str">
        <f>VLOOKUP($C119,Product_Dim!$A$2:$D$101,3,FALSE)</f>
        <v>Pineda Ltd</v>
      </c>
      <c r="G119" t="str">
        <f>VLOOKUP($C119,Product_Dim!$A$2:$D$101,2,FALSE)</f>
        <v>Clothing</v>
      </c>
      <c r="H119">
        <v>2</v>
      </c>
      <c r="I119">
        <v>594.63</v>
      </c>
      <c r="J119">
        <v>0.12</v>
      </c>
      <c r="K119" s="3">
        <v>1046.5488</v>
      </c>
      <c r="L119" t="s">
        <v>852</v>
      </c>
      <c r="M119" t="str">
        <f>VLOOKUP($E119,Customer_Dim!$A$2:$F$501,3,FALSE)</f>
        <v>Male</v>
      </c>
      <c r="N119" t="str">
        <f>VLOOKUP($E119,Customer_Dim!$A$2:$F$501,5,FALSE)</f>
        <v>USA</v>
      </c>
      <c r="O119" t="str">
        <f>VLOOKUP($E119,Customer_Dim!$A$2:$F$501,6,FALSE)</f>
        <v>Gold</v>
      </c>
      <c r="P119" t="str">
        <f>VLOOKUP($A119,Store_Dim!$A$2:$F$21,3,FALSE)</f>
        <v>NorthDanielmouth</v>
      </c>
    </row>
    <row r="120" spans="1:16" x14ac:dyDescent="0.25">
      <c r="A120" t="s">
        <v>785</v>
      </c>
      <c r="B120" t="s">
        <v>2177</v>
      </c>
      <c r="C120" t="s">
        <v>636</v>
      </c>
      <c r="D120" s="2">
        <v>45304</v>
      </c>
      <c r="E120" t="s">
        <v>317</v>
      </c>
      <c r="F120" t="str">
        <f>VLOOKUP($C120,Product_Dim!$A$2:$D$101,3,FALSE)</f>
        <v>Stevens, Fernandez and Martin</v>
      </c>
      <c r="G120" t="str">
        <f>VLOOKUP($C120,Product_Dim!$A$2:$D$101,2,FALSE)</f>
        <v>Home</v>
      </c>
      <c r="H120">
        <v>4</v>
      </c>
      <c r="I120">
        <v>629.04999999999995</v>
      </c>
      <c r="J120">
        <v>0.26</v>
      </c>
      <c r="K120" s="3">
        <v>1861.9880000000001</v>
      </c>
      <c r="L120" t="s">
        <v>852</v>
      </c>
      <c r="M120" t="str">
        <f>VLOOKUP($E120,Customer_Dim!$A$2:$F$501,3,FALSE)</f>
        <v>Male</v>
      </c>
      <c r="N120" t="str">
        <f>VLOOKUP($E120,Customer_Dim!$A$2:$F$501,5,FALSE)</f>
        <v>USA</v>
      </c>
      <c r="O120" t="str">
        <f>VLOOKUP($E120,Customer_Dim!$A$2:$F$501,6,FALSE)</f>
        <v>Silver</v>
      </c>
      <c r="P120" t="str">
        <f>VLOOKUP($A120,Store_Dim!$A$2:$F$21,3,FALSE)</f>
        <v>NorthDanielmouth</v>
      </c>
    </row>
    <row r="121" spans="1:16" hidden="1" x14ac:dyDescent="0.25">
      <c r="A121" t="s">
        <v>785</v>
      </c>
      <c r="B121" t="s">
        <v>2539</v>
      </c>
      <c r="C121" t="s">
        <v>638</v>
      </c>
      <c r="D121" s="2">
        <v>45446</v>
      </c>
      <c r="E121" t="s">
        <v>553</v>
      </c>
      <c r="F121" t="str">
        <f>VLOOKUP($C121,Product_Dim!$A$2:$D$101,3,FALSE)</f>
        <v>Nolan-Snow</v>
      </c>
      <c r="G121" t="str">
        <f>VLOOKUP($C121,Product_Dim!$A$2:$D$101,2,FALSE)</f>
        <v>Sports</v>
      </c>
      <c r="H121">
        <v>2</v>
      </c>
      <c r="I121">
        <v>938.6</v>
      </c>
      <c r="J121">
        <v>0.04</v>
      </c>
      <c r="K121" s="3">
        <v>1802.1120000000001</v>
      </c>
      <c r="L121" t="s">
        <v>854</v>
      </c>
      <c r="M121" t="str">
        <f>VLOOKUP($E121,Customer_Dim!$A$2:$F$501,3,FALSE)</f>
        <v>Female</v>
      </c>
      <c r="N121" t="str">
        <f>VLOOKUP($E121,Customer_Dim!$A$2:$F$501,5,FALSE)</f>
        <v>USA</v>
      </c>
      <c r="O121" t="str">
        <f>VLOOKUP($E121,Customer_Dim!$A$2:$F$501,6,FALSE)</f>
        <v>Bronze</v>
      </c>
      <c r="P121" t="str">
        <f>VLOOKUP($A121,Store_Dim!$A$2:$F$21,3,FALSE)</f>
        <v>NorthDanielmouth</v>
      </c>
    </row>
    <row r="122" spans="1:16" x14ac:dyDescent="0.25">
      <c r="A122" t="s">
        <v>785</v>
      </c>
      <c r="B122" t="s">
        <v>1017</v>
      </c>
      <c r="C122" t="s">
        <v>640</v>
      </c>
      <c r="D122" s="2">
        <v>45851</v>
      </c>
      <c r="E122" t="s">
        <v>131</v>
      </c>
      <c r="F122" t="str">
        <f>VLOOKUP($C122,Product_Dim!$A$2:$D$101,3,FALSE)</f>
        <v>Griffin Ltd</v>
      </c>
      <c r="G122" t="str">
        <f>VLOOKUP($C122,Product_Dim!$A$2:$D$101,2,FALSE)</f>
        <v>Beauty</v>
      </c>
      <c r="H122">
        <v>1</v>
      </c>
      <c r="I122">
        <v>488.31</v>
      </c>
      <c r="J122">
        <v>0.03</v>
      </c>
      <c r="K122" s="3">
        <v>473.66070000000002</v>
      </c>
      <c r="L122" t="s">
        <v>854</v>
      </c>
      <c r="M122" t="str">
        <f>VLOOKUP($E122,Customer_Dim!$A$2:$F$501,3,FALSE)</f>
        <v>Male</v>
      </c>
      <c r="N122" t="str">
        <f>VLOOKUP($E122,Customer_Dim!$A$2:$F$501,5,FALSE)</f>
        <v>USA</v>
      </c>
      <c r="O122" t="str">
        <f>VLOOKUP($E122,Customer_Dim!$A$2:$F$501,6,FALSE)</f>
        <v>Gold</v>
      </c>
      <c r="P122" t="str">
        <f>VLOOKUP($A122,Store_Dim!$A$2:$F$21,3,FALSE)</f>
        <v>NorthDanielmouth</v>
      </c>
    </row>
    <row r="123" spans="1:16" x14ac:dyDescent="0.25">
      <c r="A123" t="s">
        <v>785</v>
      </c>
      <c r="B123" t="s">
        <v>2489</v>
      </c>
      <c r="C123" t="s">
        <v>642</v>
      </c>
      <c r="D123" s="2">
        <v>45430</v>
      </c>
      <c r="E123" t="s">
        <v>397</v>
      </c>
      <c r="F123" t="str">
        <f>VLOOKUP($C123,Product_Dim!$A$2:$D$101,3,FALSE)</f>
        <v>Weiss-Watson</v>
      </c>
      <c r="G123" t="str">
        <f>VLOOKUP($C123,Product_Dim!$A$2:$D$101,2,FALSE)</f>
        <v>Home</v>
      </c>
      <c r="H123">
        <v>1</v>
      </c>
      <c r="I123">
        <v>339.7</v>
      </c>
      <c r="J123">
        <v>0.1</v>
      </c>
      <c r="K123" s="3">
        <v>305.73</v>
      </c>
      <c r="L123" t="s">
        <v>852</v>
      </c>
      <c r="M123" t="str">
        <f>VLOOKUP($E123,Customer_Dim!$A$2:$F$501,3,FALSE)</f>
        <v>Male</v>
      </c>
      <c r="N123" t="str">
        <f>VLOOKUP($E123,Customer_Dim!$A$2:$F$501,5,FALSE)</f>
        <v>USA</v>
      </c>
      <c r="O123" t="str">
        <f>VLOOKUP($E123,Customer_Dim!$A$2:$F$501,6,FALSE)</f>
        <v>Platinum</v>
      </c>
      <c r="P123" t="str">
        <f>VLOOKUP($A123,Store_Dim!$A$2:$F$21,3,FALSE)</f>
        <v>NorthDanielmouth</v>
      </c>
    </row>
    <row r="124" spans="1:16" hidden="1" x14ac:dyDescent="0.25">
      <c r="A124" t="s">
        <v>785</v>
      </c>
      <c r="B124" t="s">
        <v>1983</v>
      </c>
      <c r="C124" t="s">
        <v>644</v>
      </c>
      <c r="D124" s="2">
        <v>45753</v>
      </c>
      <c r="E124" t="s">
        <v>440</v>
      </c>
      <c r="F124" t="str">
        <f>VLOOKUP($C124,Product_Dim!$A$2:$D$101,3,FALSE)</f>
        <v>Lucero LLC</v>
      </c>
      <c r="G124" t="str">
        <f>VLOOKUP($C124,Product_Dim!$A$2:$D$101,2,FALSE)</f>
        <v>Electronics</v>
      </c>
      <c r="H124">
        <v>3</v>
      </c>
      <c r="I124">
        <v>848.48</v>
      </c>
      <c r="J124">
        <v>0</v>
      </c>
      <c r="K124" s="3">
        <v>2545.44</v>
      </c>
      <c r="L124" t="s">
        <v>857</v>
      </c>
      <c r="M124" t="str">
        <f>VLOOKUP($E124,Customer_Dim!$A$2:$F$501,3,FALSE)</f>
        <v>Female</v>
      </c>
      <c r="N124" t="str">
        <f>VLOOKUP($E124,Customer_Dim!$A$2:$F$501,5,FALSE)</f>
        <v>USA</v>
      </c>
      <c r="O124" t="str">
        <f>VLOOKUP($E124,Customer_Dim!$A$2:$F$501,6,FALSE)</f>
        <v>Gold</v>
      </c>
      <c r="P124" t="str">
        <f>VLOOKUP($A124,Store_Dim!$A$2:$F$21,3,FALSE)</f>
        <v>NorthDanielmouth</v>
      </c>
    </row>
    <row r="125" spans="1:16" hidden="1" x14ac:dyDescent="0.25">
      <c r="A125" t="s">
        <v>785</v>
      </c>
      <c r="B125" t="s">
        <v>1800</v>
      </c>
      <c r="C125" t="s">
        <v>646</v>
      </c>
      <c r="D125" s="2">
        <v>45600</v>
      </c>
      <c r="E125" t="s">
        <v>204</v>
      </c>
      <c r="F125" t="str">
        <f>VLOOKUP($C125,Product_Dim!$A$2:$D$101,3,FALSE)</f>
        <v>Jones LLC</v>
      </c>
      <c r="G125" t="str">
        <f>VLOOKUP($C125,Product_Dim!$A$2:$D$101,2,FALSE)</f>
        <v>Home</v>
      </c>
      <c r="H125">
        <v>2</v>
      </c>
      <c r="I125">
        <v>157.18</v>
      </c>
      <c r="J125">
        <v>0.15</v>
      </c>
      <c r="K125" s="3">
        <v>267.20600000000002</v>
      </c>
      <c r="L125" t="s">
        <v>852</v>
      </c>
      <c r="M125" t="str">
        <f>VLOOKUP($E125,Customer_Dim!$A$2:$F$501,3,FALSE)</f>
        <v>Female</v>
      </c>
      <c r="N125" t="str">
        <f>VLOOKUP($E125,Customer_Dim!$A$2:$F$501,5,FALSE)</f>
        <v>USA</v>
      </c>
      <c r="O125" t="str">
        <f>VLOOKUP($E125,Customer_Dim!$A$2:$F$501,6,FALSE)</f>
        <v>Gold</v>
      </c>
      <c r="P125" t="str">
        <f>VLOOKUP($A125,Store_Dim!$A$2:$F$21,3,FALSE)</f>
        <v>NorthDanielmouth</v>
      </c>
    </row>
    <row r="126" spans="1:16" x14ac:dyDescent="0.25">
      <c r="A126" t="s">
        <v>785</v>
      </c>
      <c r="B126" t="s">
        <v>1987</v>
      </c>
      <c r="C126" t="s">
        <v>650</v>
      </c>
      <c r="D126" s="2">
        <v>45647</v>
      </c>
      <c r="E126" t="s">
        <v>177</v>
      </c>
      <c r="F126" t="str">
        <f>VLOOKUP($C126,Product_Dim!$A$2:$D$101,3,FALSE)</f>
        <v>Hogan-Lee</v>
      </c>
      <c r="G126" t="str">
        <f>VLOOKUP($C126,Product_Dim!$A$2:$D$101,2,FALSE)</f>
        <v>Clothing</v>
      </c>
      <c r="H126">
        <v>1</v>
      </c>
      <c r="I126">
        <v>438.41</v>
      </c>
      <c r="J126">
        <v>0.09</v>
      </c>
      <c r="K126" s="3">
        <v>398.95310000000012</v>
      </c>
      <c r="L126" t="s">
        <v>852</v>
      </c>
      <c r="M126" t="str">
        <f>VLOOKUP($E126,Customer_Dim!$A$2:$F$501,3,FALSE)</f>
        <v>Male</v>
      </c>
      <c r="N126" t="str">
        <f>VLOOKUP($E126,Customer_Dim!$A$2:$F$501,5,FALSE)</f>
        <v>USA</v>
      </c>
      <c r="O126" t="str">
        <f>VLOOKUP($E126,Customer_Dim!$A$2:$F$501,6,FALSE)</f>
        <v>Bronze</v>
      </c>
      <c r="P126" t="str">
        <f>VLOOKUP($A126,Store_Dim!$A$2:$F$21,3,FALSE)</f>
        <v>NorthDanielmouth</v>
      </c>
    </row>
    <row r="127" spans="1:16" x14ac:dyDescent="0.25">
      <c r="A127" t="s">
        <v>785</v>
      </c>
      <c r="B127" t="s">
        <v>2607</v>
      </c>
      <c r="C127" t="s">
        <v>654</v>
      </c>
      <c r="D127" s="2">
        <v>45425</v>
      </c>
      <c r="E127" t="s">
        <v>148</v>
      </c>
      <c r="F127" t="str">
        <f>VLOOKUP($C127,Product_Dim!$A$2:$D$101,3,FALSE)</f>
        <v>Cummings and Sons</v>
      </c>
      <c r="G127" t="str">
        <f>VLOOKUP($C127,Product_Dim!$A$2:$D$101,2,FALSE)</f>
        <v>Electronics</v>
      </c>
      <c r="H127">
        <v>4</v>
      </c>
      <c r="I127">
        <v>352.72</v>
      </c>
      <c r="J127">
        <v>0.25</v>
      </c>
      <c r="K127" s="3">
        <v>1058.1600000000001</v>
      </c>
      <c r="L127" t="s">
        <v>852</v>
      </c>
      <c r="M127" t="str">
        <f>VLOOKUP($E127,Customer_Dim!$A$2:$F$501,3,FALSE)</f>
        <v>Male</v>
      </c>
      <c r="N127" t="str">
        <f>VLOOKUP($E127,Customer_Dim!$A$2:$F$501,5,FALSE)</f>
        <v>USA</v>
      </c>
      <c r="O127" t="str">
        <f>VLOOKUP($E127,Customer_Dim!$A$2:$F$501,6,FALSE)</f>
        <v>Platinum</v>
      </c>
      <c r="P127" t="str">
        <f>VLOOKUP($A127,Store_Dim!$A$2:$F$21,3,FALSE)</f>
        <v>NorthDanielmouth</v>
      </c>
    </row>
    <row r="128" spans="1:16" hidden="1" x14ac:dyDescent="0.25">
      <c r="A128" t="s">
        <v>785</v>
      </c>
      <c r="B128" t="s">
        <v>865</v>
      </c>
      <c r="C128" t="s">
        <v>654</v>
      </c>
      <c r="D128" s="2">
        <v>45801</v>
      </c>
      <c r="E128" t="s">
        <v>387</v>
      </c>
      <c r="F128" t="str">
        <f>VLOOKUP($C128,Product_Dim!$A$2:$D$101,3,FALSE)</f>
        <v>Cummings and Sons</v>
      </c>
      <c r="G128" t="str">
        <f>VLOOKUP($C128,Product_Dim!$A$2:$D$101,2,FALSE)</f>
        <v>Electronics</v>
      </c>
      <c r="H128">
        <v>4</v>
      </c>
      <c r="I128">
        <v>286.92</v>
      </c>
      <c r="J128">
        <v>0.17</v>
      </c>
      <c r="K128" s="3">
        <v>952.57439999999997</v>
      </c>
      <c r="L128" t="s">
        <v>852</v>
      </c>
      <c r="M128" t="str">
        <f>VLOOKUP($E128,Customer_Dim!$A$2:$F$501,3,FALSE)</f>
        <v>Female</v>
      </c>
      <c r="N128" t="str">
        <f>VLOOKUP($E128,Customer_Dim!$A$2:$F$501,5,FALSE)</f>
        <v>USA</v>
      </c>
      <c r="O128" t="str">
        <f>VLOOKUP($E128,Customer_Dim!$A$2:$F$501,6,FALSE)</f>
        <v>Bronze</v>
      </c>
      <c r="P128" t="str">
        <f>VLOOKUP($A128,Store_Dim!$A$2:$F$21,3,FALSE)</f>
        <v>NorthDanielmouth</v>
      </c>
    </row>
    <row r="129" spans="1:16" hidden="1" x14ac:dyDescent="0.25">
      <c r="A129" t="s">
        <v>785</v>
      </c>
      <c r="B129" t="s">
        <v>1919</v>
      </c>
      <c r="C129" t="s">
        <v>656</v>
      </c>
      <c r="D129" s="2">
        <v>45736</v>
      </c>
      <c r="E129" t="s">
        <v>57</v>
      </c>
      <c r="F129" t="str">
        <f>VLOOKUP($C129,Product_Dim!$A$2:$D$101,3,FALSE)</f>
        <v>Taylor-Hart</v>
      </c>
      <c r="G129" t="str">
        <f>VLOOKUP($C129,Product_Dim!$A$2:$D$101,2,FALSE)</f>
        <v>Electronics</v>
      </c>
      <c r="H129">
        <v>2</v>
      </c>
      <c r="I129">
        <v>994.29</v>
      </c>
      <c r="J129">
        <v>0.01</v>
      </c>
      <c r="K129" s="3">
        <v>1968.6941999999999</v>
      </c>
      <c r="L129" t="s">
        <v>854</v>
      </c>
      <c r="M129" t="str">
        <f>VLOOKUP($E129,Customer_Dim!$A$2:$F$501,3,FALSE)</f>
        <v>Female</v>
      </c>
      <c r="N129" t="str">
        <f>VLOOKUP($E129,Customer_Dim!$A$2:$F$501,5,FALSE)</f>
        <v>USA</v>
      </c>
      <c r="O129" t="str">
        <f>VLOOKUP($E129,Customer_Dim!$A$2:$F$501,6,FALSE)</f>
        <v>Silver</v>
      </c>
      <c r="P129" t="str">
        <f>VLOOKUP($A129,Store_Dim!$A$2:$F$21,3,FALSE)</f>
        <v>NorthDanielmouth</v>
      </c>
    </row>
    <row r="130" spans="1:16" hidden="1" x14ac:dyDescent="0.25">
      <c r="A130" t="s">
        <v>785</v>
      </c>
      <c r="B130" t="s">
        <v>2287</v>
      </c>
      <c r="C130" t="s">
        <v>656</v>
      </c>
      <c r="D130" s="2">
        <v>45686</v>
      </c>
      <c r="E130" t="s">
        <v>76</v>
      </c>
      <c r="F130" t="str">
        <f>VLOOKUP($C130,Product_Dim!$A$2:$D$101,3,FALSE)</f>
        <v>Taylor-Hart</v>
      </c>
      <c r="G130" t="str">
        <f>VLOOKUP($C130,Product_Dim!$A$2:$D$101,2,FALSE)</f>
        <v>Electronics</v>
      </c>
      <c r="H130">
        <v>3</v>
      </c>
      <c r="I130">
        <v>765.21</v>
      </c>
      <c r="J130">
        <v>0.14000000000000001</v>
      </c>
      <c r="K130" s="3">
        <v>1974.2418</v>
      </c>
      <c r="L130" t="s">
        <v>857</v>
      </c>
      <c r="M130" t="str">
        <f>VLOOKUP($E130,Customer_Dim!$A$2:$F$501,3,FALSE)</f>
        <v>Female</v>
      </c>
      <c r="N130" t="str">
        <f>VLOOKUP($E130,Customer_Dim!$A$2:$F$501,5,FALSE)</f>
        <v>USA</v>
      </c>
      <c r="O130" t="str">
        <f>VLOOKUP($E130,Customer_Dim!$A$2:$F$501,6,FALSE)</f>
        <v>Gold</v>
      </c>
      <c r="P130" t="str">
        <f>VLOOKUP($A130,Store_Dim!$A$2:$F$21,3,FALSE)</f>
        <v>NorthDanielmouth</v>
      </c>
    </row>
    <row r="131" spans="1:16" x14ac:dyDescent="0.25">
      <c r="A131" t="s">
        <v>785</v>
      </c>
      <c r="B131" t="s">
        <v>2449</v>
      </c>
      <c r="C131" t="s">
        <v>662</v>
      </c>
      <c r="D131" s="2">
        <v>45849</v>
      </c>
      <c r="E131" t="s">
        <v>538</v>
      </c>
      <c r="F131" t="str">
        <f>VLOOKUP($C131,Product_Dim!$A$2:$D$101,3,FALSE)</f>
        <v>Robinson Inc</v>
      </c>
      <c r="G131" t="str">
        <f>VLOOKUP($C131,Product_Dim!$A$2:$D$101,2,FALSE)</f>
        <v>Electronics</v>
      </c>
      <c r="H131">
        <v>1</v>
      </c>
      <c r="I131">
        <v>135.87</v>
      </c>
      <c r="J131">
        <v>0.23</v>
      </c>
      <c r="K131" s="3">
        <v>104.6199</v>
      </c>
      <c r="L131" t="s">
        <v>854</v>
      </c>
      <c r="M131" t="str">
        <f>VLOOKUP($E131,Customer_Dim!$A$2:$F$501,3,FALSE)</f>
        <v>Male</v>
      </c>
      <c r="N131" t="str">
        <f>VLOOKUP($E131,Customer_Dim!$A$2:$F$501,5,FALSE)</f>
        <v>USA</v>
      </c>
      <c r="O131" t="str">
        <f>VLOOKUP($E131,Customer_Dim!$A$2:$F$501,6,FALSE)</f>
        <v>Platinum</v>
      </c>
      <c r="P131" t="str">
        <f>VLOOKUP($A131,Store_Dim!$A$2:$F$21,3,FALSE)</f>
        <v>NorthDanielmouth</v>
      </c>
    </row>
    <row r="132" spans="1:16" x14ac:dyDescent="0.25">
      <c r="A132" t="s">
        <v>785</v>
      </c>
      <c r="B132" t="s">
        <v>1677</v>
      </c>
      <c r="C132" t="s">
        <v>664</v>
      </c>
      <c r="D132" s="2">
        <v>45933</v>
      </c>
      <c r="E132" t="s">
        <v>508</v>
      </c>
      <c r="F132" t="str">
        <f>VLOOKUP($C132,Product_Dim!$A$2:$D$101,3,FALSE)</f>
        <v>Cox Inc</v>
      </c>
      <c r="G132" t="str">
        <f>VLOOKUP($C132,Product_Dim!$A$2:$D$101,2,FALSE)</f>
        <v>Sports</v>
      </c>
      <c r="H132">
        <v>4</v>
      </c>
      <c r="I132">
        <v>415.02</v>
      </c>
      <c r="J132">
        <v>0.01</v>
      </c>
      <c r="K132" s="3">
        <v>1643.4792</v>
      </c>
      <c r="L132" t="s">
        <v>854</v>
      </c>
      <c r="M132" t="str">
        <f>VLOOKUP($E132,Customer_Dim!$A$2:$F$501,3,FALSE)</f>
        <v>Male</v>
      </c>
      <c r="N132" t="str">
        <f>VLOOKUP($E132,Customer_Dim!$A$2:$F$501,5,FALSE)</f>
        <v>USA</v>
      </c>
      <c r="O132" t="str">
        <f>VLOOKUP($E132,Customer_Dim!$A$2:$F$501,6,FALSE)</f>
        <v>Silver</v>
      </c>
      <c r="P132" t="str">
        <f>VLOOKUP($A132,Store_Dim!$A$2:$F$21,3,FALSE)</f>
        <v>NorthDanielmouth</v>
      </c>
    </row>
    <row r="133" spans="1:16" hidden="1" x14ac:dyDescent="0.25">
      <c r="A133" t="s">
        <v>785</v>
      </c>
      <c r="B133" t="s">
        <v>2033</v>
      </c>
      <c r="C133" t="s">
        <v>666</v>
      </c>
      <c r="D133" s="2">
        <v>45569</v>
      </c>
      <c r="E133" t="s">
        <v>232</v>
      </c>
      <c r="F133" t="str">
        <f>VLOOKUP($C133,Product_Dim!$A$2:$D$101,3,FALSE)</f>
        <v>Bridges, Banks and Cummings</v>
      </c>
      <c r="G133" t="str">
        <f>VLOOKUP($C133,Product_Dim!$A$2:$D$101,2,FALSE)</f>
        <v>Sports</v>
      </c>
      <c r="H133">
        <v>3</v>
      </c>
      <c r="I133">
        <v>876.01</v>
      </c>
      <c r="J133">
        <v>0.2</v>
      </c>
      <c r="K133" s="3">
        <v>2102.424</v>
      </c>
      <c r="L133" t="s">
        <v>852</v>
      </c>
      <c r="M133" t="str">
        <f>VLOOKUP($E133,Customer_Dim!$A$2:$F$501,3,FALSE)</f>
        <v>Female</v>
      </c>
      <c r="N133" t="str">
        <f>VLOOKUP($E133,Customer_Dim!$A$2:$F$501,5,FALSE)</f>
        <v>USA</v>
      </c>
      <c r="O133" t="str">
        <f>VLOOKUP($E133,Customer_Dim!$A$2:$F$501,6,FALSE)</f>
        <v>Platinum</v>
      </c>
      <c r="P133" t="str">
        <f>VLOOKUP($A133,Store_Dim!$A$2:$F$21,3,FALSE)</f>
        <v>NorthDanielmouth</v>
      </c>
    </row>
    <row r="134" spans="1:16" x14ac:dyDescent="0.25">
      <c r="A134" t="s">
        <v>785</v>
      </c>
      <c r="B134" t="s">
        <v>2432</v>
      </c>
      <c r="C134" t="s">
        <v>668</v>
      </c>
      <c r="D134" s="2">
        <v>45572</v>
      </c>
      <c r="E134" t="s">
        <v>166</v>
      </c>
      <c r="F134" t="str">
        <f>VLOOKUP($C134,Product_Dim!$A$2:$D$101,3,FALSE)</f>
        <v>Kelly, Smith and Perez</v>
      </c>
      <c r="G134" t="str">
        <f>VLOOKUP($C134,Product_Dim!$A$2:$D$101,2,FALSE)</f>
        <v>Clothing</v>
      </c>
      <c r="H134">
        <v>2</v>
      </c>
      <c r="I134">
        <v>216.02</v>
      </c>
      <c r="J134">
        <v>0.25</v>
      </c>
      <c r="K134" s="3">
        <v>324.02999999999997</v>
      </c>
      <c r="L134" t="s">
        <v>852</v>
      </c>
      <c r="M134" t="str">
        <f>VLOOKUP($E134,Customer_Dim!$A$2:$F$501,3,FALSE)</f>
        <v>Male</v>
      </c>
      <c r="N134" t="str">
        <f>VLOOKUP($E134,Customer_Dim!$A$2:$F$501,5,FALSE)</f>
        <v>USA</v>
      </c>
      <c r="O134" t="str">
        <f>VLOOKUP($E134,Customer_Dim!$A$2:$F$501,6,FALSE)</f>
        <v>Silver</v>
      </c>
      <c r="P134" t="str">
        <f>VLOOKUP($A134,Store_Dim!$A$2:$F$21,3,FALSE)</f>
        <v>NorthDanielmouth</v>
      </c>
    </row>
    <row r="135" spans="1:16" hidden="1" x14ac:dyDescent="0.25">
      <c r="A135" t="s">
        <v>785</v>
      </c>
      <c r="B135" t="s">
        <v>1903</v>
      </c>
      <c r="C135" t="s">
        <v>668</v>
      </c>
      <c r="D135" s="2">
        <v>45385</v>
      </c>
      <c r="E135" t="s">
        <v>537</v>
      </c>
      <c r="F135" t="str">
        <f>VLOOKUP($C135,Product_Dim!$A$2:$D$101,3,FALSE)</f>
        <v>Kelly, Smith and Perez</v>
      </c>
      <c r="G135" t="str">
        <f>VLOOKUP($C135,Product_Dim!$A$2:$D$101,2,FALSE)</f>
        <v>Clothing</v>
      </c>
      <c r="H135">
        <v>4</v>
      </c>
      <c r="I135">
        <v>837.34</v>
      </c>
      <c r="J135">
        <v>0.05</v>
      </c>
      <c r="K135" s="3">
        <v>3181.8919999999998</v>
      </c>
      <c r="L135" t="s">
        <v>854</v>
      </c>
      <c r="M135" t="str">
        <f>VLOOKUP($E135,Customer_Dim!$A$2:$F$501,3,FALSE)</f>
        <v>Female</v>
      </c>
      <c r="N135" t="str">
        <f>VLOOKUP($E135,Customer_Dim!$A$2:$F$501,5,FALSE)</f>
        <v>USA</v>
      </c>
      <c r="O135" t="str">
        <f>VLOOKUP($E135,Customer_Dim!$A$2:$F$501,6,FALSE)</f>
        <v>Gold</v>
      </c>
      <c r="P135" t="str">
        <f>VLOOKUP($A135,Store_Dim!$A$2:$F$21,3,FALSE)</f>
        <v>NorthDanielmouth</v>
      </c>
    </row>
    <row r="136" spans="1:16" x14ac:dyDescent="0.25">
      <c r="A136" t="s">
        <v>785</v>
      </c>
      <c r="B136" t="s">
        <v>1998</v>
      </c>
      <c r="C136" t="s">
        <v>674</v>
      </c>
      <c r="D136" s="2">
        <v>45433</v>
      </c>
      <c r="E136" t="s">
        <v>275</v>
      </c>
      <c r="F136" t="str">
        <f>VLOOKUP($C136,Product_Dim!$A$2:$D$101,3,FALSE)</f>
        <v>Sullivan and Sons</v>
      </c>
      <c r="G136" t="str">
        <f>VLOOKUP($C136,Product_Dim!$A$2:$D$101,2,FALSE)</f>
        <v>Beauty</v>
      </c>
      <c r="H136">
        <v>3</v>
      </c>
      <c r="I136">
        <v>803.31</v>
      </c>
      <c r="J136">
        <v>0.1</v>
      </c>
      <c r="K136" s="3">
        <v>2168.9369999999999</v>
      </c>
      <c r="L136" t="s">
        <v>854</v>
      </c>
      <c r="M136" t="str">
        <f>VLOOKUP($E136,Customer_Dim!$A$2:$F$501,3,FALSE)</f>
        <v>Male</v>
      </c>
      <c r="N136" t="str">
        <f>VLOOKUP($E136,Customer_Dim!$A$2:$F$501,5,FALSE)</f>
        <v>USA</v>
      </c>
      <c r="O136" t="str">
        <f>VLOOKUP($E136,Customer_Dim!$A$2:$F$501,6,FALSE)</f>
        <v>Silver</v>
      </c>
      <c r="P136" t="str">
        <f>VLOOKUP($A136,Store_Dim!$A$2:$F$21,3,FALSE)</f>
        <v>NorthDanielmouth</v>
      </c>
    </row>
    <row r="137" spans="1:16" hidden="1" x14ac:dyDescent="0.25">
      <c r="A137" t="s">
        <v>785</v>
      </c>
      <c r="B137" t="s">
        <v>1960</v>
      </c>
      <c r="C137" t="s">
        <v>676</v>
      </c>
      <c r="D137" s="2">
        <v>45661</v>
      </c>
      <c r="E137" t="s">
        <v>232</v>
      </c>
      <c r="F137" t="str">
        <f>VLOOKUP($C137,Product_Dim!$A$2:$D$101,3,FALSE)</f>
        <v>Smith-King</v>
      </c>
      <c r="G137" t="str">
        <f>VLOOKUP($C137,Product_Dim!$A$2:$D$101,2,FALSE)</f>
        <v>Sports</v>
      </c>
      <c r="H137">
        <v>3</v>
      </c>
      <c r="I137">
        <v>326.2</v>
      </c>
      <c r="J137">
        <v>0.22</v>
      </c>
      <c r="K137" s="3">
        <v>763.30799999999999</v>
      </c>
      <c r="L137" t="s">
        <v>857</v>
      </c>
      <c r="M137" t="str">
        <f>VLOOKUP($E137,Customer_Dim!$A$2:$F$501,3,FALSE)</f>
        <v>Female</v>
      </c>
      <c r="N137" t="str">
        <f>VLOOKUP($E137,Customer_Dim!$A$2:$F$501,5,FALSE)</f>
        <v>USA</v>
      </c>
      <c r="O137" t="str">
        <f>VLOOKUP($E137,Customer_Dim!$A$2:$F$501,6,FALSE)</f>
        <v>Platinum</v>
      </c>
      <c r="P137" t="str">
        <f>VLOOKUP($A137,Store_Dim!$A$2:$F$21,3,FALSE)</f>
        <v>NorthDanielmouth</v>
      </c>
    </row>
    <row r="138" spans="1:16" hidden="1" x14ac:dyDescent="0.25">
      <c r="A138" t="s">
        <v>785</v>
      </c>
      <c r="B138" t="s">
        <v>2665</v>
      </c>
      <c r="C138" t="s">
        <v>682</v>
      </c>
      <c r="D138" s="2">
        <v>45534</v>
      </c>
      <c r="E138" t="s">
        <v>211</v>
      </c>
      <c r="F138" t="str">
        <f>VLOOKUP($C138,Product_Dim!$A$2:$D$101,3,FALSE)</f>
        <v>Hamilton, Woods and Walker</v>
      </c>
      <c r="G138" t="str">
        <f>VLOOKUP($C138,Product_Dim!$A$2:$D$101,2,FALSE)</f>
        <v>Clothing</v>
      </c>
      <c r="H138">
        <v>3</v>
      </c>
      <c r="I138">
        <v>841.47</v>
      </c>
      <c r="J138">
        <v>0.15</v>
      </c>
      <c r="K138" s="3">
        <v>2145.7485000000001</v>
      </c>
      <c r="L138" t="s">
        <v>857</v>
      </c>
      <c r="M138" t="str">
        <f>VLOOKUP($E138,Customer_Dim!$A$2:$F$501,3,FALSE)</f>
        <v>Female</v>
      </c>
      <c r="N138" t="str">
        <f>VLOOKUP($E138,Customer_Dim!$A$2:$F$501,5,FALSE)</f>
        <v>USA</v>
      </c>
      <c r="O138" t="str">
        <f>VLOOKUP($E138,Customer_Dim!$A$2:$F$501,6,FALSE)</f>
        <v>Platinum</v>
      </c>
      <c r="P138" t="str">
        <f>VLOOKUP($A138,Store_Dim!$A$2:$F$21,3,FALSE)</f>
        <v>NorthDanielmouth</v>
      </c>
    </row>
    <row r="139" spans="1:16" hidden="1" x14ac:dyDescent="0.25">
      <c r="A139" t="s">
        <v>785</v>
      </c>
      <c r="B139" t="s">
        <v>1357</v>
      </c>
      <c r="C139" t="s">
        <v>684</v>
      </c>
      <c r="D139" s="2">
        <v>45889</v>
      </c>
      <c r="E139" t="s">
        <v>28</v>
      </c>
      <c r="F139" t="str">
        <f>VLOOKUP($C139,Product_Dim!$A$2:$D$101,3,FALSE)</f>
        <v>Thompson-French</v>
      </c>
      <c r="G139" t="str">
        <f>VLOOKUP($C139,Product_Dim!$A$2:$D$101,2,FALSE)</f>
        <v>Sports</v>
      </c>
      <c r="H139">
        <v>2</v>
      </c>
      <c r="I139">
        <v>355.41</v>
      </c>
      <c r="J139">
        <v>0.13</v>
      </c>
      <c r="K139" s="3">
        <v>618.41340000000002</v>
      </c>
      <c r="L139" t="s">
        <v>857</v>
      </c>
      <c r="M139" t="str">
        <f>VLOOKUP($E139,Customer_Dim!$A$2:$F$501,3,FALSE)</f>
        <v>Female</v>
      </c>
      <c r="N139" t="str">
        <f>VLOOKUP($E139,Customer_Dim!$A$2:$F$501,5,FALSE)</f>
        <v>USA</v>
      </c>
      <c r="O139" t="str">
        <f>VLOOKUP($E139,Customer_Dim!$A$2:$F$501,6,FALSE)</f>
        <v>Bronze</v>
      </c>
      <c r="P139" t="str">
        <f>VLOOKUP($A139,Store_Dim!$A$2:$F$21,3,FALSE)</f>
        <v>NorthDanielmouth</v>
      </c>
    </row>
    <row r="140" spans="1:16" hidden="1" x14ac:dyDescent="0.25">
      <c r="A140" t="s">
        <v>785</v>
      </c>
      <c r="B140" t="s">
        <v>1499</v>
      </c>
      <c r="C140" t="s">
        <v>684</v>
      </c>
      <c r="D140" s="2">
        <v>45333</v>
      </c>
      <c r="E140" t="s">
        <v>534</v>
      </c>
      <c r="F140" t="str">
        <f>VLOOKUP($C140,Product_Dim!$A$2:$D$101,3,FALSE)</f>
        <v>Thompson-French</v>
      </c>
      <c r="G140" t="str">
        <f>VLOOKUP($C140,Product_Dim!$A$2:$D$101,2,FALSE)</f>
        <v>Sports</v>
      </c>
      <c r="H140">
        <v>1</v>
      </c>
      <c r="I140">
        <v>389.2</v>
      </c>
      <c r="J140">
        <v>0.05</v>
      </c>
      <c r="K140" s="3">
        <v>369.74</v>
      </c>
      <c r="L140" t="s">
        <v>852</v>
      </c>
      <c r="M140" t="str">
        <f>VLOOKUP($E140,Customer_Dim!$A$2:$F$501,3,FALSE)</f>
        <v>Female</v>
      </c>
      <c r="N140" t="str">
        <f>VLOOKUP($E140,Customer_Dim!$A$2:$F$501,5,FALSE)</f>
        <v>USA</v>
      </c>
      <c r="O140" t="str">
        <f>VLOOKUP($E140,Customer_Dim!$A$2:$F$501,6,FALSE)</f>
        <v>Gold</v>
      </c>
      <c r="P140" t="str">
        <f>VLOOKUP($A140,Store_Dim!$A$2:$F$21,3,FALSE)</f>
        <v>NorthDanielmouth</v>
      </c>
    </row>
    <row r="141" spans="1:16" hidden="1" x14ac:dyDescent="0.25">
      <c r="A141" t="s">
        <v>785</v>
      </c>
      <c r="B141" t="s">
        <v>1498</v>
      </c>
      <c r="C141" t="s">
        <v>686</v>
      </c>
      <c r="D141" s="2">
        <v>45334</v>
      </c>
      <c r="E141" t="s">
        <v>256</v>
      </c>
      <c r="F141" t="str">
        <f>VLOOKUP($C141,Product_Dim!$A$2:$D$101,3,FALSE)</f>
        <v>Hatfield, Baird and Torres</v>
      </c>
      <c r="G141" t="str">
        <f>VLOOKUP($C141,Product_Dim!$A$2:$D$101,2,FALSE)</f>
        <v>Home</v>
      </c>
      <c r="H141">
        <v>1</v>
      </c>
      <c r="I141">
        <v>172.04</v>
      </c>
      <c r="J141">
        <v>0.04</v>
      </c>
      <c r="K141" s="3">
        <v>165.1584</v>
      </c>
      <c r="L141" t="s">
        <v>854</v>
      </c>
      <c r="M141" t="str">
        <f>VLOOKUP($E141,Customer_Dim!$A$2:$F$501,3,FALSE)</f>
        <v>Female</v>
      </c>
      <c r="N141" t="str">
        <f>VLOOKUP($E141,Customer_Dim!$A$2:$F$501,5,FALSE)</f>
        <v>USA</v>
      </c>
      <c r="O141" t="str">
        <f>VLOOKUP($E141,Customer_Dim!$A$2:$F$501,6,FALSE)</f>
        <v>Bronze</v>
      </c>
      <c r="P141" t="str">
        <f>VLOOKUP($A141,Store_Dim!$A$2:$F$21,3,FALSE)</f>
        <v>NorthDanielmouth</v>
      </c>
    </row>
    <row r="142" spans="1:16" x14ac:dyDescent="0.25">
      <c r="A142" t="s">
        <v>785</v>
      </c>
      <c r="B142" t="s">
        <v>1455</v>
      </c>
      <c r="C142" t="s">
        <v>688</v>
      </c>
      <c r="D142" s="2">
        <v>45716</v>
      </c>
      <c r="E142" t="s">
        <v>166</v>
      </c>
      <c r="F142" t="str">
        <f>VLOOKUP($C142,Product_Dim!$A$2:$D$101,3,FALSE)</f>
        <v>Hernandez, Kennedy and Porter</v>
      </c>
      <c r="G142" t="str">
        <f>VLOOKUP($C142,Product_Dim!$A$2:$D$101,2,FALSE)</f>
        <v>Home</v>
      </c>
      <c r="H142">
        <v>4</v>
      </c>
      <c r="I142">
        <v>165.37</v>
      </c>
      <c r="J142">
        <v>0.28999999999999998</v>
      </c>
      <c r="K142" s="3">
        <v>469.6508</v>
      </c>
      <c r="L142" t="s">
        <v>852</v>
      </c>
      <c r="M142" t="str">
        <f>VLOOKUP($E142,Customer_Dim!$A$2:$F$501,3,FALSE)</f>
        <v>Male</v>
      </c>
      <c r="N142" t="str">
        <f>VLOOKUP($E142,Customer_Dim!$A$2:$F$501,5,FALSE)</f>
        <v>USA</v>
      </c>
      <c r="O142" t="str">
        <f>VLOOKUP($E142,Customer_Dim!$A$2:$F$501,6,FALSE)</f>
        <v>Silver</v>
      </c>
      <c r="P142" t="str">
        <f>VLOOKUP($A142,Store_Dim!$A$2:$F$21,3,FALSE)</f>
        <v>NorthDanielmouth</v>
      </c>
    </row>
    <row r="143" spans="1:16" hidden="1" x14ac:dyDescent="0.25">
      <c r="A143" t="s">
        <v>785</v>
      </c>
      <c r="B143" t="s">
        <v>2029</v>
      </c>
      <c r="C143" t="s">
        <v>696</v>
      </c>
      <c r="D143" s="2">
        <v>45932</v>
      </c>
      <c r="E143" t="s">
        <v>49</v>
      </c>
      <c r="F143" t="str">
        <f>VLOOKUP($C143,Product_Dim!$A$2:$D$101,3,FALSE)</f>
        <v>Gibson, Green and Lopez</v>
      </c>
      <c r="G143" t="str">
        <f>VLOOKUP($C143,Product_Dim!$A$2:$D$101,2,FALSE)</f>
        <v>Beauty</v>
      </c>
      <c r="H143">
        <v>2</v>
      </c>
      <c r="I143">
        <v>424.54</v>
      </c>
      <c r="J143">
        <v>0.24</v>
      </c>
      <c r="K143" s="3">
        <v>645.30080000000009</v>
      </c>
      <c r="L143" t="s">
        <v>854</v>
      </c>
      <c r="M143" t="str">
        <f>VLOOKUP($E143,Customer_Dim!$A$2:$F$501,3,FALSE)</f>
        <v>Female</v>
      </c>
      <c r="N143" t="str">
        <f>VLOOKUP($E143,Customer_Dim!$A$2:$F$501,5,FALSE)</f>
        <v>USA</v>
      </c>
      <c r="O143" t="str">
        <f>VLOOKUP($E143,Customer_Dim!$A$2:$F$501,6,FALSE)</f>
        <v>Platinum</v>
      </c>
      <c r="P143" t="str">
        <f>VLOOKUP($A143,Store_Dim!$A$2:$F$21,3,FALSE)</f>
        <v>NorthDanielmouth</v>
      </c>
    </row>
    <row r="144" spans="1:16" x14ac:dyDescent="0.25">
      <c r="A144" t="s">
        <v>785</v>
      </c>
      <c r="B144" t="s">
        <v>1056</v>
      </c>
      <c r="C144" t="s">
        <v>700</v>
      </c>
      <c r="D144" s="2">
        <v>45750</v>
      </c>
      <c r="E144" t="s">
        <v>170</v>
      </c>
      <c r="F144" t="str">
        <f>VLOOKUP($C144,Product_Dim!$A$2:$D$101,3,FALSE)</f>
        <v>Murray, Gould and Ware</v>
      </c>
      <c r="G144" t="str">
        <f>VLOOKUP($C144,Product_Dim!$A$2:$D$101,2,FALSE)</f>
        <v>Electronics</v>
      </c>
      <c r="H144">
        <v>4</v>
      </c>
      <c r="I144">
        <v>408.07</v>
      </c>
      <c r="J144">
        <v>0.28000000000000003</v>
      </c>
      <c r="K144" s="3">
        <v>1175.2416000000001</v>
      </c>
      <c r="L144" t="s">
        <v>857</v>
      </c>
      <c r="M144" t="str">
        <f>VLOOKUP($E144,Customer_Dim!$A$2:$F$501,3,FALSE)</f>
        <v>Male</v>
      </c>
      <c r="N144" t="str">
        <f>VLOOKUP($E144,Customer_Dim!$A$2:$F$501,5,FALSE)</f>
        <v>USA</v>
      </c>
      <c r="O144" t="str">
        <f>VLOOKUP($E144,Customer_Dim!$A$2:$F$501,6,FALSE)</f>
        <v>Bronze</v>
      </c>
      <c r="P144" t="str">
        <f>VLOOKUP($A144,Store_Dim!$A$2:$F$21,3,FALSE)</f>
        <v>NorthDanielmouth</v>
      </c>
    </row>
    <row r="145" spans="1:16" x14ac:dyDescent="0.25">
      <c r="A145" t="s">
        <v>785</v>
      </c>
      <c r="B145" t="s">
        <v>2403</v>
      </c>
      <c r="C145" t="s">
        <v>700</v>
      </c>
      <c r="D145" s="2">
        <v>45553</v>
      </c>
      <c r="E145" t="s">
        <v>287</v>
      </c>
      <c r="F145" t="str">
        <f>VLOOKUP($C145,Product_Dim!$A$2:$D$101,3,FALSE)</f>
        <v>Murray, Gould and Ware</v>
      </c>
      <c r="G145" t="str">
        <f>VLOOKUP($C145,Product_Dim!$A$2:$D$101,2,FALSE)</f>
        <v>Electronics</v>
      </c>
      <c r="H145">
        <v>3</v>
      </c>
      <c r="I145">
        <v>103.66</v>
      </c>
      <c r="J145">
        <v>0.26</v>
      </c>
      <c r="K145" s="3">
        <v>230.12520000000001</v>
      </c>
      <c r="L145" t="s">
        <v>857</v>
      </c>
      <c r="M145" t="str">
        <f>VLOOKUP($E145,Customer_Dim!$A$2:$F$501,3,FALSE)</f>
        <v>Male</v>
      </c>
      <c r="N145" t="str">
        <f>VLOOKUP($E145,Customer_Dim!$A$2:$F$501,5,FALSE)</f>
        <v>USA</v>
      </c>
      <c r="O145" t="str">
        <f>VLOOKUP($E145,Customer_Dim!$A$2:$F$501,6,FALSE)</f>
        <v>Platinum</v>
      </c>
      <c r="P145" t="str">
        <f>VLOOKUP($A145,Store_Dim!$A$2:$F$21,3,FALSE)</f>
        <v>NorthDanielmouth</v>
      </c>
    </row>
    <row r="146" spans="1:16" x14ac:dyDescent="0.25">
      <c r="A146" t="s">
        <v>785</v>
      </c>
      <c r="B146" t="s">
        <v>2151</v>
      </c>
      <c r="C146" t="s">
        <v>706</v>
      </c>
      <c r="D146" s="2">
        <v>45619</v>
      </c>
      <c r="E146" t="s">
        <v>307</v>
      </c>
      <c r="F146" t="str">
        <f>VLOOKUP($C146,Product_Dim!$A$2:$D$101,3,FALSE)</f>
        <v>Montgomery, Benton and Miller</v>
      </c>
      <c r="G146" t="str">
        <f>VLOOKUP($C146,Product_Dim!$A$2:$D$101,2,FALSE)</f>
        <v>Sports</v>
      </c>
      <c r="H146">
        <v>2</v>
      </c>
      <c r="I146">
        <v>892.46</v>
      </c>
      <c r="J146">
        <v>7.0000000000000007E-2</v>
      </c>
      <c r="K146" s="3">
        <v>1659.9756</v>
      </c>
      <c r="L146" t="s">
        <v>854</v>
      </c>
      <c r="M146" t="str">
        <f>VLOOKUP($E146,Customer_Dim!$A$2:$F$501,3,FALSE)</f>
        <v>Male</v>
      </c>
      <c r="N146" t="str">
        <f>VLOOKUP($E146,Customer_Dim!$A$2:$F$501,5,FALSE)</f>
        <v>USA</v>
      </c>
      <c r="O146" t="str">
        <f>VLOOKUP($E146,Customer_Dim!$A$2:$F$501,6,FALSE)</f>
        <v>Platinum</v>
      </c>
      <c r="P146" t="str">
        <f>VLOOKUP($A146,Store_Dim!$A$2:$F$21,3,FALSE)</f>
        <v>NorthDanielmouth</v>
      </c>
    </row>
    <row r="147" spans="1:16" hidden="1" x14ac:dyDescent="0.25">
      <c r="A147" t="s">
        <v>785</v>
      </c>
      <c r="B147" t="s">
        <v>2790</v>
      </c>
      <c r="C147" t="s">
        <v>708</v>
      </c>
      <c r="D147" s="2">
        <v>45793</v>
      </c>
      <c r="E147" t="s">
        <v>157</v>
      </c>
      <c r="F147" t="str">
        <f>VLOOKUP($C147,Product_Dim!$A$2:$D$101,3,FALSE)</f>
        <v>Torres, Spencer and Potter</v>
      </c>
      <c r="G147" t="str">
        <f>VLOOKUP($C147,Product_Dim!$A$2:$D$101,2,FALSE)</f>
        <v>Beauty</v>
      </c>
      <c r="H147">
        <v>1</v>
      </c>
      <c r="I147">
        <v>338.83</v>
      </c>
      <c r="J147">
        <v>0.19</v>
      </c>
      <c r="K147" s="3">
        <v>274.45229999999998</v>
      </c>
      <c r="L147" t="s">
        <v>854</v>
      </c>
      <c r="M147" t="str">
        <f>VLOOKUP($E147,Customer_Dim!$A$2:$F$501,3,FALSE)</f>
        <v>Female</v>
      </c>
      <c r="N147" t="str">
        <f>VLOOKUP($E147,Customer_Dim!$A$2:$F$501,5,FALSE)</f>
        <v>USA</v>
      </c>
      <c r="O147" t="str">
        <f>VLOOKUP($E147,Customer_Dim!$A$2:$F$501,6,FALSE)</f>
        <v>Platinum</v>
      </c>
      <c r="P147" t="str">
        <f>VLOOKUP($A147,Store_Dim!$A$2:$F$21,3,FALSE)</f>
        <v>NorthDanielmouth</v>
      </c>
    </row>
    <row r="148" spans="1:16" hidden="1" x14ac:dyDescent="0.25">
      <c r="A148" t="s">
        <v>785</v>
      </c>
      <c r="B148" t="s">
        <v>2291</v>
      </c>
      <c r="C148" t="s">
        <v>708</v>
      </c>
      <c r="D148" s="2">
        <v>45756</v>
      </c>
      <c r="E148" t="s">
        <v>528</v>
      </c>
      <c r="F148" t="str">
        <f>VLOOKUP($C148,Product_Dim!$A$2:$D$101,3,FALSE)</f>
        <v>Torres, Spencer and Potter</v>
      </c>
      <c r="G148" t="str">
        <f>VLOOKUP($C148,Product_Dim!$A$2:$D$101,2,FALSE)</f>
        <v>Beauty</v>
      </c>
      <c r="H148">
        <v>1</v>
      </c>
      <c r="I148">
        <v>209.93</v>
      </c>
      <c r="J148">
        <v>0.21</v>
      </c>
      <c r="K148" s="3">
        <v>165.84469999999999</v>
      </c>
      <c r="L148" t="s">
        <v>852</v>
      </c>
      <c r="M148" t="str">
        <f>VLOOKUP($E148,Customer_Dim!$A$2:$F$501,3,FALSE)</f>
        <v>Female</v>
      </c>
      <c r="N148" t="str">
        <f>VLOOKUP($E148,Customer_Dim!$A$2:$F$501,5,FALSE)</f>
        <v>USA</v>
      </c>
      <c r="O148" t="str">
        <f>VLOOKUP($E148,Customer_Dim!$A$2:$F$501,6,FALSE)</f>
        <v>Silver</v>
      </c>
      <c r="P148" t="str">
        <f>VLOOKUP($A148,Store_Dim!$A$2:$F$21,3,FALSE)</f>
        <v>NorthDanielmouth</v>
      </c>
    </row>
    <row r="149" spans="1:16" x14ac:dyDescent="0.25">
      <c r="A149" t="s">
        <v>785</v>
      </c>
      <c r="B149" t="s">
        <v>2628</v>
      </c>
      <c r="C149" t="s">
        <v>710</v>
      </c>
      <c r="D149" s="2">
        <v>45275</v>
      </c>
      <c r="E149" t="s">
        <v>557</v>
      </c>
      <c r="F149" t="str">
        <f>VLOOKUP($C149,Product_Dim!$A$2:$D$101,3,FALSE)</f>
        <v>Flores-Davis</v>
      </c>
      <c r="G149" t="str">
        <f>VLOOKUP($C149,Product_Dim!$A$2:$D$101,2,FALSE)</f>
        <v>Electronics</v>
      </c>
      <c r="H149">
        <v>4</v>
      </c>
      <c r="I149">
        <v>921.84</v>
      </c>
      <c r="J149">
        <v>0.04</v>
      </c>
      <c r="K149" s="3">
        <v>3539.8656000000001</v>
      </c>
      <c r="L149" t="s">
        <v>852</v>
      </c>
      <c r="M149" t="str">
        <f>VLOOKUP($E149,Customer_Dim!$A$2:$F$501,3,FALSE)</f>
        <v>Male</v>
      </c>
      <c r="N149" t="str">
        <f>VLOOKUP($E149,Customer_Dim!$A$2:$F$501,5,FALSE)</f>
        <v>USA</v>
      </c>
      <c r="O149" t="str">
        <f>VLOOKUP($E149,Customer_Dim!$A$2:$F$501,6,FALSE)</f>
        <v>Platinum</v>
      </c>
      <c r="P149" t="str">
        <f>VLOOKUP($A149,Store_Dim!$A$2:$F$21,3,FALSE)</f>
        <v>NorthDanielmouth</v>
      </c>
    </row>
    <row r="150" spans="1:16" x14ac:dyDescent="0.25">
      <c r="A150" t="s">
        <v>785</v>
      </c>
      <c r="B150" t="s">
        <v>1505</v>
      </c>
      <c r="C150" t="s">
        <v>718</v>
      </c>
      <c r="D150" s="2">
        <v>45721</v>
      </c>
      <c r="E150" t="s">
        <v>213</v>
      </c>
      <c r="F150" t="str">
        <f>VLOOKUP($C150,Product_Dim!$A$2:$D$101,3,FALSE)</f>
        <v>Hopkins Ltd</v>
      </c>
      <c r="G150" t="str">
        <f>VLOOKUP($C150,Product_Dim!$A$2:$D$101,2,FALSE)</f>
        <v>Beauty</v>
      </c>
      <c r="H150">
        <v>1</v>
      </c>
      <c r="I150">
        <v>888.05</v>
      </c>
      <c r="J150">
        <v>0.2</v>
      </c>
      <c r="K150" s="3">
        <v>710.44</v>
      </c>
      <c r="L150" t="s">
        <v>854</v>
      </c>
      <c r="M150" t="str">
        <f>VLOOKUP($E150,Customer_Dim!$A$2:$F$501,3,FALSE)</f>
        <v>Male</v>
      </c>
      <c r="N150" t="str">
        <f>VLOOKUP($E150,Customer_Dim!$A$2:$F$501,5,FALSE)</f>
        <v>USA</v>
      </c>
      <c r="O150" t="str">
        <f>VLOOKUP($E150,Customer_Dim!$A$2:$F$501,6,FALSE)</f>
        <v>Platinum</v>
      </c>
      <c r="P150" t="str">
        <f>VLOOKUP($A150,Store_Dim!$A$2:$F$21,3,FALSE)</f>
        <v>NorthDanielmouth</v>
      </c>
    </row>
    <row r="151" spans="1:16" x14ac:dyDescent="0.25">
      <c r="A151" t="s">
        <v>785</v>
      </c>
      <c r="B151" t="s">
        <v>1579</v>
      </c>
      <c r="C151" t="s">
        <v>718</v>
      </c>
      <c r="D151" s="2">
        <v>45474</v>
      </c>
      <c r="E151" t="s">
        <v>455</v>
      </c>
      <c r="F151" t="str">
        <f>VLOOKUP($C151,Product_Dim!$A$2:$D$101,3,FALSE)</f>
        <v>Hopkins Ltd</v>
      </c>
      <c r="G151" t="str">
        <f>VLOOKUP($C151,Product_Dim!$A$2:$D$101,2,FALSE)</f>
        <v>Beauty</v>
      </c>
      <c r="H151">
        <v>1</v>
      </c>
      <c r="I151">
        <v>506.55</v>
      </c>
      <c r="J151">
        <v>0.28000000000000003</v>
      </c>
      <c r="K151" s="3">
        <v>364.71600000000001</v>
      </c>
      <c r="L151" t="s">
        <v>852</v>
      </c>
      <c r="M151" t="str">
        <f>VLOOKUP($E151,Customer_Dim!$A$2:$F$501,3,FALSE)</f>
        <v>Male</v>
      </c>
      <c r="N151" t="str">
        <f>VLOOKUP($E151,Customer_Dim!$A$2:$F$501,5,FALSE)</f>
        <v>USA</v>
      </c>
      <c r="O151" t="str">
        <f>VLOOKUP($E151,Customer_Dim!$A$2:$F$501,6,FALSE)</f>
        <v>Platinum</v>
      </c>
      <c r="P151" t="str">
        <f>VLOOKUP($A151,Store_Dim!$A$2:$F$21,3,FALSE)</f>
        <v>NorthDanielmouth</v>
      </c>
    </row>
    <row r="152" spans="1:16" hidden="1" x14ac:dyDescent="0.25">
      <c r="A152" t="s">
        <v>785</v>
      </c>
      <c r="B152" t="s">
        <v>925</v>
      </c>
      <c r="C152" t="s">
        <v>720</v>
      </c>
      <c r="D152" s="2">
        <v>45889</v>
      </c>
      <c r="E152" t="s">
        <v>232</v>
      </c>
      <c r="F152" t="str">
        <f>VLOOKUP($C152,Product_Dim!$A$2:$D$101,3,FALSE)</f>
        <v>Davis PLC</v>
      </c>
      <c r="G152" t="str">
        <f>VLOOKUP($C152,Product_Dim!$A$2:$D$101,2,FALSE)</f>
        <v>Sports</v>
      </c>
      <c r="H152">
        <v>2</v>
      </c>
      <c r="I152">
        <v>668.3</v>
      </c>
      <c r="J152">
        <v>7.0000000000000007E-2</v>
      </c>
      <c r="K152" s="3">
        <v>1243.038</v>
      </c>
      <c r="L152" t="s">
        <v>852</v>
      </c>
      <c r="M152" t="str">
        <f>VLOOKUP($E152,Customer_Dim!$A$2:$F$501,3,FALSE)</f>
        <v>Female</v>
      </c>
      <c r="N152" t="str">
        <f>VLOOKUP($E152,Customer_Dim!$A$2:$F$501,5,FALSE)</f>
        <v>USA</v>
      </c>
      <c r="O152" t="str">
        <f>VLOOKUP($E152,Customer_Dim!$A$2:$F$501,6,FALSE)</f>
        <v>Platinum</v>
      </c>
      <c r="P152" t="str">
        <f>VLOOKUP($A152,Store_Dim!$A$2:$F$21,3,FALSE)</f>
        <v>NorthDanielmouth</v>
      </c>
    </row>
    <row r="153" spans="1:16" x14ac:dyDescent="0.25">
      <c r="A153" t="s">
        <v>785</v>
      </c>
      <c r="B153" t="s">
        <v>1072</v>
      </c>
      <c r="C153" t="s">
        <v>720</v>
      </c>
      <c r="D153" s="2">
        <v>45447</v>
      </c>
      <c r="E153" t="s">
        <v>312</v>
      </c>
      <c r="F153" t="str">
        <f>VLOOKUP($C153,Product_Dim!$A$2:$D$101,3,FALSE)</f>
        <v>Davis PLC</v>
      </c>
      <c r="G153" t="str">
        <f>VLOOKUP($C153,Product_Dim!$A$2:$D$101,2,FALSE)</f>
        <v>Sports</v>
      </c>
      <c r="H153">
        <v>4</v>
      </c>
      <c r="I153">
        <v>640.97</v>
      </c>
      <c r="J153">
        <v>0.11</v>
      </c>
      <c r="K153" s="3">
        <v>2281.8532</v>
      </c>
      <c r="L153" t="s">
        <v>857</v>
      </c>
      <c r="M153" t="str">
        <f>VLOOKUP($E153,Customer_Dim!$A$2:$F$501,3,FALSE)</f>
        <v>Male</v>
      </c>
      <c r="N153" t="str">
        <f>VLOOKUP($E153,Customer_Dim!$A$2:$F$501,5,FALSE)</f>
        <v>USA</v>
      </c>
      <c r="O153" t="str">
        <f>VLOOKUP($E153,Customer_Dim!$A$2:$F$501,6,FALSE)</f>
        <v>Bronze</v>
      </c>
      <c r="P153" t="str">
        <f>VLOOKUP($A153,Store_Dim!$A$2:$F$21,3,FALSE)</f>
        <v>NorthDanielmouth</v>
      </c>
    </row>
    <row r="154" spans="1:16" hidden="1" x14ac:dyDescent="0.25">
      <c r="A154" t="s">
        <v>785</v>
      </c>
      <c r="B154" t="s">
        <v>2804</v>
      </c>
      <c r="C154" t="s">
        <v>722</v>
      </c>
      <c r="D154" s="2">
        <v>45311</v>
      </c>
      <c r="E154" t="s">
        <v>155</v>
      </c>
      <c r="F154" t="str">
        <f>VLOOKUP($C154,Product_Dim!$A$2:$D$101,3,FALSE)</f>
        <v>French Ltd</v>
      </c>
      <c r="G154" t="str">
        <f>VLOOKUP($C154,Product_Dim!$A$2:$D$101,2,FALSE)</f>
        <v>Sports</v>
      </c>
      <c r="H154">
        <v>1</v>
      </c>
      <c r="I154">
        <v>721.74</v>
      </c>
      <c r="J154">
        <v>0.24</v>
      </c>
      <c r="K154" s="3">
        <v>548.52240000000006</v>
      </c>
      <c r="L154" t="s">
        <v>854</v>
      </c>
      <c r="M154" t="str">
        <f>VLOOKUP($E154,Customer_Dim!$A$2:$F$501,3,FALSE)</f>
        <v>Female</v>
      </c>
      <c r="N154" t="str">
        <f>VLOOKUP($E154,Customer_Dim!$A$2:$F$501,5,FALSE)</f>
        <v>USA</v>
      </c>
      <c r="O154" t="str">
        <f>VLOOKUP($E154,Customer_Dim!$A$2:$F$501,6,FALSE)</f>
        <v>Gold</v>
      </c>
      <c r="P154" t="str">
        <f>VLOOKUP($A154,Store_Dim!$A$2:$F$21,3,FALSE)</f>
        <v>NorthDanielmouth</v>
      </c>
    </row>
    <row r="155" spans="1:16" x14ac:dyDescent="0.25">
      <c r="A155" t="s">
        <v>785</v>
      </c>
      <c r="B155" t="s">
        <v>2107</v>
      </c>
      <c r="C155" t="s">
        <v>724</v>
      </c>
      <c r="D155" s="2">
        <v>45235</v>
      </c>
      <c r="E155" t="s">
        <v>275</v>
      </c>
      <c r="F155" t="str">
        <f>VLOOKUP($C155,Product_Dim!$A$2:$D$101,3,FALSE)</f>
        <v>Bruce-Bowen</v>
      </c>
      <c r="G155" t="str">
        <f>VLOOKUP($C155,Product_Dim!$A$2:$D$101,2,FALSE)</f>
        <v>Electronics</v>
      </c>
      <c r="H155">
        <v>1</v>
      </c>
      <c r="I155">
        <v>842.46</v>
      </c>
      <c r="J155">
        <v>0.05</v>
      </c>
      <c r="K155" s="3">
        <v>800.33699999999999</v>
      </c>
      <c r="L155" t="s">
        <v>857</v>
      </c>
      <c r="M155" t="str">
        <f>VLOOKUP($E155,Customer_Dim!$A$2:$F$501,3,FALSE)</f>
        <v>Male</v>
      </c>
      <c r="N155" t="str">
        <f>VLOOKUP($E155,Customer_Dim!$A$2:$F$501,5,FALSE)</f>
        <v>USA</v>
      </c>
      <c r="O155" t="str">
        <f>VLOOKUP($E155,Customer_Dim!$A$2:$F$501,6,FALSE)</f>
        <v>Silver</v>
      </c>
      <c r="P155" t="str">
        <f>VLOOKUP($A155,Store_Dim!$A$2:$F$21,3,FALSE)</f>
        <v>NorthDanielmouth</v>
      </c>
    </row>
    <row r="156" spans="1:16" x14ac:dyDescent="0.25">
      <c r="A156" t="s">
        <v>785</v>
      </c>
      <c r="B156" t="s">
        <v>1162</v>
      </c>
      <c r="C156" t="s">
        <v>724</v>
      </c>
      <c r="D156" s="2">
        <v>45796</v>
      </c>
      <c r="E156" t="s">
        <v>546</v>
      </c>
      <c r="F156" t="str">
        <f>VLOOKUP($C156,Product_Dim!$A$2:$D$101,3,FALSE)</f>
        <v>Bruce-Bowen</v>
      </c>
      <c r="G156" t="str">
        <f>VLOOKUP($C156,Product_Dim!$A$2:$D$101,2,FALSE)</f>
        <v>Electronics</v>
      </c>
      <c r="H156">
        <v>4</v>
      </c>
      <c r="I156">
        <v>396.53</v>
      </c>
      <c r="J156">
        <v>7.0000000000000007E-2</v>
      </c>
      <c r="K156" s="3">
        <v>1475.0916</v>
      </c>
      <c r="L156" t="s">
        <v>854</v>
      </c>
      <c r="M156" t="str">
        <f>VLOOKUP($E156,Customer_Dim!$A$2:$F$501,3,FALSE)</f>
        <v>Male</v>
      </c>
      <c r="N156" t="str">
        <f>VLOOKUP($E156,Customer_Dim!$A$2:$F$501,5,FALSE)</f>
        <v>USA</v>
      </c>
      <c r="O156" t="str">
        <f>VLOOKUP($E156,Customer_Dim!$A$2:$F$501,6,FALSE)</f>
        <v>Bronze</v>
      </c>
      <c r="P156" t="str">
        <f>VLOOKUP($A156,Store_Dim!$A$2:$F$21,3,FALSE)</f>
        <v>NorthDanielmouth</v>
      </c>
    </row>
    <row r="157" spans="1:16" hidden="1" x14ac:dyDescent="0.25">
      <c r="A157" t="s">
        <v>785</v>
      </c>
      <c r="B157" t="s">
        <v>1439</v>
      </c>
      <c r="C157" t="s">
        <v>730</v>
      </c>
      <c r="D157" s="2">
        <v>45633</v>
      </c>
      <c r="E157" t="s">
        <v>295</v>
      </c>
      <c r="F157" t="str">
        <f>VLOOKUP($C157,Product_Dim!$A$2:$D$101,3,FALSE)</f>
        <v>White, Reeves and Woods</v>
      </c>
      <c r="G157" t="str">
        <f>VLOOKUP($C157,Product_Dim!$A$2:$D$101,2,FALSE)</f>
        <v>Electronics</v>
      </c>
      <c r="H157">
        <v>2</v>
      </c>
      <c r="I157">
        <v>829.15</v>
      </c>
      <c r="J157">
        <v>0.11</v>
      </c>
      <c r="K157" s="3">
        <v>1475.8869999999999</v>
      </c>
      <c r="L157" t="s">
        <v>854</v>
      </c>
      <c r="M157" t="str">
        <f>VLOOKUP($E157,Customer_Dim!$A$2:$F$501,3,FALSE)</f>
        <v>Female</v>
      </c>
      <c r="N157" t="str">
        <f>VLOOKUP($E157,Customer_Dim!$A$2:$F$501,5,FALSE)</f>
        <v>USA</v>
      </c>
      <c r="O157" t="str">
        <f>VLOOKUP($E157,Customer_Dim!$A$2:$F$501,6,FALSE)</f>
        <v>Bronze</v>
      </c>
      <c r="P157" t="str">
        <f>VLOOKUP($A157,Store_Dim!$A$2:$F$21,3,FALSE)</f>
        <v>NorthDanielmouth</v>
      </c>
    </row>
    <row r="158" spans="1:16" hidden="1" x14ac:dyDescent="0.25">
      <c r="A158" t="s">
        <v>785</v>
      </c>
      <c r="B158" t="s">
        <v>1615</v>
      </c>
      <c r="C158" t="s">
        <v>732</v>
      </c>
      <c r="D158" s="2">
        <v>45371</v>
      </c>
      <c r="E158" t="s">
        <v>229</v>
      </c>
      <c r="F158" t="str">
        <f>VLOOKUP($C158,Product_Dim!$A$2:$D$101,3,FALSE)</f>
        <v>Hernandez Inc</v>
      </c>
      <c r="G158" t="str">
        <f>VLOOKUP($C158,Product_Dim!$A$2:$D$101,2,FALSE)</f>
        <v>Home</v>
      </c>
      <c r="H158">
        <v>3</v>
      </c>
      <c r="I158">
        <v>468.25</v>
      </c>
      <c r="J158">
        <v>7.0000000000000007E-2</v>
      </c>
      <c r="K158" s="3">
        <v>1306.4175</v>
      </c>
      <c r="L158" t="s">
        <v>854</v>
      </c>
      <c r="M158" t="str">
        <f>VLOOKUP($E158,Customer_Dim!$A$2:$F$501,3,FALSE)</f>
        <v>Female</v>
      </c>
      <c r="N158" t="str">
        <f>VLOOKUP($E158,Customer_Dim!$A$2:$F$501,5,FALSE)</f>
        <v>USA</v>
      </c>
      <c r="O158" t="str">
        <f>VLOOKUP($E158,Customer_Dim!$A$2:$F$501,6,FALSE)</f>
        <v>Platinum</v>
      </c>
      <c r="P158" t="str">
        <f>VLOOKUP($A158,Store_Dim!$A$2:$F$21,3,FALSE)</f>
        <v>NorthDanielmouth</v>
      </c>
    </row>
    <row r="159" spans="1:16" hidden="1" x14ac:dyDescent="0.25">
      <c r="A159" t="s">
        <v>785</v>
      </c>
      <c r="B159" t="s">
        <v>1233</v>
      </c>
      <c r="C159" t="s">
        <v>732</v>
      </c>
      <c r="D159" s="2">
        <v>45240</v>
      </c>
      <c r="E159" t="s">
        <v>305</v>
      </c>
      <c r="F159" t="str">
        <f>VLOOKUP($C159,Product_Dim!$A$2:$D$101,3,FALSE)</f>
        <v>Hernandez Inc</v>
      </c>
      <c r="G159" t="str">
        <f>VLOOKUP($C159,Product_Dim!$A$2:$D$101,2,FALSE)</f>
        <v>Home</v>
      </c>
      <c r="H159">
        <v>3</v>
      </c>
      <c r="I159">
        <v>636.03</v>
      </c>
      <c r="J159">
        <v>0.06</v>
      </c>
      <c r="K159" s="3">
        <v>1793.6045999999999</v>
      </c>
      <c r="L159" t="s">
        <v>857</v>
      </c>
      <c r="M159" t="str">
        <f>VLOOKUP($E159,Customer_Dim!$A$2:$F$501,3,FALSE)</f>
        <v>Female</v>
      </c>
      <c r="N159" t="str">
        <f>VLOOKUP($E159,Customer_Dim!$A$2:$F$501,5,FALSE)</f>
        <v>USA</v>
      </c>
      <c r="O159" t="str">
        <f>VLOOKUP($E159,Customer_Dim!$A$2:$F$501,6,FALSE)</f>
        <v>Platinum</v>
      </c>
      <c r="P159" t="str">
        <f>VLOOKUP($A159,Store_Dim!$A$2:$F$21,3,FALSE)</f>
        <v>NorthDanielmouth</v>
      </c>
    </row>
    <row r="160" spans="1:16" x14ac:dyDescent="0.25">
      <c r="A160" t="s">
        <v>785</v>
      </c>
      <c r="B160" t="s">
        <v>888</v>
      </c>
      <c r="C160" t="s">
        <v>734</v>
      </c>
      <c r="D160" s="2">
        <v>45215</v>
      </c>
      <c r="E160" t="s">
        <v>411</v>
      </c>
      <c r="F160" t="str">
        <f>VLOOKUP($C160,Product_Dim!$A$2:$D$101,3,FALSE)</f>
        <v>Ramirez-Hanson</v>
      </c>
      <c r="G160" t="str">
        <f>VLOOKUP($C160,Product_Dim!$A$2:$D$101,2,FALSE)</f>
        <v>Home</v>
      </c>
      <c r="H160" s="4">
        <f>K160/(I160-J160)</f>
        <v>2.4605071932557498</v>
      </c>
      <c r="I160">
        <v>873.22</v>
      </c>
      <c r="J160">
        <v>0.18</v>
      </c>
      <c r="K160" s="3">
        <v>2148.1212</v>
      </c>
      <c r="L160" t="s">
        <v>852</v>
      </c>
      <c r="M160" t="str">
        <f>VLOOKUP($E160,Customer_Dim!$A$2:$F$501,3,FALSE)</f>
        <v>Male</v>
      </c>
      <c r="N160" t="str">
        <f>VLOOKUP($E160,Customer_Dim!$A$2:$F$501,5,FALSE)</f>
        <v>USA</v>
      </c>
      <c r="O160" t="str">
        <f>VLOOKUP($E160,Customer_Dim!$A$2:$F$501,6,FALSE)</f>
        <v>Gold</v>
      </c>
      <c r="P160" t="str">
        <f>VLOOKUP($A160,Store_Dim!$A$2:$F$21,3,FALSE)</f>
        <v>NorthDanielmouth</v>
      </c>
    </row>
    <row r="161" spans="1:16" hidden="1" x14ac:dyDescent="0.25">
      <c r="A161" t="s">
        <v>785</v>
      </c>
      <c r="B161" t="s">
        <v>1955</v>
      </c>
      <c r="C161" t="s">
        <v>590</v>
      </c>
      <c r="D161" s="2">
        <v>45641</v>
      </c>
      <c r="E161" t="s">
        <v>172</v>
      </c>
      <c r="F161" t="str">
        <f>VLOOKUP($C161,Product_Dim!$A$2:$D$101,3,FALSE)</f>
        <v>Perez-Johnston</v>
      </c>
      <c r="G161" t="str">
        <f>VLOOKUP($C161,Product_Dim!$A$2:$D$101,2,FALSE)</f>
        <v>Electronics</v>
      </c>
      <c r="H161">
        <v>3</v>
      </c>
      <c r="I161">
        <v>324.29000000000002</v>
      </c>
      <c r="J161">
        <v>0.16</v>
      </c>
      <c r="K161" s="3">
        <v>817.21080000000006</v>
      </c>
      <c r="L161" t="s">
        <v>857</v>
      </c>
      <c r="M161" t="str">
        <f>VLOOKUP($E161,Customer_Dim!$A$2:$F$501,3,FALSE)</f>
        <v>Female</v>
      </c>
      <c r="N161" t="str">
        <f>VLOOKUP($E161,Customer_Dim!$A$2:$F$501,5,FALSE)</f>
        <v>USA</v>
      </c>
      <c r="O161" t="str">
        <f>VLOOKUP($E161,Customer_Dim!$A$2:$F$501,6,FALSE)</f>
        <v>Gold</v>
      </c>
      <c r="P161" t="str">
        <f>VLOOKUP($A161,Store_Dim!$A$2:$F$21,3,FALSE)</f>
        <v>NorthDanielmouth</v>
      </c>
    </row>
    <row r="162" spans="1:16" x14ac:dyDescent="0.25">
      <c r="A162" t="s">
        <v>785</v>
      </c>
      <c r="B162" t="s">
        <v>1645</v>
      </c>
      <c r="C162" t="s">
        <v>590</v>
      </c>
      <c r="D162" s="2">
        <v>45320</v>
      </c>
      <c r="E162" t="s">
        <v>198</v>
      </c>
      <c r="F162" t="str">
        <f>VLOOKUP($C162,Product_Dim!$A$2:$D$101,3,FALSE)</f>
        <v>Perez-Johnston</v>
      </c>
      <c r="G162" t="str">
        <f>VLOOKUP($C162,Product_Dim!$A$2:$D$101,2,FALSE)</f>
        <v>Electronics</v>
      </c>
      <c r="H162">
        <v>2</v>
      </c>
      <c r="I162">
        <v>443.09</v>
      </c>
      <c r="J162">
        <v>0.02</v>
      </c>
      <c r="K162" s="3">
        <v>868.45639999999992</v>
      </c>
      <c r="L162" t="s">
        <v>854</v>
      </c>
      <c r="M162" t="str">
        <f>VLOOKUP($E162,Customer_Dim!$A$2:$F$501,3,FALSE)</f>
        <v>Male</v>
      </c>
      <c r="N162" t="str">
        <f>VLOOKUP($E162,Customer_Dim!$A$2:$F$501,5,FALSE)</f>
        <v>USA</v>
      </c>
      <c r="O162" t="str">
        <f>VLOOKUP($E162,Customer_Dim!$A$2:$F$501,6,FALSE)</f>
        <v>Gold</v>
      </c>
      <c r="P162" t="str">
        <f>VLOOKUP($A162,Store_Dim!$A$2:$F$21,3,FALSE)</f>
        <v>NorthDanielmouth</v>
      </c>
    </row>
    <row r="163" spans="1:16" hidden="1" x14ac:dyDescent="0.25">
      <c r="A163" t="s">
        <v>785</v>
      </c>
      <c r="B163" t="s">
        <v>1550</v>
      </c>
      <c r="C163" t="s">
        <v>590</v>
      </c>
      <c r="D163" s="2">
        <v>45365</v>
      </c>
      <c r="E163" t="s">
        <v>262</v>
      </c>
      <c r="F163" t="str">
        <f>VLOOKUP($C163,Product_Dim!$A$2:$D$101,3,FALSE)</f>
        <v>Perez-Johnston</v>
      </c>
      <c r="G163" t="str">
        <f>VLOOKUP($C163,Product_Dim!$A$2:$D$101,2,FALSE)</f>
        <v>Electronics</v>
      </c>
      <c r="H163">
        <v>4</v>
      </c>
      <c r="I163">
        <v>167.83</v>
      </c>
      <c r="J163">
        <v>0.15</v>
      </c>
      <c r="K163" s="3">
        <v>570.62200000000007</v>
      </c>
      <c r="L163" t="s">
        <v>852</v>
      </c>
      <c r="M163" t="str">
        <f>VLOOKUP($E163,Customer_Dim!$A$2:$F$501,3,FALSE)</f>
        <v>Female</v>
      </c>
      <c r="N163" t="str">
        <f>VLOOKUP($E163,Customer_Dim!$A$2:$F$501,5,FALSE)</f>
        <v>USA</v>
      </c>
      <c r="O163" t="str">
        <f>VLOOKUP($E163,Customer_Dim!$A$2:$F$501,6,FALSE)</f>
        <v>Platinum</v>
      </c>
      <c r="P163" t="str">
        <f>VLOOKUP($A163,Store_Dim!$A$2:$F$21,3,FALSE)</f>
        <v>NorthDanielmouth</v>
      </c>
    </row>
    <row r="164" spans="1:16" hidden="1" x14ac:dyDescent="0.25">
      <c r="A164" t="s">
        <v>785</v>
      </c>
      <c r="B164" t="s">
        <v>2017</v>
      </c>
      <c r="C164" t="s">
        <v>738</v>
      </c>
      <c r="D164" s="2">
        <v>45691</v>
      </c>
      <c r="E164" t="s">
        <v>308</v>
      </c>
      <c r="F164" t="str">
        <f>VLOOKUP($C164,Product_Dim!$A$2:$D$101,3,FALSE)</f>
        <v>Robinson-Brown</v>
      </c>
      <c r="G164" t="str">
        <f>VLOOKUP($C164,Product_Dim!$A$2:$D$101,2,FALSE)</f>
        <v>Sports</v>
      </c>
      <c r="H164">
        <v>1</v>
      </c>
      <c r="I164">
        <v>791.83</v>
      </c>
      <c r="J164">
        <v>0.28000000000000003</v>
      </c>
      <c r="K164" s="3">
        <v>570.11760000000004</v>
      </c>
      <c r="L164" t="s">
        <v>854</v>
      </c>
      <c r="M164" t="str">
        <f>VLOOKUP($E164,Customer_Dim!$A$2:$F$501,3,FALSE)</f>
        <v>Female</v>
      </c>
      <c r="N164" t="str">
        <f>VLOOKUP($E164,Customer_Dim!$A$2:$F$501,5,FALSE)</f>
        <v>USA</v>
      </c>
      <c r="O164" t="str">
        <f>VLOOKUP($E164,Customer_Dim!$A$2:$F$501,6,FALSE)</f>
        <v>Silver</v>
      </c>
      <c r="P164" t="str">
        <f>VLOOKUP($A164,Store_Dim!$A$2:$F$21,3,FALSE)</f>
        <v>NorthDanielmouth</v>
      </c>
    </row>
    <row r="165" spans="1:16" x14ac:dyDescent="0.25">
      <c r="A165" t="s">
        <v>785</v>
      </c>
      <c r="B165" t="s">
        <v>1782</v>
      </c>
      <c r="C165" t="s">
        <v>738</v>
      </c>
      <c r="D165" s="2">
        <v>45637</v>
      </c>
      <c r="E165" t="s">
        <v>448</v>
      </c>
      <c r="F165" t="str">
        <f>VLOOKUP($C165,Product_Dim!$A$2:$D$101,3,FALSE)</f>
        <v>Robinson-Brown</v>
      </c>
      <c r="G165" t="str">
        <f>VLOOKUP($C165,Product_Dim!$A$2:$D$101,2,FALSE)</f>
        <v>Sports</v>
      </c>
      <c r="H165">
        <v>3</v>
      </c>
      <c r="I165">
        <v>138.86000000000001</v>
      </c>
      <c r="J165">
        <v>0.11</v>
      </c>
      <c r="K165" s="3">
        <v>370.75619999999998</v>
      </c>
      <c r="L165" t="s">
        <v>854</v>
      </c>
      <c r="M165" t="str">
        <f>VLOOKUP($E165,Customer_Dim!$A$2:$F$501,3,FALSE)</f>
        <v>Male</v>
      </c>
      <c r="N165" t="str">
        <f>VLOOKUP($E165,Customer_Dim!$A$2:$F$501,5,FALSE)</f>
        <v>USA</v>
      </c>
      <c r="O165" t="str">
        <f>VLOOKUP($E165,Customer_Dim!$A$2:$F$501,6,FALSE)</f>
        <v>Silver</v>
      </c>
      <c r="P165" t="str">
        <f>VLOOKUP($A165,Store_Dim!$A$2:$F$21,3,FALSE)</f>
        <v>NorthDanielmouth</v>
      </c>
    </row>
    <row r="166" spans="1:16" hidden="1" x14ac:dyDescent="0.25">
      <c r="A166" t="s">
        <v>785</v>
      </c>
      <c r="B166" t="s">
        <v>2703</v>
      </c>
      <c r="C166" t="s">
        <v>740</v>
      </c>
      <c r="D166" s="2">
        <v>45556</v>
      </c>
      <c r="E166" t="s">
        <v>366</v>
      </c>
      <c r="F166" t="str">
        <f>VLOOKUP($C166,Product_Dim!$A$2:$D$101,3,FALSE)</f>
        <v>Reese-Watson</v>
      </c>
      <c r="G166" t="str">
        <f>VLOOKUP($C166,Product_Dim!$A$2:$D$101,2,FALSE)</f>
        <v>Sports</v>
      </c>
      <c r="H166">
        <v>4</v>
      </c>
      <c r="I166">
        <v>740.5</v>
      </c>
      <c r="J166">
        <v>0.17</v>
      </c>
      <c r="K166" s="3">
        <v>2458.46</v>
      </c>
      <c r="L166" t="s">
        <v>854</v>
      </c>
      <c r="M166" t="str">
        <f>VLOOKUP($E166,Customer_Dim!$A$2:$F$501,3,FALSE)</f>
        <v>Female</v>
      </c>
      <c r="N166" t="str">
        <f>VLOOKUP($E166,Customer_Dim!$A$2:$F$501,5,FALSE)</f>
        <v>USA</v>
      </c>
      <c r="O166" t="str">
        <f>VLOOKUP($E166,Customer_Dim!$A$2:$F$501,6,FALSE)</f>
        <v>Platinum</v>
      </c>
      <c r="P166" t="str">
        <f>VLOOKUP($A166,Store_Dim!$A$2:$F$21,3,FALSE)</f>
        <v>NorthDanielmouth</v>
      </c>
    </row>
    <row r="167" spans="1:16" hidden="1" x14ac:dyDescent="0.25">
      <c r="A167" t="s">
        <v>785</v>
      </c>
      <c r="B167" t="s">
        <v>1996</v>
      </c>
      <c r="C167" t="s">
        <v>742</v>
      </c>
      <c r="D167" s="2">
        <v>45608</v>
      </c>
      <c r="E167" t="s">
        <v>363</v>
      </c>
      <c r="F167" t="str">
        <f>VLOOKUP($C167,Product_Dim!$A$2:$D$101,3,FALSE)</f>
        <v>Butler Group</v>
      </c>
      <c r="G167" t="str">
        <f>VLOOKUP($C167,Product_Dim!$A$2:$D$101,2,FALSE)</f>
        <v>Beauty</v>
      </c>
      <c r="H167">
        <v>3</v>
      </c>
      <c r="I167">
        <v>460.93</v>
      </c>
      <c r="J167">
        <v>0.19</v>
      </c>
      <c r="K167" s="3">
        <v>1120.0599</v>
      </c>
      <c r="L167" t="s">
        <v>857</v>
      </c>
      <c r="M167" t="str">
        <f>VLOOKUP($E167,Customer_Dim!$A$2:$F$501,3,FALSE)</f>
        <v>Female</v>
      </c>
      <c r="N167" t="str">
        <f>VLOOKUP($E167,Customer_Dim!$A$2:$F$501,5,FALSE)</f>
        <v>USA</v>
      </c>
      <c r="O167" t="str">
        <f>VLOOKUP($E167,Customer_Dim!$A$2:$F$501,6,FALSE)</f>
        <v>Bronze</v>
      </c>
      <c r="P167" t="str">
        <f>VLOOKUP($A167,Store_Dim!$A$2:$F$21,3,FALSE)</f>
        <v>NorthDanielmouth</v>
      </c>
    </row>
    <row r="168" spans="1:16" x14ac:dyDescent="0.25">
      <c r="A168" t="s">
        <v>785</v>
      </c>
      <c r="B168" t="s">
        <v>1942</v>
      </c>
      <c r="C168" t="s">
        <v>744</v>
      </c>
      <c r="D168" s="2">
        <v>45284</v>
      </c>
      <c r="E168" t="s">
        <v>317</v>
      </c>
      <c r="F168" t="str">
        <f>VLOOKUP($C168,Product_Dim!$A$2:$D$101,3,FALSE)</f>
        <v>Collins-Stephenson</v>
      </c>
      <c r="G168" t="str">
        <f>VLOOKUP($C168,Product_Dim!$A$2:$D$101,2,FALSE)</f>
        <v>Home</v>
      </c>
      <c r="H168">
        <v>3</v>
      </c>
      <c r="I168">
        <v>204.77</v>
      </c>
      <c r="J168">
        <v>0.14000000000000001</v>
      </c>
      <c r="K168" s="3">
        <v>528.3066</v>
      </c>
      <c r="L168" t="s">
        <v>852</v>
      </c>
      <c r="M168" t="str">
        <f>VLOOKUP($E168,Customer_Dim!$A$2:$F$501,3,FALSE)</f>
        <v>Male</v>
      </c>
      <c r="N168" t="str">
        <f>VLOOKUP($E168,Customer_Dim!$A$2:$F$501,5,FALSE)</f>
        <v>USA</v>
      </c>
      <c r="O168" t="str">
        <f>VLOOKUP($E168,Customer_Dim!$A$2:$F$501,6,FALSE)</f>
        <v>Silver</v>
      </c>
      <c r="P168" t="str">
        <f>VLOOKUP($A168,Store_Dim!$A$2:$F$21,3,FALSE)</f>
        <v>NorthDanielmouth</v>
      </c>
    </row>
    <row r="169" spans="1:16" x14ac:dyDescent="0.25">
      <c r="A169" t="s">
        <v>785</v>
      </c>
      <c r="B169" t="s">
        <v>1953</v>
      </c>
      <c r="C169" t="s">
        <v>746</v>
      </c>
      <c r="D169" s="2">
        <v>45631</v>
      </c>
      <c r="E169" t="s">
        <v>535</v>
      </c>
      <c r="F169" t="str">
        <f>VLOOKUP($C169,Product_Dim!$A$2:$D$101,3,FALSE)</f>
        <v>Richardson-Carrillo</v>
      </c>
      <c r="G169" t="str">
        <f>VLOOKUP($C169,Product_Dim!$A$2:$D$101,2,FALSE)</f>
        <v>Clothing</v>
      </c>
      <c r="H169">
        <v>1</v>
      </c>
      <c r="I169">
        <v>784.46</v>
      </c>
      <c r="J169">
        <v>0.14000000000000001</v>
      </c>
      <c r="K169" s="3">
        <v>674.63560000000007</v>
      </c>
      <c r="L169" t="s">
        <v>857</v>
      </c>
      <c r="M169" t="str">
        <f>VLOOKUP($E169,Customer_Dim!$A$2:$F$501,3,FALSE)</f>
        <v>Male</v>
      </c>
      <c r="N169" t="str">
        <f>VLOOKUP($E169,Customer_Dim!$A$2:$F$501,5,FALSE)</f>
        <v>USA</v>
      </c>
      <c r="O169" t="str">
        <f>VLOOKUP($E169,Customer_Dim!$A$2:$F$501,6,FALSE)</f>
        <v>Bronze</v>
      </c>
      <c r="P169" t="str">
        <f>VLOOKUP($A169,Store_Dim!$A$2:$F$21,3,FALSE)</f>
        <v>NorthDanielmouth</v>
      </c>
    </row>
    <row r="170" spans="1:16" hidden="1" x14ac:dyDescent="0.25">
      <c r="A170" t="s">
        <v>785</v>
      </c>
      <c r="B170" t="s">
        <v>2521</v>
      </c>
      <c r="C170" t="s">
        <v>748</v>
      </c>
      <c r="D170" s="2">
        <v>45860</v>
      </c>
      <c r="E170" t="s">
        <v>379</v>
      </c>
      <c r="F170" t="str">
        <f>VLOOKUP($C170,Product_Dim!$A$2:$D$101,3,FALSE)</f>
        <v>Taylor, Dodson and Johnston</v>
      </c>
      <c r="G170" t="str">
        <f>VLOOKUP($C170,Product_Dim!$A$2:$D$101,2,FALSE)</f>
        <v>Home</v>
      </c>
      <c r="H170">
        <v>1</v>
      </c>
      <c r="I170">
        <v>119.04</v>
      </c>
      <c r="J170">
        <v>0.13</v>
      </c>
      <c r="K170" s="3">
        <v>103.56480000000001</v>
      </c>
      <c r="L170" t="s">
        <v>857</v>
      </c>
      <c r="M170" t="str">
        <f>VLOOKUP($E170,Customer_Dim!$A$2:$F$501,3,FALSE)</f>
        <v>Female</v>
      </c>
      <c r="N170" t="str">
        <f>VLOOKUP($E170,Customer_Dim!$A$2:$F$501,5,FALSE)</f>
        <v>USA</v>
      </c>
      <c r="O170" t="str">
        <f>VLOOKUP($E170,Customer_Dim!$A$2:$F$501,6,FALSE)</f>
        <v>Silver</v>
      </c>
      <c r="P170" t="str">
        <f>VLOOKUP($A170,Store_Dim!$A$2:$F$21,3,FALSE)</f>
        <v>NorthDanielmouth</v>
      </c>
    </row>
    <row r="171" spans="1:16" x14ac:dyDescent="0.25">
      <c r="A171" t="s">
        <v>785</v>
      </c>
      <c r="B171" t="s">
        <v>1316</v>
      </c>
      <c r="C171" t="s">
        <v>750</v>
      </c>
      <c r="D171" s="2">
        <v>45279</v>
      </c>
      <c r="E171" t="s">
        <v>332</v>
      </c>
      <c r="F171" t="str">
        <f>VLOOKUP($C171,Product_Dim!$A$2:$D$101,3,FALSE)</f>
        <v>Aguilar, Horton and Lewis</v>
      </c>
      <c r="G171" t="str">
        <f>VLOOKUP($C171,Product_Dim!$A$2:$D$101,2,FALSE)</f>
        <v>Home</v>
      </c>
      <c r="H171">
        <v>2</v>
      </c>
      <c r="I171">
        <v>291.83999999999997</v>
      </c>
      <c r="J171">
        <v>0.25</v>
      </c>
      <c r="K171" s="3">
        <v>437.76</v>
      </c>
      <c r="L171" t="s">
        <v>854</v>
      </c>
      <c r="M171" t="str">
        <f>VLOOKUP($E171,Customer_Dim!$A$2:$F$501,3,FALSE)</f>
        <v>Male</v>
      </c>
      <c r="N171" t="str">
        <f>VLOOKUP($E171,Customer_Dim!$A$2:$F$501,5,FALSE)</f>
        <v>USA</v>
      </c>
      <c r="O171" t="str">
        <f>VLOOKUP($E171,Customer_Dim!$A$2:$F$501,6,FALSE)</f>
        <v>Silver</v>
      </c>
      <c r="P171" t="str">
        <f>VLOOKUP($A171,Store_Dim!$A$2:$F$21,3,FALSE)</f>
        <v>NorthDanielmouth</v>
      </c>
    </row>
    <row r="172" spans="1:16" x14ac:dyDescent="0.25">
      <c r="A172" t="s">
        <v>785</v>
      </c>
      <c r="B172" t="s">
        <v>2114</v>
      </c>
      <c r="C172" t="s">
        <v>750</v>
      </c>
      <c r="D172" s="2">
        <v>45323</v>
      </c>
      <c r="E172" t="s">
        <v>430</v>
      </c>
      <c r="F172" t="str">
        <f>VLOOKUP($C172,Product_Dim!$A$2:$D$101,3,FALSE)</f>
        <v>Aguilar, Horton and Lewis</v>
      </c>
      <c r="G172" t="str">
        <f>VLOOKUP($C172,Product_Dim!$A$2:$D$101,2,FALSE)</f>
        <v>Home</v>
      </c>
      <c r="H172">
        <v>4</v>
      </c>
      <c r="I172">
        <v>800</v>
      </c>
      <c r="J172">
        <v>0.2</v>
      </c>
      <c r="K172" s="3">
        <v>2560</v>
      </c>
      <c r="L172" t="s">
        <v>852</v>
      </c>
      <c r="M172" t="str">
        <f>VLOOKUP($E172,Customer_Dim!$A$2:$F$501,3,FALSE)</f>
        <v>Male</v>
      </c>
      <c r="N172" t="str">
        <f>VLOOKUP($E172,Customer_Dim!$A$2:$F$501,5,FALSE)</f>
        <v>USA</v>
      </c>
      <c r="O172" t="str">
        <f>VLOOKUP($E172,Customer_Dim!$A$2:$F$501,6,FALSE)</f>
        <v>Bronze</v>
      </c>
      <c r="P172" t="str">
        <f>VLOOKUP($A172,Store_Dim!$A$2:$F$21,3,FALSE)</f>
        <v>NorthDanielmouth</v>
      </c>
    </row>
    <row r="173" spans="1:16" hidden="1" x14ac:dyDescent="0.25">
      <c r="A173" t="s">
        <v>785</v>
      </c>
      <c r="B173" t="s">
        <v>2400</v>
      </c>
      <c r="C173" t="s">
        <v>752</v>
      </c>
      <c r="D173" s="2">
        <v>45839</v>
      </c>
      <c r="E173" t="s">
        <v>156</v>
      </c>
      <c r="F173" t="str">
        <f>VLOOKUP($C173,Product_Dim!$A$2:$D$101,3,FALSE)</f>
        <v>Olsen-Daniels</v>
      </c>
      <c r="G173" t="str">
        <f>VLOOKUP($C173,Product_Dim!$A$2:$D$101,2,FALSE)</f>
        <v>Sports</v>
      </c>
      <c r="H173">
        <v>1</v>
      </c>
      <c r="I173">
        <v>149.56</v>
      </c>
      <c r="J173">
        <v>0.09</v>
      </c>
      <c r="K173" s="3">
        <v>136.09960000000001</v>
      </c>
      <c r="L173" t="s">
        <v>852</v>
      </c>
      <c r="M173" t="str">
        <f>VLOOKUP($E173,Customer_Dim!$A$2:$F$501,3,FALSE)</f>
        <v>Female</v>
      </c>
      <c r="N173" t="str">
        <f>VLOOKUP($E173,Customer_Dim!$A$2:$F$501,5,FALSE)</f>
        <v>USA</v>
      </c>
      <c r="O173" t="str">
        <f>VLOOKUP($E173,Customer_Dim!$A$2:$F$501,6,FALSE)</f>
        <v>Platinum</v>
      </c>
      <c r="P173" t="str">
        <f>VLOOKUP($A173,Store_Dim!$A$2:$F$21,3,FALSE)</f>
        <v>NorthDanielmouth</v>
      </c>
    </row>
    <row r="174" spans="1:16" x14ac:dyDescent="0.25">
      <c r="A174" t="s">
        <v>785</v>
      </c>
      <c r="B174" t="s">
        <v>1214</v>
      </c>
      <c r="C174" t="s">
        <v>752</v>
      </c>
      <c r="D174" s="2">
        <v>45610</v>
      </c>
      <c r="E174" t="s">
        <v>170</v>
      </c>
      <c r="F174" t="str">
        <f>VLOOKUP($C174,Product_Dim!$A$2:$D$101,3,FALSE)</f>
        <v>Olsen-Daniels</v>
      </c>
      <c r="G174" t="str">
        <f>VLOOKUP($C174,Product_Dim!$A$2:$D$101,2,FALSE)</f>
        <v>Sports</v>
      </c>
      <c r="H174">
        <v>4</v>
      </c>
      <c r="I174">
        <v>677.25</v>
      </c>
      <c r="J174">
        <v>0.14000000000000001</v>
      </c>
      <c r="K174" s="3">
        <v>2329.7399999999998</v>
      </c>
      <c r="L174" t="s">
        <v>854</v>
      </c>
      <c r="M174" t="str">
        <f>VLOOKUP($E174,Customer_Dim!$A$2:$F$501,3,FALSE)</f>
        <v>Male</v>
      </c>
      <c r="N174" t="str">
        <f>VLOOKUP($E174,Customer_Dim!$A$2:$F$501,5,FALSE)</f>
        <v>USA</v>
      </c>
      <c r="O174" t="str">
        <f>VLOOKUP($E174,Customer_Dim!$A$2:$F$501,6,FALSE)</f>
        <v>Bronze</v>
      </c>
      <c r="P174" t="str">
        <f>VLOOKUP($A174,Store_Dim!$A$2:$F$21,3,FALSE)</f>
        <v>NorthDanielmouth</v>
      </c>
    </row>
    <row r="175" spans="1:16" x14ac:dyDescent="0.25">
      <c r="A175" t="s">
        <v>785</v>
      </c>
      <c r="B175" t="s">
        <v>2251</v>
      </c>
      <c r="C175" t="s">
        <v>752</v>
      </c>
      <c r="D175" s="2">
        <v>45873</v>
      </c>
      <c r="E175" t="s">
        <v>426</v>
      </c>
      <c r="F175" t="str">
        <f>VLOOKUP($C175,Product_Dim!$A$2:$D$101,3,FALSE)</f>
        <v>Olsen-Daniels</v>
      </c>
      <c r="G175" t="str">
        <f>VLOOKUP($C175,Product_Dim!$A$2:$D$101,2,FALSE)</f>
        <v>Sports</v>
      </c>
      <c r="H175">
        <v>3</v>
      </c>
      <c r="I175">
        <v>642.94000000000005</v>
      </c>
      <c r="J175">
        <v>0.05</v>
      </c>
      <c r="K175" s="3">
        <v>1832.3789999999999</v>
      </c>
      <c r="L175" t="s">
        <v>857</v>
      </c>
      <c r="M175" t="str">
        <f>VLOOKUP($E175,Customer_Dim!$A$2:$F$501,3,FALSE)</f>
        <v>Male</v>
      </c>
      <c r="N175" t="str">
        <f>VLOOKUP($E175,Customer_Dim!$A$2:$F$501,5,FALSE)</f>
        <v>USA</v>
      </c>
      <c r="O175" t="str">
        <f>VLOOKUP($E175,Customer_Dim!$A$2:$F$501,6,FALSE)</f>
        <v>Silver</v>
      </c>
      <c r="P175" t="str">
        <f>VLOOKUP($A175,Store_Dim!$A$2:$F$21,3,FALSE)</f>
        <v>NorthDanielmouth</v>
      </c>
    </row>
    <row r="176" spans="1:16" x14ac:dyDescent="0.25">
      <c r="A176" t="s">
        <v>785</v>
      </c>
      <c r="B176" t="s">
        <v>2316</v>
      </c>
      <c r="C176" t="s">
        <v>754</v>
      </c>
      <c r="D176" s="2">
        <v>45240</v>
      </c>
      <c r="E176" t="s">
        <v>402</v>
      </c>
      <c r="F176" t="str">
        <f>VLOOKUP($C176,Product_Dim!$A$2:$D$101,3,FALSE)</f>
        <v>Taylor-Elliott</v>
      </c>
      <c r="G176" t="str">
        <f>VLOOKUP($C176,Product_Dim!$A$2:$D$101,2,FALSE)</f>
        <v>Beauty</v>
      </c>
      <c r="H176">
        <v>1</v>
      </c>
      <c r="I176">
        <v>122.27</v>
      </c>
      <c r="J176">
        <v>0.26</v>
      </c>
      <c r="K176" s="3">
        <v>90.479799999999997</v>
      </c>
      <c r="L176" t="s">
        <v>854</v>
      </c>
      <c r="M176" t="str">
        <f>VLOOKUP($E176,Customer_Dim!$A$2:$F$501,3,FALSE)</f>
        <v>Male</v>
      </c>
      <c r="N176" t="str">
        <f>VLOOKUP($E176,Customer_Dim!$A$2:$F$501,5,FALSE)</f>
        <v>USA</v>
      </c>
      <c r="O176" t="str">
        <f>VLOOKUP($E176,Customer_Dim!$A$2:$F$501,6,FALSE)</f>
        <v>Platinum</v>
      </c>
      <c r="P176" t="str">
        <f>VLOOKUP($A176,Store_Dim!$A$2:$F$21,3,FALSE)</f>
        <v>NorthDanielmouth</v>
      </c>
    </row>
    <row r="177" spans="1:16" hidden="1" x14ac:dyDescent="0.25">
      <c r="A177" t="s">
        <v>785</v>
      </c>
      <c r="B177" t="s">
        <v>1152</v>
      </c>
      <c r="C177" t="s">
        <v>756</v>
      </c>
      <c r="D177" s="2">
        <v>45583</v>
      </c>
      <c r="E177" t="s">
        <v>116</v>
      </c>
      <c r="F177" t="str">
        <f>VLOOKUP($C177,Product_Dim!$A$2:$D$101,3,FALSE)</f>
        <v>Sharp, Taylor and Rodriguez</v>
      </c>
      <c r="G177" t="str">
        <f>VLOOKUP($C177,Product_Dim!$A$2:$D$101,2,FALSE)</f>
        <v>Electronics</v>
      </c>
      <c r="H177">
        <v>4</v>
      </c>
      <c r="I177">
        <v>61.98</v>
      </c>
      <c r="J177">
        <v>0.16</v>
      </c>
      <c r="K177" s="3">
        <v>208.25280000000001</v>
      </c>
      <c r="L177" t="s">
        <v>852</v>
      </c>
      <c r="M177" t="str">
        <f>VLOOKUP($E177,Customer_Dim!$A$2:$F$501,3,FALSE)</f>
        <v>Female</v>
      </c>
      <c r="N177" t="str">
        <f>VLOOKUP($E177,Customer_Dim!$A$2:$F$501,5,FALSE)</f>
        <v>USA</v>
      </c>
      <c r="O177" t="str">
        <f>VLOOKUP($E177,Customer_Dim!$A$2:$F$501,6,FALSE)</f>
        <v>Silver</v>
      </c>
      <c r="P177" t="str">
        <f>VLOOKUP($A177,Store_Dim!$A$2:$F$21,3,FALSE)</f>
        <v>NorthDanielmouth</v>
      </c>
    </row>
    <row r="178" spans="1:16" hidden="1" x14ac:dyDescent="0.25">
      <c r="A178" t="s">
        <v>785</v>
      </c>
      <c r="B178" t="s">
        <v>1496</v>
      </c>
      <c r="C178" t="s">
        <v>756</v>
      </c>
      <c r="D178" s="2">
        <v>45711</v>
      </c>
      <c r="E178" t="s">
        <v>210</v>
      </c>
      <c r="F178" t="str">
        <f>VLOOKUP($C178,Product_Dim!$A$2:$D$101,3,FALSE)</f>
        <v>Sharp, Taylor and Rodriguez</v>
      </c>
      <c r="G178" t="str">
        <f>VLOOKUP($C178,Product_Dim!$A$2:$D$101,2,FALSE)</f>
        <v>Electronics</v>
      </c>
      <c r="H178">
        <v>3</v>
      </c>
      <c r="I178">
        <v>853.32</v>
      </c>
      <c r="J178">
        <v>7.0000000000000007E-2</v>
      </c>
      <c r="K178" s="3">
        <v>2380.7628</v>
      </c>
      <c r="L178" t="s">
        <v>857</v>
      </c>
      <c r="M178" t="str">
        <f>VLOOKUP($E178,Customer_Dim!$A$2:$F$501,3,FALSE)</f>
        <v>Female</v>
      </c>
      <c r="N178" t="str">
        <f>VLOOKUP($E178,Customer_Dim!$A$2:$F$501,5,FALSE)</f>
        <v>USA</v>
      </c>
      <c r="O178" t="str">
        <f>VLOOKUP($E178,Customer_Dim!$A$2:$F$501,6,FALSE)</f>
        <v>Gold</v>
      </c>
      <c r="P178" t="str">
        <f>VLOOKUP($A178,Store_Dim!$A$2:$F$21,3,FALSE)</f>
        <v>NorthDanielmouth</v>
      </c>
    </row>
    <row r="179" spans="1:16" hidden="1" x14ac:dyDescent="0.25">
      <c r="A179" t="s">
        <v>785</v>
      </c>
      <c r="B179" t="s">
        <v>2276</v>
      </c>
      <c r="C179" t="s">
        <v>756</v>
      </c>
      <c r="D179" s="2">
        <v>45807</v>
      </c>
      <c r="E179" t="s">
        <v>464</v>
      </c>
      <c r="F179" t="str">
        <f>VLOOKUP($C179,Product_Dim!$A$2:$D$101,3,FALSE)</f>
        <v>Sharp, Taylor and Rodriguez</v>
      </c>
      <c r="G179" t="str">
        <f>VLOOKUP($C179,Product_Dim!$A$2:$D$101,2,FALSE)</f>
        <v>Electronics</v>
      </c>
      <c r="H179">
        <v>2</v>
      </c>
      <c r="I179">
        <v>410</v>
      </c>
      <c r="J179">
        <v>0.13</v>
      </c>
      <c r="K179" s="3">
        <v>713.4</v>
      </c>
      <c r="L179" t="s">
        <v>857</v>
      </c>
      <c r="M179" t="str">
        <f>VLOOKUP($E179,Customer_Dim!$A$2:$F$501,3,FALSE)</f>
        <v>Female</v>
      </c>
      <c r="N179" t="str">
        <f>VLOOKUP($E179,Customer_Dim!$A$2:$F$501,5,FALSE)</f>
        <v>USA</v>
      </c>
      <c r="O179" t="str">
        <f>VLOOKUP($E179,Customer_Dim!$A$2:$F$501,6,FALSE)</f>
        <v>Platinum</v>
      </c>
      <c r="P179" t="str">
        <f>VLOOKUP($A179,Store_Dim!$A$2:$F$21,3,FALSE)</f>
        <v>NorthDanielmouth</v>
      </c>
    </row>
    <row r="180" spans="1:16" x14ac:dyDescent="0.25">
      <c r="A180" t="s">
        <v>785</v>
      </c>
      <c r="B180" t="s">
        <v>1161</v>
      </c>
      <c r="C180" t="s">
        <v>756</v>
      </c>
      <c r="D180" s="2">
        <v>45842</v>
      </c>
      <c r="E180" t="s">
        <v>518</v>
      </c>
      <c r="F180" t="str">
        <f>VLOOKUP($C180,Product_Dim!$A$2:$D$101,3,FALSE)</f>
        <v>Sharp, Taylor and Rodriguez</v>
      </c>
      <c r="G180" t="str">
        <f>VLOOKUP($C180,Product_Dim!$A$2:$D$101,2,FALSE)</f>
        <v>Electronics</v>
      </c>
      <c r="H180">
        <v>3</v>
      </c>
      <c r="I180">
        <v>135.94</v>
      </c>
      <c r="J180">
        <v>0.2</v>
      </c>
      <c r="K180" s="3">
        <v>326.25599999999997</v>
      </c>
      <c r="L180" t="s">
        <v>852</v>
      </c>
      <c r="M180" t="str">
        <f>VLOOKUP($E180,Customer_Dim!$A$2:$F$501,3,FALSE)</f>
        <v>Male</v>
      </c>
      <c r="N180" t="str">
        <f>VLOOKUP($E180,Customer_Dim!$A$2:$F$501,5,FALSE)</f>
        <v>USA</v>
      </c>
      <c r="O180" t="str">
        <f>VLOOKUP($E180,Customer_Dim!$A$2:$F$501,6,FALSE)</f>
        <v>Gold</v>
      </c>
      <c r="P180" t="str">
        <f>VLOOKUP($A180,Store_Dim!$A$2:$F$21,3,FALSE)</f>
        <v>NorthDanielmouth</v>
      </c>
    </row>
    <row r="181" spans="1:16" x14ac:dyDescent="0.25">
      <c r="A181" t="s">
        <v>785</v>
      </c>
      <c r="B181" t="s">
        <v>1735</v>
      </c>
      <c r="C181" t="s">
        <v>760</v>
      </c>
      <c r="D181" s="2">
        <v>45660</v>
      </c>
      <c r="E181" t="s">
        <v>217</v>
      </c>
      <c r="F181" t="str">
        <f>VLOOKUP($C181,Product_Dim!$A$2:$D$101,3,FALSE)</f>
        <v>Green, Powell and Palmer</v>
      </c>
      <c r="G181" t="str">
        <f>VLOOKUP($C181,Product_Dim!$A$2:$D$101,2,FALSE)</f>
        <v>Home</v>
      </c>
      <c r="H181">
        <v>3</v>
      </c>
      <c r="I181">
        <v>476.37</v>
      </c>
      <c r="J181">
        <v>0.21</v>
      </c>
      <c r="K181" s="3">
        <v>1128.9969000000001</v>
      </c>
      <c r="L181" t="s">
        <v>857</v>
      </c>
      <c r="M181" t="str">
        <f>VLOOKUP($E181,Customer_Dim!$A$2:$F$501,3,FALSE)</f>
        <v>Male</v>
      </c>
      <c r="N181" t="str">
        <f>VLOOKUP($E181,Customer_Dim!$A$2:$F$501,5,FALSE)</f>
        <v>USA</v>
      </c>
      <c r="O181" t="str">
        <f>VLOOKUP($E181,Customer_Dim!$A$2:$F$501,6,FALSE)</f>
        <v>Bronze</v>
      </c>
      <c r="P181" t="str">
        <f>VLOOKUP($A181,Store_Dim!$A$2:$F$21,3,FALSE)</f>
        <v>NorthDanielmouth</v>
      </c>
    </row>
    <row r="182" spans="1:16" hidden="1" x14ac:dyDescent="0.25">
      <c r="A182" t="s">
        <v>785</v>
      </c>
      <c r="B182" t="s">
        <v>1029</v>
      </c>
      <c r="C182" t="s">
        <v>760</v>
      </c>
      <c r="D182" s="2">
        <v>45641</v>
      </c>
      <c r="E182" t="s">
        <v>444</v>
      </c>
      <c r="F182" t="str">
        <f>VLOOKUP($C182,Product_Dim!$A$2:$D$101,3,FALSE)</f>
        <v>Green, Powell and Palmer</v>
      </c>
      <c r="G182" t="str">
        <f>VLOOKUP($C182,Product_Dim!$A$2:$D$101,2,FALSE)</f>
        <v>Home</v>
      </c>
      <c r="H182">
        <v>2</v>
      </c>
      <c r="I182">
        <v>707.65</v>
      </c>
      <c r="J182">
        <v>0.14000000000000001</v>
      </c>
      <c r="K182" s="3">
        <v>1217.1579999999999</v>
      </c>
      <c r="L182" t="s">
        <v>852</v>
      </c>
      <c r="M182" t="str">
        <f>VLOOKUP($E182,Customer_Dim!$A$2:$F$501,3,FALSE)</f>
        <v>Female</v>
      </c>
      <c r="N182" t="str">
        <f>VLOOKUP($E182,Customer_Dim!$A$2:$F$501,5,FALSE)</f>
        <v>USA</v>
      </c>
      <c r="O182" t="str">
        <f>VLOOKUP($E182,Customer_Dim!$A$2:$F$501,6,FALSE)</f>
        <v>Gold</v>
      </c>
      <c r="P182" t="str">
        <f>VLOOKUP($A182,Store_Dim!$A$2:$F$21,3,FALSE)</f>
        <v>NorthDanielmouth</v>
      </c>
    </row>
    <row r="183" spans="1:16" hidden="1" x14ac:dyDescent="0.25">
      <c r="A183" t="s">
        <v>785</v>
      </c>
      <c r="B183" t="s">
        <v>1822</v>
      </c>
      <c r="C183" t="s">
        <v>760</v>
      </c>
      <c r="D183" s="2">
        <v>45518</v>
      </c>
      <c r="E183" t="s">
        <v>556</v>
      </c>
      <c r="F183" t="str">
        <f>VLOOKUP($C183,Product_Dim!$A$2:$D$101,3,FALSE)</f>
        <v>Green, Powell and Palmer</v>
      </c>
      <c r="G183" t="str">
        <f>VLOOKUP($C183,Product_Dim!$A$2:$D$101,2,FALSE)</f>
        <v>Home</v>
      </c>
      <c r="H183">
        <v>2</v>
      </c>
      <c r="I183">
        <v>954.1</v>
      </c>
      <c r="J183">
        <v>0.17</v>
      </c>
      <c r="K183" s="3">
        <v>1583.806</v>
      </c>
      <c r="L183" t="s">
        <v>854</v>
      </c>
      <c r="M183" t="str">
        <f>VLOOKUP($E183,Customer_Dim!$A$2:$F$501,3,FALSE)</f>
        <v>Female</v>
      </c>
      <c r="N183" t="str">
        <f>VLOOKUP($E183,Customer_Dim!$A$2:$F$501,5,FALSE)</f>
        <v>USA</v>
      </c>
      <c r="O183" t="str">
        <f>VLOOKUP($E183,Customer_Dim!$A$2:$F$501,6,FALSE)</f>
        <v>Silver</v>
      </c>
      <c r="P183" t="str">
        <f>VLOOKUP($A183,Store_Dim!$A$2:$F$21,3,FALSE)</f>
        <v>NorthDanielmouth</v>
      </c>
    </row>
    <row r="184" spans="1:16" x14ac:dyDescent="0.25">
      <c r="A184" t="s">
        <v>785</v>
      </c>
      <c r="B184" t="s">
        <v>1601</v>
      </c>
      <c r="C184" t="s">
        <v>764</v>
      </c>
      <c r="D184" s="2">
        <v>45916</v>
      </c>
      <c r="E184" t="s">
        <v>185</v>
      </c>
      <c r="F184" t="str">
        <f>VLOOKUP($C184,Product_Dim!$A$2:$D$101,3,FALSE)</f>
        <v>Hoffman-Williams</v>
      </c>
      <c r="G184" t="str">
        <f>VLOOKUP($C184,Product_Dim!$A$2:$D$101,2,FALSE)</f>
        <v>Beauty</v>
      </c>
      <c r="H184">
        <v>1</v>
      </c>
      <c r="I184">
        <v>126.09</v>
      </c>
      <c r="J184">
        <v>0.05</v>
      </c>
      <c r="K184" s="3">
        <v>119.7855</v>
      </c>
      <c r="L184" t="s">
        <v>857</v>
      </c>
      <c r="M184" t="str">
        <f>VLOOKUP($E184,Customer_Dim!$A$2:$F$501,3,FALSE)</f>
        <v>Male</v>
      </c>
      <c r="N184" t="str">
        <f>VLOOKUP($E184,Customer_Dim!$A$2:$F$501,5,FALSE)</f>
        <v>USA</v>
      </c>
      <c r="O184" t="str">
        <f>VLOOKUP($E184,Customer_Dim!$A$2:$F$501,6,FALSE)</f>
        <v>Platinum</v>
      </c>
      <c r="P184" t="str">
        <f>VLOOKUP($A184,Store_Dim!$A$2:$F$21,3,FALSE)</f>
        <v>NorthDanielmouth</v>
      </c>
    </row>
    <row r="185" spans="1:16" x14ac:dyDescent="0.25">
      <c r="A185" t="s">
        <v>785</v>
      </c>
      <c r="B185" t="s">
        <v>1359</v>
      </c>
      <c r="C185" t="s">
        <v>766</v>
      </c>
      <c r="D185" s="2">
        <v>45306</v>
      </c>
      <c r="E185" t="s">
        <v>227</v>
      </c>
      <c r="F185" t="str">
        <f>VLOOKUP($C185,Product_Dim!$A$2:$D$101,3,FALSE)</f>
        <v>Wilson Group</v>
      </c>
      <c r="G185" t="str">
        <f>VLOOKUP($C185,Product_Dim!$A$2:$D$101,2,FALSE)</f>
        <v>Sports</v>
      </c>
      <c r="H185">
        <v>1</v>
      </c>
      <c r="I185">
        <v>301.60000000000002</v>
      </c>
      <c r="J185">
        <v>0.27</v>
      </c>
      <c r="K185" s="3">
        <v>220.16800000000001</v>
      </c>
      <c r="L185" t="s">
        <v>852</v>
      </c>
      <c r="M185" t="str">
        <f>VLOOKUP($E185,Customer_Dim!$A$2:$F$501,3,FALSE)</f>
        <v>Male</v>
      </c>
      <c r="N185" t="str">
        <f>VLOOKUP($E185,Customer_Dim!$A$2:$F$501,5,FALSE)</f>
        <v>USA</v>
      </c>
      <c r="O185" t="str">
        <f>VLOOKUP($E185,Customer_Dim!$A$2:$F$501,6,FALSE)</f>
        <v>Bronze</v>
      </c>
      <c r="P185" t="str">
        <f>VLOOKUP($A185,Store_Dim!$A$2:$F$21,3,FALSE)</f>
        <v>NorthDanielmouth</v>
      </c>
    </row>
    <row r="186" spans="1:16" hidden="1" x14ac:dyDescent="0.25">
      <c r="A186" t="s">
        <v>785</v>
      </c>
      <c r="B186" t="s">
        <v>2180</v>
      </c>
      <c r="C186" t="s">
        <v>766</v>
      </c>
      <c r="D186" s="2">
        <v>45498</v>
      </c>
      <c r="E186" t="s">
        <v>438</v>
      </c>
      <c r="F186" t="str">
        <f>VLOOKUP($C186,Product_Dim!$A$2:$D$101,3,FALSE)</f>
        <v>Wilson Group</v>
      </c>
      <c r="G186" t="str">
        <f>VLOOKUP($C186,Product_Dim!$A$2:$D$101,2,FALSE)</f>
        <v>Sports</v>
      </c>
      <c r="H186">
        <v>1</v>
      </c>
      <c r="I186">
        <v>128.93</v>
      </c>
      <c r="J186">
        <v>0.26</v>
      </c>
      <c r="K186" s="3">
        <v>95.408200000000008</v>
      </c>
      <c r="L186" t="s">
        <v>852</v>
      </c>
      <c r="M186" t="str">
        <f>VLOOKUP($E186,Customer_Dim!$A$2:$F$501,3,FALSE)</f>
        <v>Female</v>
      </c>
      <c r="N186" t="str">
        <f>VLOOKUP($E186,Customer_Dim!$A$2:$F$501,5,FALSE)</f>
        <v>USA</v>
      </c>
      <c r="O186" t="str">
        <f>VLOOKUP($E186,Customer_Dim!$A$2:$F$501,6,FALSE)</f>
        <v>Platinum</v>
      </c>
      <c r="P186" t="str">
        <f>VLOOKUP($A186,Store_Dim!$A$2:$F$21,3,FALSE)</f>
        <v>NorthDanielmouth</v>
      </c>
    </row>
    <row r="187" spans="1:16" hidden="1" x14ac:dyDescent="0.25">
      <c r="A187" t="s">
        <v>785</v>
      </c>
      <c r="B187" t="s">
        <v>2197</v>
      </c>
      <c r="C187" t="s">
        <v>770</v>
      </c>
      <c r="D187" s="2">
        <v>45323</v>
      </c>
      <c r="E187" t="s">
        <v>473</v>
      </c>
      <c r="F187" t="str">
        <f>VLOOKUP($C187,Product_Dim!$A$2:$D$101,3,FALSE)</f>
        <v>Khan LLC</v>
      </c>
      <c r="G187" t="str">
        <f>VLOOKUP($C187,Product_Dim!$A$2:$D$101,2,FALSE)</f>
        <v>Sports</v>
      </c>
      <c r="H187">
        <v>3</v>
      </c>
      <c r="I187">
        <v>760.38</v>
      </c>
      <c r="J187">
        <v>0</v>
      </c>
      <c r="K187" s="3">
        <v>2281.14</v>
      </c>
      <c r="L187" t="s">
        <v>857</v>
      </c>
      <c r="M187" t="str">
        <f>VLOOKUP($E187,Customer_Dim!$A$2:$F$501,3,FALSE)</f>
        <v>Female</v>
      </c>
      <c r="N187" t="str">
        <f>VLOOKUP($E187,Customer_Dim!$A$2:$F$501,5,FALSE)</f>
        <v>USA</v>
      </c>
      <c r="O187" t="str">
        <f>VLOOKUP($E187,Customer_Dim!$A$2:$F$501,6,FALSE)</f>
        <v>Gold</v>
      </c>
      <c r="P187" t="str">
        <f>VLOOKUP($A187,Store_Dim!$A$2:$F$21,3,FALSE)</f>
        <v>NorthDanielmouth</v>
      </c>
    </row>
    <row r="188" spans="1:16" hidden="1" x14ac:dyDescent="0.25">
      <c r="A188" t="s">
        <v>785</v>
      </c>
      <c r="B188" t="s">
        <v>2026</v>
      </c>
      <c r="C188" t="s">
        <v>774</v>
      </c>
      <c r="D188" s="2">
        <v>45336</v>
      </c>
      <c r="E188" t="s">
        <v>49</v>
      </c>
      <c r="F188" t="str">
        <f>VLOOKUP($C188,Product_Dim!$A$2:$D$101,3,FALSE)</f>
        <v>Campbell Ltd</v>
      </c>
      <c r="G188" t="str">
        <f>VLOOKUP($C188,Product_Dim!$A$2:$D$101,2,FALSE)</f>
        <v>Home</v>
      </c>
      <c r="H188">
        <v>2</v>
      </c>
      <c r="I188">
        <v>698.34</v>
      </c>
      <c r="J188">
        <v>0.15</v>
      </c>
      <c r="K188" s="3">
        <v>1187.1780000000001</v>
      </c>
      <c r="L188" t="s">
        <v>854</v>
      </c>
      <c r="M188" t="str">
        <f>VLOOKUP($E188,Customer_Dim!$A$2:$F$501,3,FALSE)</f>
        <v>Female</v>
      </c>
      <c r="N188" t="str">
        <f>VLOOKUP($E188,Customer_Dim!$A$2:$F$501,5,FALSE)</f>
        <v>USA</v>
      </c>
      <c r="O188" t="str">
        <f>VLOOKUP($E188,Customer_Dim!$A$2:$F$501,6,FALSE)</f>
        <v>Platinum</v>
      </c>
      <c r="P188" t="str">
        <f>VLOOKUP($A188,Store_Dim!$A$2:$F$21,3,FALSE)</f>
        <v>NorthDanielmouth</v>
      </c>
    </row>
    <row r="189" spans="1:16" hidden="1" x14ac:dyDescent="0.25">
      <c r="A189" t="s">
        <v>817</v>
      </c>
      <c r="B189" t="s">
        <v>941</v>
      </c>
      <c r="C189" t="s">
        <v>574</v>
      </c>
      <c r="D189" s="2">
        <v>45755</v>
      </c>
      <c r="E189" t="s">
        <v>394</v>
      </c>
      <c r="F189" t="str">
        <f>VLOOKUP($C189,Product_Dim!$A$2:$D$101,3,FALSE)</f>
        <v>Terry-Moore</v>
      </c>
      <c r="G189" t="str">
        <f>VLOOKUP($C189,Product_Dim!$A$2:$D$101,2,FALSE)</f>
        <v>Clothing</v>
      </c>
      <c r="H189">
        <v>3</v>
      </c>
      <c r="I189">
        <v>964.39</v>
      </c>
      <c r="J189">
        <v>0.04</v>
      </c>
      <c r="K189" s="3">
        <v>2777.4432000000002</v>
      </c>
      <c r="L189" t="s">
        <v>852</v>
      </c>
      <c r="M189" t="str">
        <f>VLOOKUP($E189,Customer_Dim!$A$2:$F$501,3,FALSE)</f>
        <v>Female</v>
      </c>
      <c r="N189" t="str">
        <f>VLOOKUP($E189,Customer_Dim!$A$2:$F$501,5,FALSE)</f>
        <v>USA</v>
      </c>
      <c r="O189" t="str">
        <f>VLOOKUP($E189,Customer_Dim!$A$2:$F$501,6,FALSE)</f>
        <v>Bronze</v>
      </c>
      <c r="P189" t="str">
        <f>VLOOKUP($A189,Store_Dim!$A$2:$F$21,3,FALSE)</f>
        <v>EastEast Davidville</v>
      </c>
    </row>
    <row r="190" spans="1:16" hidden="1" x14ac:dyDescent="0.25">
      <c r="A190" t="s">
        <v>817</v>
      </c>
      <c r="B190" t="s">
        <v>2822</v>
      </c>
      <c r="C190" t="s">
        <v>600</v>
      </c>
      <c r="D190" s="2">
        <v>45665</v>
      </c>
      <c r="E190" t="s">
        <v>53</v>
      </c>
      <c r="F190" t="str">
        <f>VLOOKUP($C190,Product_Dim!$A$2:$D$101,3,FALSE)</f>
        <v>Rice LLC</v>
      </c>
      <c r="G190" t="str">
        <f>VLOOKUP($C190,Product_Dim!$A$2:$D$101,2,FALSE)</f>
        <v>Beauty</v>
      </c>
      <c r="H190">
        <v>3</v>
      </c>
      <c r="I190">
        <v>195.31</v>
      </c>
      <c r="J190">
        <v>0.13</v>
      </c>
      <c r="K190" s="3">
        <v>509.75909999999999</v>
      </c>
      <c r="L190" t="s">
        <v>857</v>
      </c>
      <c r="M190" t="str">
        <f>VLOOKUP($E190,Customer_Dim!$A$2:$F$501,3,FALSE)</f>
        <v>Female</v>
      </c>
      <c r="N190" t="str">
        <f>VLOOKUP($E190,Customer_Dim!$A$2:$F$501,5,FALSE)</f>
        <v>USA</v>
      </c>
      <c r="O190" t="str">
        <f>VLOOKUP($E190,Customer_Dim!$A$2:$F$501,6,FALSE)</f>
        <v>Gold</v>
      </c>
      <c r="P190" t="str">
        <f>VLOOKUP($A190,Store_Dim!$A$2:$F$21,3,FALSE)</f>
        <v>EastEast Davidville</v>
      </c>
    </row>
    <row r="191" spans="1:16" hidden="1" x14ac:dyDescent="0.25">
      <c r="A191" t="s">
        <v>817</v>
      </c>
      <c r="B191" t="s">
        <v>2315</v>
      </c>
      <c r="C191" t="s">
        <v>602</v>
      </c>
      <c r="D191" s="2">
        <v>45723</v>
      </c>
      <c r="E191" t="s">
        <v>472</v>
      </c>
      <c r="F191" t="str">
        <f>VLOOKUP($C191,Product_Dim!$A$2:$D$101,3,FALSE)</f>
        <v>Dawson-Perkins</v>
      </c>
      <c r="G191" t="str">
        <f>VLOOKUP($C191,Product_Dim!$A$2:$D$101,2,FALSE)</f>
        <v>Electronics</v>
      </c>
      <c r="H191">
        <v>1</v>
      </c>
      <c r="I191">
        <v>120.57</v>
      </c>
      <c r="J191">
        <v>0.06</v>
      </c>
      <c r="K191" s="3">
        <v>113.33580000000001</v>
      </c>
      <c r="L191" t="s">
        <v>854</v>
      </c>
      <c r="M191" t="str">
        <f>VLOOKUP($E191,Customer_Dim!$A$2:$F$501,3,FALSE)</f>
        <v>Female</v>
      </c>
      <c r="N191" t="str">
        <f>VLOOKUP($E191,Customer_Dim!$A$2:$F$501,5,FALSE)</f>
        <v>USA</v>
      </c>
      <c r="O191" t="str">
        <f>VLOOKUP($E191,Customer_Dim!$A$2:$F$501,6,FALSE)</f>
        <v>Gold</v>
      </c>
      <c r="P191" t="str">
        <f>VLOOKUP($A191,Store_Dim!$A$2:$F$21,3,FALSE)</f>
        <v>EastEast Davidville</v>
      </c>
    </row>
    <row r="192" spans="1:16" x14ac:dyDescent="0.25">
      <c r="A192" t="s">
        <v>817</v>
      </c>
      <c r="B192" t="s">
        <v>2282</v>
      </c>
      <c r="C192" t="s">
        <v>604</v>
      </c>
      <c r="D192" s="2">
        <v>45753</v>
      </c>
      <c r="E192" t="s">
        <v>260</v>
      </c>
      <c r="F192" t="str">
        <f>VLOOKUP($C192,Product_Dim!$A$2:$D$101,3,FALSE)</f>
        <v>Luna, Anderson and Bowman</v>
      </c>
      <c r="G192" t="str">
        <f>VLOOKUP($C192,Product_Dim!$A$2:$D$101,2,FALSE)</f>
        <v>Home</v>
      </c>
      <c r="H192">
        <v>3</v>
      </c>
      <c r="I192">
        <v>696.74</v>
      </c>
      <c r="J192">
        <v>0.13</v>
      </c>
      <c r="K192" s="3">
        <v>1818.4914000000001</v>
      </c>
      <c r="L192" t="s">
        <v>857</v>
      </c>
      <c r="M192" t="str">
        <f>VLOOKUP($E192,Customer_Dim!$A$2:$F$501,3,FALSE)</f>
        <v>Male</v>
      </c>
      <c r="N192" t="str">
        <f>VLOOKUP($E192,Customer_Dim!$A$2:$F$501,5,FALSE)</f>
        <v>USA</v>
      </c>
      <c r="O192" t="str">
        <f>VLOOKUP($E192,Customer_Dim!$A$2:$F$501,6,FALSE)</f>
        <v>Silver</v>
      </c>
      <c r="P192" t="str">
        <f>VLOOKUP($A192,Store_Dim!$A$2:$F$21,3,FALSE)</f>
        <v>EastEast Davidville</v>
      </c>
    </row>
    <row r="193" spans="1:16" hidden="1" x14ac:dyDescent="0.25">
      <c r="A193" t="s">
        <v>817</v>
      </c>
      <c r="B193" t="s">
        <v>1256</v>
      </c>
      <c r="C193" t="s">
        <v>604</v>
      </c>
      <c r="D193" s="2">
        <v>45817</v>
      </c>
      <c r="E193" t="s">
        <v>363</v>
      </c>
      <c r="F193" t="str">
        <f>VLOOKUP($C193,Product_Dim!$A$2:$D$101,3,FALSE)</f>
        <v>Luna, Anderson and Bowman</v>
      </c>
      <c r="G193" t="str">
        <f>VLOOKUP($C193,Product_Dim!$A$2:$D$101,2,FALSE)</f>
        <v>Home</v>
      </c>
      <c r="H193">
        <v>1</v>
      </c>
      <c r="I193">
        <v>753.39</v>
      </c>
      <c r="J193">
        <v>0.04</v>
      </c>
      <c r="K193" s="3">
        <v>723.25439999999992</v>
      </c>
      <c r="L193" t="s">
        <v>857</v>
      </c>
      <c r="M193" t="str">
        <f>VLOOKUP($E193,Customer_Dim!$A$2:$F$501,3,FALSE)</f>
        <v>Female</v>
      </c>
      <c r="N193" t="str">
        <f>VLOOKUP($E193,Customer_Dim!$A$2:$F$501,5,FALSE)</f>
        <v>USA</v>
      </c>
      <c r="O193" t="str">
        <f>VLOOKUP($E193,Customer_Dim!$A$2:$F$501,6,FALSE)</f>
        <v>Bronze</v>
      </c>
      <c r="P193" t="str">
        <f>VLOOKUP($A193,Store_Dim!$A$2:$F$21,3,FALSE)</f>
        <v>EastEast Davidville</v>
      </c>
    </row>
    <row r="194" spans="1:16" x14ac:dyDescent="0.25">
      <c r="A194" t="s">
        <v>817</v>
      </c>
      <c r="B194" t="s">
        <v>2419</v>
      </c>
      <c r="C194" t="s">
        <v>604</v>
      </c>
      <c r="D194" s="2">
        <v>45943</v>
      </c>
      <c r="E194" t="s">
        <v>443</v>
      </c>
      <c r="F194" t="str">
        <f>VLOOKUP($C194,Product_Dim!$A$2:$D$101,3,FALSE)</f>
        <v>Luna, Anderson and Bowman</v>
      </c>
      <c r="G194" t="str">
        <f>VLOOKUP($C194,Product_Dim!$A$2:$D$101,2,FALSE)</f>
        <v>Home</v>
      </c>
      <c r="H194">
        <v>2</v>
      </c>
      <c r="I194">
        <v>675.65</v>
      </c>
      <c r="J194">
        <v>0.2</v>
      </c>
      <c r="K194" s="3">
        <v>1081.04</v>
      </c>
      <c r="L194" t="s">
        <v>857</v>
      </c>
      <c r="M194" t="str">
        <f>VLOOKUP($E194,Customer_Dim!$A$2:$F$501,3,FALSE)</f>
        <v>Male</v>
      </c>
      <c r="N194" t="str">
        <f>VLOOKUP($E194,Customer_Dim!$A$2:$F$501,5,FALSE)</f>
        <v>USA</v>
      </c>
      <c r="O194" t="str">
        <f>VLOOKUP($E194,Customer_Dim!$A$2:$F$501,6,FALSE)</f>
        <v>Bronze</v>
      </c>
      <c r="P194" t="str">
        <f>VLOOKUP($A194,Store_Dim!$A$2:$F$21,3,FALSE)</f>
        <v>EastEast Davidville</v>
      </c>
    </row>
    <row r="195" spans="1:16" hidden="1" x14ac:dyDescent="0.25">
      <c r="A195" t="s">
        <v>817</v>
      </c>
      <c r="B195" t="s">
        <v>1741</v>
      </c>
      <c r="C195" t="s">
        <v>608</v>
      </c>
      <c r="D195" s="2">
        <v>45724</v>
      </c>
      <c r="E195" t="s">
        <v>404</v>
      </c>
      <c r="F195" t="str">
        <f>VLOOKUP($C195,Product_Dim!$A$2:$D$101,3,FALSE)</f>
        <v>Erickson-Green</v>
      </c>
      <c r="G195" t="str">
        <f>VLOOKUP($C195,Product_Dim!$A$2:$D$101,2,FALSE)</f>
        <v>Beauty</v>
      </c>
      <c r="H195">
        <v>2</v>
      </c>
      <c r="I195">
        <v>693.61</v>
      </c>
      <c r="J195">
        <v>0.15</v>
      </c>
      <c r="K195" s="3">
        <v>1179.1369999999999</v>
      </c>
      <c r="L195" t="s">
        <v>854</v>
      </c>
      <c r="M195" t="str">
        <f>VLOOKUP($E195,Customer_Dim!$A$2:$F$501,3,FALSE)</f>
        <v>Female</v>
      </c>
      <c r="N195" t="str">
        <f>VLOOKUP($E195,Customer_Dim!$A$2:$F$501,5,FALSE)</f>
        <v>USA</v>
      </c>
      <c r="O195" t="str">
        <f>VLOOKUP($E195,Customer_Dim!$A$2:$F$501,6,FALSE)</f>
        <v>Bronze</v>
      </c>
      <c r="P195" t="str">
        <f>VLOOKUP($A195,Store_Dim!$A$2:$F$21,3,FALSE)</f>
        <v>EastEast Davidville</v>
      </c>
    </row>
    <row r="196" spans="1:16" x14ac:dyDescent="0.25">
      <c r="A196" t="s">
        <v>817</v>
      </c>
      <c r="B196" t="s">
        <v>1110</v>
      </c>
      <c r="C196" t="s">
        <v>610</v>
      </c>
      <c r="D196" s="2">
        <v>45706</v>
      </c>
      <c r="E196" t="s">
        <v>538</v>
      </c>
      <c r="F196" t="str">
        <f>VLOOKUP($C196,Product_Dim!$A$2:$D$101,3,FALSE)</f>
        <v>Ford, Murphy and Wilson</v>
      </c>
      <c r="G196" t="str">
        <f>VLOOKUP($C196,Product_Dim!$A$2:$D$101,2,FALSE)</f>
        <v>Sports</v>
      </c>
      <c r="H196">
        <v>2</v>
      </c>
      <c r="I196">
        <v>71.77</v>
      </c>
      <c r="J196">
        <v>0.22</v>
      </c>
      <c r="K196" s="3">
        <v>111.96120000000001</v>
      </c>
      <c r="L196" t="s">
        <v>852</v>
      </c>
      <c r="M196" t="str">
        <f>VLOOKUP($E196,Customer_Dim!$A$2:$F$501,3,FALSE)</f>
        <v>Male</v>
      </c>
      <c r="N196" t="str">
        <f>VLOOKUP($E196,Customer_Dim!$A$2:$F$501,5,FALSE)</f>
        <v>USA</v>
      </c>
      <c r="O196" t="str">
        <f>VLOOKUP($E196,Customer_Dim!$A$2:$F$501,6,FALSE)</f>
        <v>Platinum</v>
      </c>
      <c r="P196" t="str">
        <f>VLOOKUP($A196,Store_Dim!$A$2:$F$21,3,FALSE)</f>
        <v>EastEast Davidville</v>
      </c>
    </row>
    <row r="197" spans="1:16" hidden="1" x14ac:dyDescent="0.25">
      <c r="A197" t="s">
        <v>817</v>
      </c>
      <c r="B197" t="s">
        <v>1830</v>
      </c>
      <c r="C197" t="s">
        <v>614</v>
      </c>
      <c r="D197" s="2">
        <v>45693</v>
      </c>
      <c r="E197" t="s">
        <v>315</v>
      </c>
      <c r="F197" t="str">
        <f>VLOOKUP($C197,Product_Dim!$A$2:$D$101,3,FALSE)</f>
        <v>May-Reese</v>
      </c>
      <c r="G197" t="str">
        <f>VLOOKUP($C197,Product_Dim!$A$2:$D$101,2,FALSE)</f>
        <v>Sports</v>
      </c>
      <c r="H197">
        <v>2</v>
      </c>
      <c r="I197">
        <v>466.42</v>
      </c>
      <c r="J197">
        <v>0.12</v>
      </c>
      <c r="K197" s="3">
        <v>820.89920000000006</v>
      </c>
      <c r="L197" t="s">
        <v>854</v>
      </c>
      <c r="M197" t="str">
        <f>VLOOKUP($E197,Customer_Dim!$A$2:$F$501,3,FALSE)</f>
        <v>Female</v>
      </c>
      <c r="N197" t="str">
        <f>VLOOKUP($E197,Customer_Dim!$A$2:$F$501,5,FALSE)</f>
        <v>USA</v>
      </c>
      <c r="O197" t="str">
        <f>VLOOKUP($E197,Customer_Dim!$A$2:$F$501,6,FALSE)</f>
        <v>Gold</v>
      </c>
      <c r="P197" t="str">
        <f>VLOOKUP($A197,Store_Dim!$A$2:$F$21,3,FALSE)</f>
        <v>EastEast Davidville</v>
      </c>
    </row>
    <row r="198" spans="1:16" x14ac:dyDescent="0.25">
      <c r="A198" t="s">
        <v>817</v>
      </c>
      <c r="B198" t="s">
        <v>2709</v>
      </c>
      <c r="C198" t="s">
        <v>614</v>
      </c>
      <c r="D198" s="2">
        <v>45710</v>
      </c>
      <c r="E198" t="s">
        <v>377</v>
      </c>
      <c r="F198" t="str">
        <f>VLOOKUP($C198,Product_Dim!$A$2:$D$101,3,FALSE)</f>
        <v>May-Reese</v>
      </c>
      <c r="G198" t="str">
        <f>VLOOKUP($C198,Product_Dim!$A$2:$D$101,2,FALSE)</f>
        <v>Sports</v>
      </c>
      <c r="H198">
        <v>3</v>
      </c>
      <c r="I198">
        <v>569.98</v>
      </c>
      <c r="J198">
        <v>0.05</v>
      </c>
      <c r="K198" s="3">
        <v>1624.443</v>
      </c>
      <c r="L198" t="s">
        <v>852</v>
      </c>
      <c r="M198" t="str">
        <f>VLOOKUP($E198,Customer_Dim!$A$2:$F$501,3,FALSE)</f>
        <v>Male</v>
      </c>
      <c r="N198" t="str">
        <f>VLOOKUP($E198,Customer_Dim!$A$2:$F$501,5,FALSE)</f>
        <v>USA</v>
      </c>
      <c r="O198" t="str">
        <f>VLOOKUP($E198,Customer_Dim!$A$2:$F$501,6,FALSE)</f>
        <v>Silver</v>
      </c>
      <c r="P198" t="str">
        <f>VLOOKUP($A198,Store_Dim!$A$2:$F$21,3,FALSE)</f>
        <v>EastEast Davidville</v>
      </c>
    </row>
    <row r="199" spans="1:16" hidden="1" x14ac:dyDescent="0.25">
      <c r="A199" t="s">
        <v>817</v>
      </c>
      <c r="B199" t="s">
        <v>1664</v>
      </c>
      <c r="C199" t="s">
        <v>577</v>
      </c>
      <c r="D199" s="2">
        <v>45447</v>
      </c>
      <c r="E199" t="s">
        <v>39</v>
      </c>
      <c r="F199" t="str">
        <f>VLOOKUP($C199,Product_Dim!$A$2:$D$101,3,FALSE)</f>
        <v>Sims Inc</v>
      </c>
      <c r="G199" t="str">
        <f>VLOOKUP($C199,Product_Dim!$A$2:$D$101,2,FALSE)</f>
        <v>Clothing</v>
      </c>
      <c r="H199">
        <v>4</v>
      </c>
      <c r="I199">
        <v>863.87</v>
      </c>
      <c r="J199">
        <v>0.21</v>
      </c>
      <c r="K199" s="3">
        <v>2729.8292000000001</v>
      </c>
      <c r="L199" t="s">
        <v>857</v>
      </c>
      <c r="M199" t="str">
        <f>VLOOKUP($E199,Customer_Dim!$A$2:$F$501,3,FALSE)</f>
        <v>Female</v>
      </c>
      <c r="N199" t="str">
        <f>VLOOKUP($E199,Customer_Dim!$A$2:$F$501,5,FALSE)</f>
        <v>USA</v>
      </c>
      <c r="O199" t="str">
        <f>VLOOKUP($E199,Customer_Dim!$A$2:$F$501,6,FALSE)</f>
        <v>Silver</v>
      </c>
      <c r="P199" t="str">
        <f>VLOOKUP($A199,Store_Dim!$A$2:$F$21,3,FALSE)</f>
        <v>EastEast Davidville</v>
      </c>
    </row>
    <row r="200" spans="1:16" hidden="1" x14ac:dyDescent="0.25">
      <c r="A200" t="s">
        <v>817</v>
      </c>
      <c r="B200" t="s">
        <v>2498</v>
      </c>
      <c r="C200" t="s">
        <v>577</v>
      </c>
      <c r="D200" s="2">
        <v>45806</v>
      </c>
      <c r="E200" t="s">
        <v>559</v>
      </c>
      <c r="F200" t="str">
        <f>VLOOKUP($C200,Product_Dim!$A$2:$D$101,3,FALSE)</f>
        <v>Sims Inc</v>
      </c>
      <c r="G200" t="str">
        <f>VLOOKUP($C200,Product_Dim!$A$2:$D$101,2,FALSE)</f>
        <v>Clothing</v>
      </c>
      <c r="H200">
        <v>1</v>
      </c>
      <c r="I200">
        <v>948.33</v>
      </c>
      <c r="J200">
        <v>0.11</v>
      </c>
      <c r="K200" s="3">
        <v>844.01370000000009</v>
      </c>
      <c r="L200" t="s">
        <v>852</v>
      </c>
      <c r="M200" t="str">
        <f>VLOOKUP($E200,Customer_Dim!$A$2:$F$501,3,FALSE)</f>
        <v>Female</v>
      </c>
      <c r="N200" t="str">
        <f>VLOOKUP($E200,Customer_Dim!$A$2:$F$501,5,FALSE)</f>
        <v>USA</v>
      </c>
      <c r="O200" t="str">
        <f>VLOOKUP($E200,Customer_Dim!$A$2:$F$501,6,FALSE)</f>
        <v>Platinum</v>
      </c>
      <c r="P200" t="str">
        <f>VLOOKUP($A200,Store_Dim!$A$2:$F$21,3,FALSE)</f>
        <v>EastEast Davidville</v>
      </c>
    </row>
    <row r="201" spans="1:16" x14ac:dyDescent="0.25">
      <c r="A201" t="s">
        <v>817</v>
      </c>
      <c r="B201" t="s">
        <v>1337</v>
      </c>
      <c r="C201" t="s">
        <v>618</v>
      </c>
      <c r="D201" s="2">
        <v>45308</v>
      </c>
      <c r="E201" t="s">
        <v>88</v>
      </c>
      <c r="F201" t="str">
        <f>VLOOKUP($C201,Product_Dim!$A$2:$D$101,3,FALSE)</f>
        <v>Gardner-Montes</v>
      </c>
      <c r="G201" t="str">
        <f>VLOOKUP($C201,Product_Dim!$A$2:$D$101,2,FALSE)</f>
        <v>Home</v>
      </c>
      <c r="H201">
        <v>1</v>
      </c>
      <c r="I201">
        <v>771.73</v>
      </c>
      <c r="J201">
        <v>0.2</v>
      </c>
      <c r="K201" s="3">
        <v>617.38400000000001</v>
      </c>
      <c r="L201" t="s">
        <v>852</v>
      </c>
      <c r="M201" t="str">
        <f>VLOOKUP($E201,Customer_Dim!$A$2:$F$501,3,FALSE)</f>
        <v>Male</v>
      </c>
      <c r="N201" t="str">
        <f>VLOOKUP($E201,Customer_Dim!$A$2:$F$501,5,FALSE)</f>
        <v>USA</v>
      </c>
      <c r="O201" t="str">
        <f>VLOOKUP($E201,Customer_Dim!$A$2:$F$501,6,FALSE)</f>
        <v>Bronze</v>
      </c>
      <c r="P201" t="str">
        <f>VLOOKUP($A201,Store_Dim!$A$2:$F$21,3,FALSE)</f>
        <v>EastEast Davidville</v>
      </c>
    </row>
    <row r="202" spans="1:16" hidden="1" x14ac:dyDescent="0.25">
      <c r="A202" t="s">
        <v>817</v>
      </c>
      <c r="B202" t="s">
        <v>2357</v>
      </c>
      <c r="C202" t="s">
        <v>618</v>
      </c>
      <c r="D202" s="2">
        <v>45772</v>
      </c>
      <c r="E202" t="s">
        <v>325</v>
      </c>
      <c r="F202" t="str">
        <f>VLOOKUP($C202,Product_Dim!$A$2:$D$101,3,FALSE)</f>
        <v>Gardner-Montes</v>
      </c>
      <c r="G202" t="str">
        <f>VLOOKUP($C202,Product_Dim!$A$2:$D$101,2,FALSE)</f>
        <v>Home</v>
      </c>
      <c r="H202">
        <v>1</v>
      </c>
      <c r="I202">
        <v>251.99</v>
      </c>
      <c r="J202">
        <v>0.09</v>
      </c>
      <c r="K202" s="3">
        <v>229.3109</v>
      </c>
      <c r="L202" t="s">
        <v>852</v>
      </c>
      <c r="M202" t="str">
        <f>VLOOKUP($E202,Customer_Dim!$A$2:$F$501,3,FALSE)</f>
        <v>Female</v>
      </c>
      <c r="N202" t="str">
        <f>VLOOKUP($E202,Customer_Dim!$A$2:$F$501,5,FALSE)</f>
        <v>USA</v>
      </c>
      <c r="O202" t="str">
        <f>VLOOKUP($E202,Customer_Dim!$A$2:$F$501,6,FALSE)</f>
        <v>Silver</v>
      </c>
      <c r="P202" t="str">
        <f>VLOOKUP($A202,Store_Dim!$A$2:$F$21,3,FALSE)</f>
        <v>EastEast Davidville</v>
      </c>
    </row>
    <row r="203" spans="1:16" hidden="1" x14ac:dyDescent="0.25">
      <c r="A203" t="s">
        <v>817</v>
      </c>
      <c r="B203" t="s">
        <v>1958</v>
      </c>
      <c r="C203" t="s">
        <v>618</v>
      </c>
      <c r="D203" s="2">
        <v>45468</v>
      </c>
      <c r="E203" t="s">
        <v>451</v>
      </c>
      <c r="F203" t="str">
        <f>VLOOKUP($C203,Product_Dim!$A$2:$D$101,3,FALSE)</f>
        <v>Gardner-Montes</v>
      </c>
      <c r="G203" t="str">
        <f>VLOOKUP($C203,Product_Dim!$A$2:$D$101,2,FALSE)</f>
        <v>Home</v>
      </c>
      <c r="H203">
        <v>2</v>
      </c>
      <c r="I203">
        <v>218.07</v>
      </c>
      <c r="J203">
        <v>0.19</v>
      </c>
      <c r="K203" s="3">
        <v>353.27339999999998</v>
      </c>
      <c r="L203" t="s">
        <v>854</v>
      </c>
      <c r="M203" t="str">
        <f>VLOOKUP($E203,Customer_Dim!$A$2:$F$501,3,FALSE)</f>
        <v>Female</v>
      </c>
      <c r="N203" t="str">
        <f>VLOOKUP($E203,Customer_Dim!$A$2:$F$501,5,FALSE)</f>
        <v>USA</v>
      </c>
      <c r="O203" t="str">
        <f>VLOOKUP($E203,Customer_Dim!$A$2:$F$501,6,FALSE)</f>
        <v>Bronze</v>
      </c>
      <c r="P203" t="str">
        <f>VLOOKUP($A203,Store_Dim!$A$2:$F$21,3,FALSE)</f>
        <v>EastEast Davidville</v>
      </c>
    </row>
    <row r="204" spans="1:16" x14ac:dyDescent="0.25">
      <c r="A204" t="s">
        <v>817</v>
      </c>
      <c r="B204" t="s">
        <v>975</v>
      </c>
      <c r="C204" t="s">
        <v>620</v>
      </c>
      <c r="D204" s="2">
        <v>45558</v>
      </c>
      <c r="E204" t="s">
        <v>330</v>
      </c>
      <c r="F204" t="str">
        <f>VLOOKUP($C204,Product_Dim!$A$2:$D$101,3,FALSE)</f>
        <v>Flores, Pineda and Rodriguez</v>
      </c>
      <c r="G204" t="str">
        <f>VLOOKUP($C204,Product_Dim!$A$2:$D$101,2,FALSE)</f>
        <v>Sports</v>
      </c>
      <c r="H204">
        <v>3</v>
      </c>
      <c r="I204">
        <v>432.4</v>
      </c>
      <c r="J204">
        <v>0.04</v>
      </c>
      <c r="K204" s="3">
        <v>1245.3119999999999</v>
      </c>
      <c r="L204" t="s">
        <v>852</v>
      </c>
      <c r="M204" t="str">
        <f>VLOOKUP($E204,Customer_Dim!$A$2:$F$501,3,FALSE)</f>
        <v>Male</v>
      </c>
      <c r="N204" t="str">
        <f>VLOOKUP($E204,Customer_Dim!$A$2:$F$501,5,FALSE)</f>
        <v>USA</v>
      </c>
      <c r="O204" t="str">
        <f>VLOOKUP($E204,Customer_Dim!$A$2:$F$501,6,FALSE)</f>
        <v>Gold</v>
      </c>
      <c r="P204" t="str">
        <f>VLOOKUP($A204,Store_Dim!$A$2:$F$21,3,FALSE)</f>
        <v>EastEast Davidville</v>
      </c>
    </row>
    <row r="205" spans="1:16" x14ac:dyDescent="0.25">
      <c r="A205" t="s">
        <v>817</v>
      </c>
      <c r="B205" t="s">
        <v>2701</v>
      </c>
      <c r="C205" t="s">
        <v>620</v>
      </c>
      <c r="D205" s="2">
        <v>45883</v>
      </c>
      <c r="E205" t="s">
        <v>442</v>
      </c>
      <c r="F205" t="str">
        <f>VLOOKUP($C205,Product_Dim!$A$2:$D$101,3,FALSE)</f>
        <v>Flores, Pineda and Rodriguez</v>
      </c>
      <c r="G205" t="str">
        <f>VLOOKUP($C205,Product_Dim!$A$2:$D$101,2,FALSE)</f>
        <v>Sports</v>
      </c>
      <c r="H205">
        <v>2</v>
      </c>
      <c r="I205">
        <v>523.14</v>
      </c>
      <c r="J205">
        <v>0.13</v>
      </c>
      <c r="K205" s="3">
        <v>910.2636</v>
      </c>
      <c r="L205" t="s">
        <v>854</v>
      </c>
      <c r="M205" t="str">
        <f>VLOOKUP($E205,Customer_Dim!$A$2:$F$501,3,FALSE)</f>
        <v>Male</v>
      </c>
      <c r="N205" t="str">
        <f>VLOOKUP($E205,Customer_Dim!$A$2:$F$501,5,FALSE)</f>
        <v>USA</v>
      </c>
      <c r="O205" t="str">
        <f>VLOOKUP($E205,Customer_Dim!$A$2:$F$501,6,FALSE)</f>
        <v>Platinum</v>
      </c>
      <c r="P205" t="str">
        <f>VLOOKUP($A205,Store_Dim!$A$2:$F$21,3,FALSE)</f>
        <v>EastEast Davidville</v>
      </c>
    </row>
    <row r="206" spans="1:16" x14ac:dyDescent="0.25">
      <c r="A206" t="s">
        <v>817</v>
      </c>
      <c r="B206" t="s">
        <v>2825</v>
      </c>
      <c r="C206" t="s">
        <v>624</v>
      </c>
      <c r="D206" s="2">
        <v>45577</v>
      </c>
      <c r="E206" t="s">
        <v>321</v>
      </c>
      <c r="F206" t="str">
        <f>VLOOKUP($C206,Product_Dim!$A$2:$D$101,3,FALSE)</f>
        <v>Cook Ltd</v>
      </c>
      <c r="G206" t="str">
        <f>VLOOKUP($C206,Product_Dim!$A$2:$D$101,2,FALSE)</f>
        <v>Sports</v>
      </c>
      <c r="H206">
        <v>1</v>
      </c>
      <c r="I206">
        <v>412.2</v>
      </c>
      <c r="J206">
        <v>0.11</v>
      </c>
      <c r="K206" s="3">
        <v>366.858</v>
      </c>
      <c r="L206" t="s">
        <v>852</v>
      </c>
      <c r="M206" t="str">
        <f>VLOOKUP($E206,Customer_Dim!$A$2:$F$501,3,FALSE)</f>
        <v>Male</v>
      </c>
      <c r="N206" t="str">
        <f>VLOOKUP($E206,Customer_Dim!$A$2:$F$501,5,FALSE)</f>
        <v>USA</v>
      </c>
      <c r="O206" t="str">
        <f>VLOOKUP($E206,Customer_Dim!$A$2:$F$501,6,FALSE)</f>
        <v>Gold</v>
      </c>
      <c r="P206" t="str">
        <f>VLOOKUP($A206,Store_Dim!$A$2:$F$21,3,FALSE)</f>
        <v>EastEast Davidville</v>
      </c>
    </row>
    <row r="207" spans="1:16" hidden="1" x14ac:dyDescent="0.25">
      <c r="A207" t="s">
        <v>817</v>
      </c>
      <c r="B207" t="s">
        <v>1549</v>
      </c>
      <c r="C207" t="s">
        <v>628</v>
      </c>
      <c r="D207" s="2">
        <v>45615</v>
      </c>
      <c r="E207" t="s">
        <v>418</v>
      </c>
      <c r="F207" t="str">
        <f>VLOOKUP($C207,Product_Dim!$A$2:$D$101,3,FALSE)</f>
        <v>Reed-Schmidt</v>
      </c>
      <c r="G207" t="str">
        <f>VLOOKUP($C207,Product_Dim!$A$2:$D$101,2,FALSE)</f>
        <v>Electronics</v>
      </c>
      <c r="H207">
        <v>4</v>
      </c>
      <c r="I207">
        <v>413.48</v>
      </c>
      <c r="J207">
        <v>0.02</v>
      </c>
      <c r="K207" s="3">
        <v>1620.8416</v>
      </c>
      <c r="L207" t="s">
        <v>854</v>
      </c>
      <c r="M207" t="str">
        <f>VLOOKUP($E207,Customer_Dim!$A$2:$F$501,3,FALSE)</f>
        <v>Female</v>
      </c>
      <c r="N207" t="str">
        <f>VLOOKUP($E207,Customer_Dim!$A$2:$F$501,5,FALSE)</f>
        <v>USA</v>
      </c>
      <c r="O207" t="str">
        <f>VLOOKUP($E207,Customer_Dim!$A$2:$F$501,6,FALSE)</f>
        <v>Bronze</v>
      </c>
      <c r="P207" t="str">
        <f>VLOOKUP($A207,Store_Dim!$A$2:$F$21,3,FALSE)</f>
        <v>EastEast Davidville</v>
      </c>
    </row>
    <row r="208" spans="1:16" hidden="1" x14ac:dyDescent="0.25">
      <c r="A208" t="s">
        <v>817</v>
      </c>
      <c r="B208" t="s">
        <v>967</v>
      </c>
      <c r="C208" t="s">
        <v>630</v>
      </c>
      <c r="D208" s="2">
        <v>45413</v>
      </c>
      <c r="E208" t="s">
        <v>534</v>
      </c>
      <c r="F208" t="str">
        <f>VLOOKUP($C208,Product_Dim!$A$2:$D$101,3,FALSE)</f>
        <v>Khan, Jones and Paul</v>
      </c>
      <c r="G208" t="str">
        <f>VLOOKUP($C208,Product_Dim!$A$2:$D$101,2,FALSE)</f>
        <v>Home</v>
      </c>
      <c r="H208">
        <v>1</v>
      </c>
      <c r="I208">
        <v>281.97000000000003</v>
      </c>
      <c r="J208">
        <v>0.2</v>
      </c>
      <c r="K208" s="3">
        <v>225.57599999999999</v>
      </c>
      <c r="L208" t="s">
        <v>854</v>
      </c>
      <c r="M208" t="str">
        <f>VLOOKUP($E208,Customer_Dim!$A$2:$F$501,3,FALSE)</f>
        <v>Female</v>
      </c>
      <c r="N208" t="str">
        <f>VLOOKUP($E208,Customer_Dim!$A$2:$F$501,5,FALSE)</f>
        <v>USA</v>
      </c>
      <c r="O208" t="str">
        <f>VLOOKUP($E208,Customer_Dim!$A$2:$F$501,6,FALSE)</f>
        <v>Gold</v>
      </c>
      <c r="P208" t="str">
        <f>VLOOKUP($A208,Store_Dim!$A$2:$F$21,3,FALSE)</f>
        <v>EastEast Davidville</v>
      </c>
    </row>
    <row r="209" spans="1:16" hidden="1" x14ac:dyDescent="0.25">
      <c r="A209" t="s">
        <v>817</v>
      </c>
      <c r="B209" t="s">
        <v>1364</v>
      </c>
      <c r="C209" t="s">
        <v>632</v>
      </c>
      <c r="D209" s="2">
        <v>45580</v>
      </c>
      <c r="E209" t="s">
        <v>232</v>
      </c>
      <c r="F209" t="str">
        <f>VLOOKUP($C209,Product_Dim!$A$2:$D$101,3,FALSE)</f>
        <v>Burns-Hansen</v>
      </c>
      <c r="G209" t="str">
        <f>VLOOKUP($C209,Product_Dim!$A$2:$D$101,2,FALSE)</f>
        <v>Sports</v>
      </c>
      <c r="H209">
        <v>3</v>
      </c>
      <c r="I209">
        <v>125.68</v>
      </c>
      <c r="J209">
        <v>0.26</v>
      </c>
      <c r="K209" s="3">
        <v>279.00959999999998</v>
      </c>
      <c r="L209" t="s">
        <v>857</v>
      </c>
      <c r="M209" t="str">
        <f>VLOOKUP($E209,Customer_Dim!$A$2:$F$501,3,FALSE)</f>
        <v>Female</v>
      </c>
      <c r="N209" t="str">
        <f>VLOOKUP($E209,Customer_Dim!$A$2:$F$501,5,FALSE)</f>
        <v>USA</v>
      </c>
      <c r="O209" t="str">
        <f>VLOOKUP($E209,Customer_Dim!$A$2:$F$501,6,FALSE)</f>
        <v>Platinum</v>
      </c>
      <c r="P209" t="str">
        <f>VLOOKUP($A209,Store_Dim!$A$2:$F$21,3,FALSE)</f>
        <v>EastEast Davidville</v>
      </c>
    </row>
    <row r="210" spans="1:16" x14ac:dyDescent="0.25">
      <c r="A210" t="s">
        <v>817</v>
      </c>
      <c r="B210" t="s">
        <v>1981</v>
      </c>
      <c r="C210" t="s">
        <v>636</v>
      </c>
      <c r="D210" s="2">
        <v>45817</v>
      </c>
      <c r="E210" t="s">
        <v>550</v>
      </c>
      <c r="F210" t="str">
        <f>VLOOKUP($C210,Product_Dim!$A$2:$D$101,3,FALSE)</f>
        <v>Stevens, Fernandez and Martin</v>
      </c>
      <c r="G210" t="str">
        <f>VLOOKUP($C210,Product_Dim!$A$2:$D$101,2,FALSE)</f>
        <v>Home</v>
      </c>
      <c r="H210">
        <v>2</v>
      </c>
      <c r="I210">
        <v>47.86</v>
      </c>
      <c r="J210">
        <v>0.03</v>
      </c>
      <c r="K210" s="3">
        <v>92.848399999999998</v>
      </c>
      <c r="L210" t="s">
        <v>854</v>
      </c>
      <c r="M210" t="str">
        <f>VLOOKUP($E210,Customer_Dim!$A$2:$F$501,3,FALSE)</f>
        <v>Male</v>
      </c>
      <c r="N210" t="str">
        <f>VLOOKUP($E210,Customer_Dim!$A$2:$F$501,5,FALSE)</f>
        <v>USA</v>
      </c>
      <c r="O210" t="str">
        <f>VLOOKUP($E210,Customer_Dim!$A$2:$F$501,6,FALSE)</f>
        <v>Gold</v>
      </c>
      <c r="P210" t="str">
        <f>VLOOKUP($A210,Store_Dim!$A$2:$F$21,3,FALSE)</f>
        <v>EastEast Davidville</v>
      </c>
    </row>
    <row r="211" spans="1:16" hidden="1" x14ac:dyDescent="0.25">
      <c r="A211" t="s">
        <v>817</v>
      </c>
      <c r="B211" t="s">
        <v>2433</v>
      </c>
      <c r="C211" t="s">
        <v>638</v>
      </c>
      <c r="D211" s="2">
        <v>45774</v>
      </c>
      <c r="E211" t="s">
        <v>67</v>
      </c>
      <c r="F211" t="str">
        <f>VLOOKUP($C211,Product_Dim!$A$2:$D$101,3,FALSE)</f>
        <v>Nolan-Snow</v>
      </c>
      <c r="G211" t="str">
        <f>VLOOKUP($C211,Product_Dim!$A$2:$D$101,2,FALSE)</f>
        <v>Sports</v>
      </c>
      <c r="H211">
        <v>2</v>
      </c>
      <c r="I211">
        <v>613.47</v>
      </c>
      <c r="J211">
        <v>0.02</v>
      </c>
      <c r="K211" s="3">
        <v>1202.4012</v>
      </c>
      <c r="L211" t="s">
        <v>854</v>
      </c>
      <c r="M211" t="str">
        <f>VLOOKUP($E211,Customer_Dim!$A$2:$F$501,3,FALSE)</f>
        <v>Female</v>
      </c>
      <c r="N211" t="str">
        <f>VLOOKUP($E211,Customer_Dim!$A$2:$F$501,5,FALSE)</f>
        <v>USA</v>
      </c>
      <c r="O211" t="str">
        <f>VLOOKUP($E211,Customer_Dim!$A$2:$F$501,6,FALSE)</f>
        <v>Bronze</v>
      </c>
      <c r="P211" t="str">
        <f>VLOOKUP($A211,Store_Dim!$A$2:$F$21,3,FALSE)</f>
        <v>EastEast Davidville</v>
      </c>
    </row>
    <row r="212" spans="1:16" hidden="1" x14ac:dyDescent="0.25">
      <c r="A212" t="s">
        <v>817</v>
      </c>
      <c r="B212" t="s">
        <v>1740</v>
      </c>
      <c r="C212" t="s">
        <v>638</v>
      </c>
      <c r="D212" s="2">
        <v>45876</v>
      </c>
      <c r="E212" t="s">
        <v>266</v>
      </c>
      <c r="F212" t="str">
        <f>VLOOKUP($C212,Product_Dim!$A$2:$D$101,3,FALSE)</f>
        <v>Nolan-Snow</v>
      </c>
      <c r="G212" t="str">
        <f>VLOOKUP($C212,Product_Dim!$A$2:$D$101,2,FALSE)</f>
        <v>Sports</v>
      </c>
      <c r="H212">
        <v>3</v>
      </c>
      <c r="I212">
        <v>465.4</v>
      </c>
      <c r="J212">
        <v>0.28999999999999998</v>
      </c>
      <c r="K212" s="3">
        <v>991.30199999999979</v>
      </c>
      <c r="L212" t="s">
        <v>857</v>
      </c>
      <c r="M212" t="str">
        <f>VLOOKUP($E212,Customer_Dim!$A$2:$F$501,3,FALSE)</f>
        <v>Female</v>
      </c>
      <c r="N212" t="str">
        <f>VLOOKUP($E212,Customer_Dim!$A$2:$F$501,5,FALSE)</f>
        <v>USA</v>
      </c>
      <c r="O212" t="str">
        <f>VLOOKUP($E212,Customer_Dim!$A$2:$F$501,6,FALSE)</f>
        <v>Bronze</v>
      </c>
      <c r="P212" t="str">
        <f>VLOOKUP($A212,Store_Dim!$A$2:$F$21,3,FALSE)</f>
        <v>EastEast Davidville</v>
      </c>
    </row>
    <row r="213" spans="1:16" x14ac:dyDescent="0.25">
      <c r="A213" t="s">
        <v>817</v>
      </c>
      <c r="B213" t="s">
        <v>1309</v>
      </c>
      <c r="C213" t="s">
        <v>638</v>
      </c>
      <c r="D213" s="2">
        <v>45380</v>
      </c>
      <c r="E213" t="s">
        <v>340</v>
      </c>
      <c r="F213" t="str">
        <f>VLOOKUP($C213,Product_Dim!$A$2:$D$101,3,FALSE)</f>
        <v>Nolan-Snow</v>
      </c>
      <c r="G213" t="str">
        <f>VLOOKUP($C213,Product_Dim!$A$2:$D$101,2,FALSE)</f>
        <v>Sports</v>
      </c>
      <c r="H213">
        <v>2</v>
      </c>
      <c r="I213">
        <v>780.05</v>
      </c>
      <c r="J213">
        <v>0.12</v>
      </c>
      <c r="K213" s="3">
        <v>1372.8879999999999</v>
      </c>
      <c r="L213" t="s">
        <v>857</v>
      </c>
      <c r="M213" t="str">
        <f>VLOOKUP($E213,Customer_Dim!$A$2:$F$501,3,FALSE)</f>
        <v>Male</v>
      </c>
      <c r="N213" t="str">
        <f>VLOOKUP($E213,Customer_Dim!$A$2:$F$501,5,FALSE)</f>
        <v>USA</v>
      </c>
      <c r="O213" t="str">
        <f>VLOOKUP($E213,Customer_Dim!$A$2:$F$501,6,FALSE)</f>
        <v>Bronze</v>
      </c>
      <c r="P213" t="str">
        <f>VLOOKUP($A213,Store_Dim!$A$2:$F$21,3,FALSE)</f>
        <v>EastEast Davidville</v>
      </c>
    </row>
    <row r="214" spans="1:16" x14ac:dyDescent="0.25">
      <c r="A214" t="s">
        <v>817</v>
      </c>
      <c r="B214" t="s">
        <v>914</v>
      </c>
      <c r="C214" t="s">
        <v>638</v>
      </c>
      <c r="D214" s="2">
        <v>45854</v>
      </c>
      <c r="E214" t="s">
        <v>475</v>
      </c>
      <c r="F214" t="str">
        <f>VLOOKUP($C214,Product_Dim!$A$2:$D$101,3,FALSE)</f>
        <v>Nolan-Snow</v>
      </c>
      <c r="G214" t="str">
        <f>VLOOKUP($C214,Product_Dim!$A$2:$D$101,2,FALSE)</f>
        <v>Sports</v>
      </c>
      <c r="H214">
        <v>1</v>
      </c>
      <c r="I214">
        <v>198.83</v>
      </c>
      <c r="J214">
        <v>0.09</v>
      </c>
      <c r="K214" s="3">
        <v>180.93530000000001</v>
      </c>
      <c r="L214" t="s">
        <v>857</v>
      </c>
      <c r="M214" t="str">
        <f>VLOOKUP($E214,Customer_Dim!$A$2:$F$501,3,FALSE)</f>
        <v>Male</v>
      </c>
      <c r="N214" t="str">
        <f>VLOOKUP($E214,Customer_Dim!$A$2:$F$501,5,FALSE)</f>
        <v>USA</v>
      </c>
      <c r="O214" t="str">
        <f>VLOOKUP($E214,Customer_Dim!$A$2:$F$501,6,FALSE)</f>
        <v>Gold</v>
      </c>
      <c r="P214" t="str">
        <f>VLOOKUP($A214,Store_Dim!$A$2:$F$21,3,FALSE)</f>
        <v>EastEast Davidville</v>
      </c>
    </row>
    <row r="215" spans="1:16" x14ac:dyDescent="0.25">
      <c r="A215" t="s">
        <v>817</v>
      </c>
      <c r="B215" t="s">
        <v>1718</v>
      </c>
      <c r="C215" t="s">
        <v>642</v>
      </c>
      <c r="D215" s="2">
        <v>45428</v>
      </c>
      <c r="E215" t="s">
        <v>415</v>
      </c>
      <c r="F215" t="str">
        <f>VLOOKUP($C215,Product_Dim!$A$2:$D$101,3,FALSE)</f>
        <v>Weiss-Watson</v>
      </c>
      <c r="G215" t="str">
        <f>VLOOKUP($C215,Product_Dim!$A$2:$D$101,2,FALSE)</f>
        <v>Home</v>
      </c>
      <c r="H215">
        <v>2</v>
      </c>
      <c r="I215">
        <v>379.78</v>
      </c>
      <c r="J215">
        <v>0.2</v>
      </c>
      <c r="K215" s="3">
        <v>607.64800000000002</v>
      </c>
      <c r="L215" t="s">
        <v>852</v>
      </c>
      <c r="M215" t="str">
        <f>VLOOKUP($E215,Customer_Dim!$A$2:$F$501,3,FALSE)</f>
        <v>Male</v>
      </c>
      <c r="N215" t="str">
        <f>VLOOKUP($E215,Customer_Dim!$A$2:$F$501,5,FALSE)</f>
        <v>USA</v>
      </c>
      <c r="O215" t="str">
        <f>VLOOKUP($E215,Customer_Dim!$A$2:$F$501,6,FALSE)</f>
        <v>Silver</v>
      </c>
      <c r="P215" t="str">
        <f>VLOOKUP($A215,Store_Dim!$A$2:$F$21,3,FALSE)</f>
        <v>EastEast Davidville</v>
      </c>
    </row>
    <row r="216" spans="1:16" hidden="1" x14ac:dyDescent="0.25">
      <c r="A216" t="s">
        <v>817</v>
      </c>
      <c r="B216" t="s">
        <v>2071</v>
      </c>
      <c r="C216" t="s">
        <v>650</v>
      </c>
      <c r="D216" s="2">
        <v>45322</v>
      </c>
      <c r="E216" t="s">
        <v>225</v>
      </c>
      <c r="F216" t="str">
        <f>VLOOKUP($C216,Product_Dim!$A$2:$D$101,3,FALSE)</f>
        <v>Hogan-Lee</v>
      </c>
      <c r="G216" t="str">
        <f>VLOOKUP($C216,Product_Dim!$A$2:$D$101,2,FALSE)</f>
        <v>Clothing</v>
      </c>
      <c r="H216">
        <v>3</v>
      </c>
      <c r="I216">
        <v>145.25</v>
      </c>
      <c r="J216">
        <v>0.24</v>
      </c>
      <c r="K216" s="3">
        <v>331.17</v>
      </c>
      <c r="L216" t="s">
        <v>854</v>
      </c>
      <c r="M216" t="str">
        <f>VLOOKUP($E216,Customer_Dim!$A$2:$F$501,3,FALSE)</f>
        <v>Female</v>
      </c>
      <c r="N216" t="str">
        <f>VLOOKUP($E216,Customer_Dim!$A$2:$F$501,5,FALSE)</f>
        <v>USA</v>
      </c>
      <c r="O216" t="str">
        <f>VLOOKUP($E216,Customer_Dim!$A$2:$F$501,6,FALSE)</f>
        <v>Silver</v>
      </c>
      <c r="P216" t="str">
        <f>VLOOKUP($A216,Store_Dim!$A$2:$F$21,3,FALSE)</f>
        <v>EastEast Davidville</v>
      </c>
    </row>
    <row r="217" spans="1:16" hidden="1" x14ac:dyDescent="0.25">
      <c r="A217" t="s">
        <v>817</v>
      </c>
      <c r="B217" t="s">
        <v>908</v>
      </c>
      <c r="C217" t="s">
        <v>656</v>
      </c>
      <c r="D217" s="2">
        <v>45706</v>
      </c>
      <c r="E217" t="s">
        <v>156</v>
      </c>
      <c r="F217" t="str">
        <f>VLOOKUP($C217,Product_Dim!$A$2:$D$101,3,FALSE)</f>
        <v>Taylor-Hart</v>
      </c>
      <c r="G217" t="str">
        <f>VLOOKUP($C217,Product_Dim!$A$2:$D$101,2,FALSE)</f>
        <v>Electronics</v>
      </c>
      <c r="H217">
        <v>4</v>
      </c>
      <c r="I217">
        <v>428.09</v>
      </c>
      <c r="J217">
        <v>7.0000000000000007E-2</v>
      </c>
      <c r="K217" s="3">
        <v>1592.4947999999999</v>
      </c>
      <c r="L217" t="s">
        <v>852</v>
      </c>
      <c r="M217" t="str">
        <f>VLOOKUP($E217,Customer_Dim!$A$2:$F$501,3,FALSE)</f>
        <v>Female</v>
      </c>
      <c r="N217" t="str">
        <f>VLOOKUP($E217,Customer_Dim!$A$2:$F$501,5,FALSE)</f>
        <v>USA</v>
      </c>
      <c r="O217" t="str">
        <f>VLOOKUP($E217,Customer_Dim!$A$2:$F$501,6,FALSE)</f>
        <v>Platinum</v>
      </c>
      <c r="P217" t="str">
        <f>VLOOKUP($A217,Store_Dim!$A$2:$F$21,3,FALSE)</f>
        <v>EastEast Davidville</v>
      </c>
    </row>
    <row r="218" spans="1:16" hidden="1" x14ac:dyDescent="0.25">
      <c r="A218" t="s">
        <v>817</v>
      </c>
      <c r="B218" t="s">
        <v>2275</v>
      </c>
      <c r="C218" t="s">
        <v>666</v>
      </c>
      <c r="D218" s="2">
        <v>45936</v>
      </c>
      <c r="E218" t="s">
        <v>438</v>
      </c>
      <c r="F218" t="str">
        <f>VLOOKUP($C218,Product_Dim!$A$2:$D$101,3,FALSE)</f>
        <v>Bridges, Banks and Cummings</v>
      </c>
      <c r="G218" t="str">
        <f>VLOOKUP($C218,Product_Dim!$A$2:$D$101,2,FALSE)</f>
        <v>Sports</v>
      </c>
      <c r="H218">
        <v>4</v>
      </c>
      <c r="I218">
        <v>557.51</v>
      </c>
      <c r="J218">
        <v>0.11</v>
      </c>
      <c r="K218" s="3">
        <v>1984.7356</v>
      </c>
      <c r="L218" t="s">
        <v>852</v>
      </c>
      <c r="M218" t="str">
        <f>VLOOKUP($E218,Customer_Dim!$A$2:$F$501,3,FALSE)</f>
        <v>Female</v>
      </c>
      <c r="N218" t="str">
        <f>VLOOKUP($E218,Customer_Dim!$A$2:$F$501,5,FALSE)</f>
        <v>USA</v>
      </c>
      <c r="O218" t="str">
        <f>VLOOKUP($E218,Customer_Dim!$A$2:$F$501,6,FALSE)</f>
        <v>Platinum</v>
      </c>
      <c r="P218" t="str">
        <f>VLOOKUP($A218,Store_Dim!$A$2:$F$21,3,FALSE)</f>
        <v>EastEast Davidville</v>
      </c>
    </row>
    <row r="219" spans="1:16" hidden="1" x14ac:dyDescent="0.25">
      <c r="A219" t="s">
        <v>817</v>
      </c>
      <c r="B219" t="s">
        <v>2435</v>
      </c>
      <c r="C219" t="s">
        <v>668</v>
      </c>
      <c r="D219" s="2">
        <v>45268</v>
      </c>
      <c r="E219" t="s">
        <v>374</v>
      </c>
      <c r="F219" t="str">
        <f>VLOOKUP($C219,Product_Dim!$A$2:$D$101,3,FALSE)</f>
        <v>Kelly, Smith and Perez</v>
      </c>
      <c r="G219" t="str">
        <f>VLOOKUP($C219,Product_Dim!$A$2:$D$101,2,FALSE)</f>
        <v>Clothing</v>
      </c>
      <c r="H219">
        <v>1</v>
      </c>
      <c r="I219">
        <v>209.7</v>
      </c>
      <c r="J219">
        <v>0.2</v>
      </c>
      <c r="K219" s="3">
        <v>167.76</v>
      </c>
      <c r="L219" t="s">
        <v>854</v>
      </c>
      <c r="M219" t="str">
        <f>VLOOKUP($E219,Customer_Dim!$A$2:$F$501,3,FALSE)</f>
        <v>Female</v>
      </c>
      <c r="N219" t="str">
        <f>VLOOKUP($E219,Customer_Dim!$A$2:$F$501,5,FALSE)</f>
        <v>USA</v>
      </c>
      <c r="O219" t="str">
        <f>VLOOKUP($E219,Customer_Dim!$A$2:$F$501,6,FALSE)</f>
        <v>Bronze</v>
      </c>
      <c r="P219" t="str">
        <f>VLOOKUP($A219,Store_Dim!$A$2:$F$21,3,FALSE)</f>
        <v>EastEast Davidville</v>
      </c>
    </row>
    <row r="220" spans="1:16" x14ac:dyDescent="0.25">
      <c r="A220" t="s">
        <v>817</v>
      </c>
      <c r="B220" t="s">
        <v>1694</v>
      </c>
      <c r="C220" t="s">
        <v>672</v>
      </c>
      <c r="D220" s="2">
        <v>45695</v>
      </c>
      <c r="E220" t="s">
        <v>170</v>
      </c>
      <c r="F220" t="str">
        <f>VLOOKUP($C220,Product_Dim!$A$2:$D$101,3,FALSE)</f>
        <v>Byrd, Stewart and Valdez</v>
      </c>
      <c r="G220" t="str">
        <f>VLOOKUP($C220,Product_Dim!$A$2:$D$101,2,FALSE)</f>
        <v>Electronics</v>
      </c>
      <c r="H220">
        <v>4</v>
      </c>
      <c r="I220">
        <v>751.63</v>
      </c>
      <c r="J220">
        <v>0.28000000000000003</v>
      </c>
      <c r="K220" s="3">
        <v>2164.6943999999999</v>
      </c>
      <c r="L220" t="s">
        <v>857</v>
      </c>
      <c r="M220" t="str">
        <f>VLOOKUP($E220,Customer_Dim!$A$2:$F$501,3,FALSE)</f>
        <v>Male</v>
      </c>
      <c r="N220" t="str">
        <f>VLOOKUP($E220,Customer_Dim!$A$2:$F$501,5,FALSE)</f>
        <v>USA</v>
      </c>
      <c r="O220" t="str">
        <f>VLOOKUP($E220,Customer_Dim!$A$2:$F$501,6,FALSE)</f>
        <v>Bronze</v>
      </c>
      <c r="P220" t="str">
        <f>VLOOKUP($A220,Store_Dim!$A$2:$F$21,3,FALSE)</f>
        <v>EastEast Davidville</v>
      </c>
    </row>
    <row r="221" spans="1:16" hidden="1" x14ac:dyDescent="0.25">
      <c r="A221" t="s">
        <v>817</v>
      </c>
      <c r="B221" t="s">
        <v>1048</v>
      </c>
      <c r="C221" t="s">
        <v>674</v>
      </c>
      <c r="D221" s="2">
        <v>45618</v>
      </c>
      <c r="E221" t="s">
        <v>390</v>
      </c>
      <c r="F221" t="str">
        <f>VLOOKUP($C221,Product_Dim!$A$2:$D$101,3,FALSE)</f>
        <v>Sullivan and Sons</v>
      </c>
      <c r="G221" t="str">
        <f>VLOOKUP($C221,Product_Dim!$A$2:$D$101,2,FALSE)</f>
        <v>Beauty</v>
      </c>
      <c r="H221">
        <v>3</v>
      </c>
      <c r="I221">
        <v>958.15</v>
      </c>
      <c r="J221">
        <v>0.24</v>
      </c>
      <c r="K221" s="3">
        <v>2184.5819999999999</v>
      </c>
      <c r="L221" t="s">
        <v>857</v>
      </c>
      <c r="M221" t="str">
        <f>VLOOKUP($E221,Customer_Dim!$A$2:$F$501,3,FALSE)</f>
        <v>Female</v>
      </c>
      <c r="N221" t="str">
        <f>VLOOKUP($E221,Customer_Dim!$A$2:$F$501,5,FALSE)</f>
        <v>USA</v>
      </c>
      <c r="O221" t="str">
        <f>VLOOKUP($E221,Customer_Dim!$A$2:$F$501,6,FALSE)</f>
        <v>Platinum</v>
      </c>
      <c r="P221" t="str">
        <f>VLOOKUP($A221,Store_Dim!$A$2:$F$21,3,FALSE)</f>
        <v>EastEast Davidville</v>
      </c>
    </row>
    <row r="222" spans="1:16" hidden="1" x14ac:dyDescent="0.25">
      <c r="A222" t="s">
        <v>817</v>
      </c>
      <c r="B222" t="s">
        <v>2491</v>
      </c>
      <c r="C222" t="s">
        <v>583</v>
      </c>
      <c r="D222" s="2">
        <v>45709</v>
      </c>
      <c r="E222" t="s">
        <v>169</v>
      </c>
      <c r="F222" t="str">
        <f>VLOOKUP($C222,Product_Dim!$A$2:$D$101,3,FALSE)</f>
        <v>Baldwin, Garza and Gonzalez</v>
      </c>
      <c r="G222" t="str">
        <f>VLOOKUP($C222,Product_Dim!$A$2:$D$101,2,FALSE)</f>
        <v>Clothing</v>
      </c>
      <c r="H222">
        <v>2</v>
      </c>
      <c r="I222">
        <v>824.91</v>
      </c>
      <c r="J222">
        <v>0.09</v>
      </c>
      <c r="K222" s="3">
        <v>1501.3362</v>
      </c>
      <c r="L222" t="s">
        <v>852</v>
      </c>
      <c r="M222" t="str">
        <f>VLOOKUP($E222,Customer_Dim!$A$2:$F$501,3,FALSE)</f>
        <v>Female</v>
      </c>
      <c r="N222" t="str">
        <f>VLOOKUP($E222,Customer_Dim!$A$2:$F$501,5,FALSE)</f>
        <v>USA</v>
      </c>
      <c r="O222" t="str">
        <f>VLOOKUP($E222,Customer_Dim!$A$2:$F$501,6,FALSE)</f>
        <v>Platinum</v>
      </c>
      <c r="P222" t="str">
        <f>VLOOKUP($A222,Store_Dim!$A$2:$F$21,3,FALSE)</f>
        <v>EastEast Davidville</v>
      </c>
    </row>
    <row r="223" spans="1:16" x14ac:dyDescent="0.25">
      <c r="A223" t="s">
        <v>817</v>
      </c>
      <c r="B223" t="s">
        <v>1658</v>
      </c>
      <c r="C223" t="s">
        <v>583</v>
      </c>
      <c r="D223" s="2">
        <v>45778</v>
      </c>
      <c r="E223" t="s">
        <v>373</v>
      </c>
      <c r="F223" t="str">
        <f>VLOOKUP($C223,Product_Dim!$A$2:$D$101,3,FALSE)</f>
        <v>Baldwin, Garza and Gonzalez</v>
      </c>
      <c r="G223" t="str">
        <f>VLOOKUP($C223,Product_Dim!$A$2:$D$101,2,FALSE)</f>
        <v>Clothing</v>
      </c>
      <c r="H223">
        <v>2</v>
      </c>
      <c r="I223">
        <v>516.02</v>
      </c>
      <c r="J223">
        <v>0.19</v>
      </c>
      <c r="K223" s="3">
        <v>835.95240000000001</v>
      </c>
      <c r="L223" t="s">
        <v>857</v>
      </c>
      <c r="M223" t="str">
        <f>VLOOKUP($E223,Customer_Dim!$A$2:$F$501,3,FALSE)</f>
        <v>Male</v>
      </c>
      <c r="N223" t="str">
        <f>VLOOKUP($E223,Customer_Dim!$A$2:$F$501,5,FALSE)</f>
        <v>USA</v>
      </c>
      <c r="O223" t="str">
        <f>VLOOKUP($E223,Customer_Dim!$A$2:$F$501,6,FALSE)</f>
        <v>Platinum</v>
      </c>
      <c r="P223" t="str">
        <f>VLOOKUP($A223,Store_Dim!$A$2:$F$21,3,FALSE)</f>
        <v>EastEast Davidville</v>
      </c>
    </row>
    <row r="224" spans="1:16" x14ac:dyDescent="0.25">
      <c r="A224" t="s">
        <v>817</v>
      </c>
      <c r="B224" t="s">
        <v>950</v>
      </c>
      <c r="C224" t="s">
        <v>676</v>
      </c>
      <c r="D224" s="2">
        <v>45523</v>
      </c>
      <c r="E224" t="s">
        <v>310</v>
      </c>
      <c r="F224" t="str">
        <f>VLOOKUP($C224,Product_Dim!$A$2:$D$101,3,FALSE)</f>
        <v>Smith-King</v>
      </c>
      <c r="G224" t="str">
        <f>VLOOKUP($C224,Product_Dim!$A$2:$D$101,2,FALSE)</f>
        <v>Sports</v>
      </c>
      <c r="H224">
        <v>1</v>
      </c>
      <c r="I224">
        <v>842.9</v>
      </c>
      <c r="J224">
        <v>0.06</v>
      </c>
      <c r="K224" s="3">
        <v>792.32599999999991</v>
      </c>
      <c r="L224" t="s">
        <v>857</v>
      </c>
      <c r="M224" t="str">
        <f>VLOOKUP($E224,Customer_Dim!$A$2:$F$501,3,FALSE)</f>
        <v>Male</v>
      </c>
      <c r="N224" t="str">
        <f>VLOOKUP($E224,Customer_Dim!$A$2:$F$501,5,FALSE)</f>
        <v>USA</v>
      </c>
      <c r="O224" t="str">
        <f>VLOOKUP($E224,Customer_Dim!$A$2:$F$501,6,FALSE)</f>
        <v>Bronze</v>
      </c>
      <c r="P224" t="str">
        <f>VLOOKUP($A224,Store_Dim!$A$2:$F$21,3,FALSE)</f>
        <v>EastEast Davidville</v>
      </c>
    </row>
    <row r="225" spans="1:16" hidden="1" x14ac:dyDescent="0.25">
      <c r="A225" t="s">
        <v>817</v>
      </c>
      <c r="B225" t="s">
        <v>1815</v>
      </c>
      <c r="C225" t="s">
        <v>678</v>
      </c>
      <c r="D225" s="2">
        <v>45637</v>
      </c>
      <c r="E225" t="s">
        <v>451</v>
      </c>
      <c r="F225" t="str">
        <f>VLOOKUP($C225,Product_Dim!$A$2:$D$101,3,FALSE)</f>
        <v>Bautista, Green and Hale</v>
      </c>
      <c r="G225" t="str">
        <f>VLOOKUP($C225,Product_Dim!$A$2:$D$101,2,FALSE)</f>
        <v>Electronics</v>
      </c>
      <c r="H225">
        <v>3</v>
      </c>
      <c r="I225">
        <v>918.26</v>
      </c>
      <c r="J225">
        <v>0.17</v>
      </c>
      <c r="K225" s="3">
        <v>2286.4674</v>
      </c>
      <c r="L225" t="s">
        <v>857</v>
      </c>
      <c r="M225" t="str">
        <f>VLOOKUP($E225,Customer_Dim!$A$2:$F$501,3,FALSE)</f>
        <v>Female</v>
      </c>
      <c r="N225" t="str">
        <f>VLOOKUP($E225,Customer_Dim!$A$2:$F$501,5,FALSE)</f>
        <v>USA</v>
      </c>
      <c r="O225" t="str">
        <f>VLOOKUP($E225,Customer_Dim!$A$2:$F$501,6,FALSE)</f>
        <v>Bronze</v>
      </c>
      <c r="P225" t="str">
        <f>VLOOKUP($A225,Store_Dim!$A$2:$F$21,3,FALSE)</f>
        <v>EastEast Davidville</v>
      </c>
    </row>
    <row r="226" spans="1:16" hidden="1" x14ac:dyDescent="0.25">
      <c r="A226" t="s">
        <v>817</v>
      </c>
      <c r="B226" t="s">
        <v>1954</v>
      </c>
      <c r="C226" t="s">
        <v>680</v>
      </c>
      <c r="D226" s="2">
        <v>45379</v>
      </c>
      <c r="E226" t="s">
        <v>325</v>
      </c>
      <c r="F226" t="str">
        <f>VLOOKUP($C226,Product_Dim!$A$2:$D$101,3,FALSE)</f>
        <v>Harris Inc</v>
      </c>
      <c r="G226" t="str">
        <f>VLOOKUP($C226,Product_Dim!$A$2:$D$101,2,FALSE)</f>
        <v>Sports</v>
      </c>
      <c r="H226">
        <v>3</v>
      </c>
      <c r="I226">
        <v>70.88</v>
      </c>
      <c r="J226">
        <v>0.27</v>
      </c>
      <c r="K226" s="3">
        <v>155.22720000000001</v>
      </c>
      <c r="L226" t="s">
        <v>857</v>
      </c>
      <c r="M226" t="str">
        <f>VLOOKUP($E226,Customer_Dim!$A$2:$F$501,3,FALSE)</f>
        <v>Female</v>
      </c>
      <c r="N226" t="str">
        <f>VLOOKUP($E226,Customer_Dim!$A$2:$F$501,5,FALSE)</f>
        <v>USA</v>
      </c>
      <c r="O226" t="str">
        <f>VLOOKUP($E226,Customer_Dim!$A$2:$F$501,6,FALSE)</f>
        <v>Silver</v>
      </c>
      <c r="P226" t="str">
        <f>VLOOKUP($A226,Store_Dim!$A$2:$F$21,3,FALSE)</f>
        <v>EastEast Davidville</v>
      </c>
    </row>
    <row r="227" spans="1:16" x14ac:dyDescent="0.25">
      <c r="A227" t="s">
        <v>817</v>
      </c>
      <c r="B227" t="s">
        <v>1759</v>
      </c>
      <c r="C227" t="s">
        <v>680</v>
      </c>
      <c r="D227" s="2">
        <v>45799</v>
      </c>
      <c r="E227" t="s">
        <v>459</v>
      </c>
      <c r="F227" t="str">
        <f>VLOOKUP($C227,Product_Dim!$A$2:$D$101,3,FALSE)</f>
        <v>Harris Inc</v>
      </c>
      <c r="G227" t="str">
        <f>VLOOKUP($C227,Product_Dim!$A$2:$D$101,2,FALSE)</f>
        <v>Sports</v>
      </c>
      <c r="H227">
        <v>2</v>
      </c>
      <c r="I227">
        <v>295.12</v>
      </c>
      <c r="J227">
        <v>0.09</v>
      </c>
      <c r="K227" s="3">
        <v>537.11840000000007</v>
      </c>
      <c r="L227" t="s">
        <v>857</v>
      </c>
      <c r="M227" t="str">
        <f>VLOOKUP($E227,Customer_Dim!$A$2:$F$501,3,FALSE)</f>
        <v>Male</v>
      </c>
      <c r="N227" t="str">
        <f>VLOOKUP($E227,Customer_Dim!$A$2:$F$501,5,FALSE)</f>
        <v>USA</v>
      </c>
      <c r="O227" t="str">
        <f>VLOOKUP($E227,Customer_Dim!$A$2:$F$501,6,FALSE)</f>
        <v>Gold</v>
      </c>
      <c r="P227" t="str">
        <f>VLOOKUP($A227,Store_Dim!$A$2:$F$21,3,FALSE)</f>
        <v>EastEast Davidville</v>
      </c>
    </row>
    <row r="228" spans="1:16" x14ac:dyDescent="0.25">
      <c r="A228" t="s">
        <v>817</v>
      </c>
      <c r="B228" t="s">
        <v>918</v>
      </c>
      <c r="C228" t="s">
        <v>682</v>
      </c>
      <c r="D228" s="2">
        <v>45914</v>
      </c>
      <c r="E228" t="s">
        <v>321</v>
      </c>
      <c r="F228" t="str">
        <f>VLOOKUP($C228,Product_Dim!$A$2:$D$101,3,FALSE)</f>
        <v>Hamilton, Woods and Walker</v>
      </c>
      <c r="G228" t="str">
        <f>VLOOKUP($C228,Product_Dim!$A$2:$D$101,2,FALSE)</f>
        <v>Clothing</v>
      </c>
      <c r="H228">
        <v>3</v>
      </c>
      <c r="I228">
        <v>480.06</v>
      </c>
      <c r="J228">
        <v>0.01</v>
      </c>
      <c r="K228" s="3">
        <f>H228*I228-J228</f>
        <v>1440.17</v>
      </c>
      <c r="L228" t="s">
        <v>852</v>
      </c>
      <c r="M228" t="str">
        <f>VLOOKUP($E228,Customer_Dim!$A$2:$F$501,3,FALSE)</f>
        <v>Male</v>
      </c>
      <c r="N228" t="str">
        <f>VLOOKUP($E228,Customer_Dim!$A$2:$F$501,5,FALSE)</f>
        <v>USA</v>
      </c>
      <c r="O228" t="str">
        <f>VLOOKUP($E228,Customer_Dim!$A$2:$F$501,6,FALSE)</f>
        <v>Gold</v>
      </c>
      <c r="P228" t="str">
        <f>VLOOKUP($A228,Store_Dim!$A$2:$F$21,3,FALSE)</f>
        <v>EastEast Davidville</v>
      </c>
    </row>
    <row r="229" spans="1:16" x14ac:dyDescent="0.25">
      <c r="A229" t="s">
        <v>817</v>
      </c>
      <c r="B229" t="s">
        <v>2504</v>
      </c>
      <c r="C229" t="s">
        <v>682</v>
      </c>
      <c r="D229" s="2">
        <v>45929</v>
      </c>
      <c r="E229" t="s">
        <v>422</v>
      </c>
      <c r="F229" t="str">
        <f>VLOOKUP($C229,Product_Dim!$A$2:$D$101,3,FALSE)</f>
        <v>Hamilton, Woods and Walker</v>
      </c>
      <c r="G229" t="str">
        <f>VLOOKUP($C229,Product_Dim!$A$2:$D$101,2,FALSE)</f>
        <v>Clothing</v>
      </c>
      <c r="H229">
        <v>1</v>
      </c>
      <c r="I229">
        <v>899.09</v>
      </c>
      <c r="J229">
        <v>0.2</v>
      </c>
      <c r="K229" s="3">
        <v>719.27200000000005</v>
      </c>
      <c r="L229" t="s">
        <v>854</v>
      </c>
      <c r="M229" t="str">
        <f>VLOOKUP($E229,Customer_Dim!$A$2:$F$501,3,FALSE)</f>
        <v>Male</v>
      </c>
      <c r="N229" t="str">
        <f>VLOOKUP($E229,Customer_Dim!$A$2:$F$501,5,FALSE)</f>
        <v>USA</v>
      </c>
      <c r="O229" t="str">
        <f>VLOOKUP($E229,Customer_Dim!$A$2:$F$501,6,FALSE)</f>
        <v>Gold</v>
      </c>
      <c r="P229" t="str">
        <f>VLOOKUP($A229,Store_Dim!$A$2:$F$21,3,FALSE)</f>
        <v>EastEast Davidville</v>
      </c>
    </row>
    <row r="230" spans="1:16" hidden="1" x14ac:dyDescent="0.25">
      <c r="A230" t="s">
        <v>817</v>
      </c>
      <c r="B230" t="s">
        <v>1170</v>
      </c>
      <c r="C230" t="s">
        <v>684</v>
      </c>
      <c r="D230" s="2">
        <v>45435</v>
      </c>
      <c r="E230" t="s">
        <v>328</v>
      </c>
      <c r="F230" t="str">
        <f>VLOOKUP($C230,Product_Dim!$A$2:$D$101,3,FALSE)</f>
        <v>Thompson-French</v>
      </c>
      <c r="G230" t="str">
        <f>VLOOKUP($C230,Product_Dim!$A$2:$D$101,2,FALSE)</f>
        <v>Sports</v>
      </c>
      <c r="H230">
        <v>3</v>
      </c>
      <c r="I230">
        <v>977.55</v>
      </c>
      <c r="J230">
        <v>0.02</v>
      </c>
      <c r="K230" s="3">
        <v>2873.9969999999989</v>
      </c>
      <c r="L230" t="s">
        <v>854</v>
      </c>
      <c r="M230" t="str">
        <f>VLOOKUP($E230,Customer_Dim!$A$2:$F$501,3,FALSE)</f>
        <v>Female</v>
      </c>
      <c r="N230" t="str">
        <f>VLOOKUP($E230,Customer_Dim!$A$2:$F$501,5,FALSE)</f>
        <v>USA</v>
      </c>
      <c r="O230" t="str">
        <f>VLOOKUP($E230,Customer_Dim!$A$2:$F$501,6,FALSE)</f>
        <v>Silver</v>
      </c>
      <c r="P230" t="str">
        <f>VLOOKUP($A230,Store_Dim!$A$2:$F$21,3,FALSE)</f>
        <v>EastEast Davidville</v>
      </c>
    </row>
    <row r="231" spans="1:16" hidden="1" x14ac:dyDescent="0.25">
      <c r="A231" t="s">
        <v>817</v>
      </c>
      <c r="B231" t="s">
        <v>1667</v>
      </c>
      <c r="C231" t="s">
        <v>684</v>
      </c>
      <c r="D231" s="2">
        <v>45890</v>
      </c>
      <c r="E231" t="s">
        <v>401</v>
      </c>
      <c r="F231" t="str">
        <f>VLOOKUP($C231,Product_Dim!$A$2:$D$101,3,FALSE)</f>
        <v>Thompson-French</v>
      </c>
      <c r="G231" t="str">
        <f>VLOOKUP($C231,Product_Dim!$A$2:$D$101,2,FALSE)</f>
        <v>Sports</v>
      </c>
      <c r="H231">
        <v>4</v>
      </c>
      <c r="I231">
        <v>250.64</v>
      </c>
      <c r="J231">
        <v>0.1</v>
      </c>
      <c r="K231" s="3">
        <v>902.30399999999997</v>
      </c>
      <c r="L231" t="s">
        <v>854</v>
      </c>
      <c r="M231" t="str">
        <f>VLOOKUP($E231,Customer_Dim!$A$2:$F$501,3,FALSE)</f>
        <v>Female</v>
      </c>
      <c r="N231" t="str">
        <f>VLOOKUP($E231,Customer_Dim!$A$2:$F$501,5,FALSE)</f>
        <v>USA</v>
      </c>
      <c r="O231" t="str">
        <f>VLOOKUP($E231,Customer_Dim!$A$2:$F$501,6,FALSE)</f>
        <v>Silver</v>
      </c>
      <c r="P231" t="str">
        <f>VLOOKUP($A231,Store_Dim!$A$2:$F$21,3,FALSE)</f>
        <v>EastEast Davidville</v>
      </c>
    </row>
    <row r="232" spans="1:16" hidden="1" x14ac:dyDescent="0.25">
      <c r="A232" t="s">
        <v>817</v>
      </c>
      <c r="B232" t="s">
        <v>2252</v>
      </c>
      <c r="C232" t="s">
        <v>690</v>
      </c>
      <c r="D232" s="2">
        <v>45601</v>
      </c>
      <c r="E232" t="s">
        <v>197</v>
      </c>
      <c r="F232" t="str">
        <f>VLOOKUP($C232,Product_Dim!$A$2:$D$101,3,FALSE)</f>
        <v>Atkinson, Camacho and Oliver</v>
      </c>
      <c r="G232" t="str">
        <f>VLOOKUP($C232,Product_Dim!$A$2:$D$101,2,FALSE)</f>
        <v>Sports</v>
      </c>
      <c r="H232">
        <v>4</v>
      </c>
      <c r="I232">
        <v>559.59</v>
      </c>
      <c r="J232">
        <v>0.19</v>
      </c>
      <c r="K232" s="3">
        <v>1813.0716</v>
      </c>
      <c r="L232" t="s">
        <v>857</v>
      </c>
      <c r="M232" t="str">
        <f>VLOOKUP($E232,Customer_Dim!$A$2:$F$501,3,FALSE)</f>
        <v>Female</v>
      </c>
      <c r="N232" t="str">
        <f>VLOOKUP($E232,Customer_Dim!$A$2:$F$501,5,FALSE)</f>
        <v>USA</v>
      </c>
      <c r="O232" t="str">
        <f>VLOOKUP($E232,Customer_Dim!$A$2:$F$501,6,FALSE)</f>
        <v>Bronze</v>
      </c>
      <c r="P232" t="str">
        <f>VLOOKUP($A232,Store_Dim!$A$2:$F$21,3,FALSE)</f>
        <v>EastEast Davidville</v>
      </c>
    </row>
    <row r="233" spans="1:16" hidden="1" x14ac:dyDescent="0.25">
      <c r="A233" t="s">
        <v>817</v>
      </c>
      <c r="B233" t="s">
        <v>1086</v>
      </c>
      <c r="C233" t="s">
        <v>692</v>
      </c>
      <c r="D233" s="2">
        <v>45409</v>
      </c>
      <c r="E233" t="s">
        <v>212</v>
      </c>
      <c r="F233" t="str">
        <f>VLOOKUP($C233,Product_Dim!$A$2:$D$101,3,FALSE)</f>
        <v>Shepherd-Gould</v>
      </c>
      <c r="G233" t="str">
        <f>VLOOKUP($C233,Product_Dim!$A$2:$D$101,2,FALSE)</f>
        <v>Clothing</v>
      </c>
      <c r="H233">
        <v>4</v>
      </c>
      <c r="I233">
        <v>794.97</v>
      </c>
      <c r="J233">
        <v>0.24</v>
      </c>
      <c r="K233" s="3">
        <v>2416.7087999999999</v>
      </c>
      <c r="L233" t="s">
        <v>854</v>
      </c>
      <c r="M233" t="str">
        <f>VLOOKUP($E233,Customer_Dim!$A$2:$F$501,3,FALSE)</f>
        <v>Female</v>
      </c>
      <c r="N233" t="str">
        <f>VLOOKUP($E233,Customer_Dim!$A$2:$F$501,5,FALSE)</f>
        <v>USA</v>
      </c>
      <c r="O233" t="str">
        <f>VLOOKUP($E233,Customer_Dim!$A$2:$F$501,6,FALSE)</f>
        <v>Bronze</v>
      </c>
      <c r="P233" t="str">
        <f>VLOOKUP($A233,Store_Dim!$A$2:$F$21,3,FALSE)</f>
        <v>EastEast Davidville</v>
      </c>
    </row>
    <row r="234" spans="1:16" x14ac:dyDescent="0.25">
      <c r="A234" t="s">
        <v>817</v>
      </c>
      <c r="B234" t="s">
        <v>1965</v>
      </c>
      <c r="C234" t="s">
        <v>692</v>
      </c>
      <c r="D234" s="2">
        <v>45316</v>
      </c>
      <c r="E234" t="s">
        <v>341</v>
      </c>
      <c r="F234" t="str">
        <f>VLOOKUP($C234,Product_Dim!$A$2:$D$101,3,FALSE)</f>
        <v>Shepherd-Gould</v>
      </c>
      <c r="G234" t="str">
        <f>VLOOKUP($C234,Product_Dim!$A$2:$D$101,2,FALSE)</f>
        <v>Clothing</v>
      </c>
      <c r="H234">
        <v>1</v>
      </c>
      <c r="I234">
        <v>937.01</v>
      </c>
      <c r="J234">
        <v>7.0000000000000007E-2</v>
      </c>
      <c r="K234" s="3">
        <v>871.41929999999991</v>
      </c>
      <c r="L234" t="s">
        <v>852</v>
      </c>
      <c r="M234" t="str">
        <f>VLOOKUP($E234,Customer_Dim!$A$2:$F$501,3,FALSE)</f>
        <v>Male</v>
      </c>
      <c r="N234" t="str">
        <f>VLOOKUP($E234,Customer_Dim!$A$2:$F$501,5,FALSE)</f>
        <v>USA</v>
      </c>
      <c r="O234" t="str">
        <f>VLOOKUP($E234,Customer_Dim!$A$2:$F$501,6,FALSE)</f>
        <v>Silver</v>
      </c>
      <c r="P234" t="str">
        <f>VLOOKUP($A234,Store_Dim!$A$2:$F$21,3,FALSE)</f>
        <v>EastEast Davidville</v>
      </c>
    </row>
    <row r="235" spans="1:16" hidden="1" x14ac:dyDescent="0.25">
      <c r="A235" t="s">
        <v>817</v>
      </c>
      <c r="B235" t="s">
        <v>1271</v>
      </c>
      <c r="C235" t="s">
        <v>692</v>
      </c>
      <c r="D235" s="2">
        <v>45331</v>
      </c>
      <c r="E235" t="s">
        <v>450</v>
      </c>
      <c r="F235" t="str">
        <f>VLOOKUP($C235,Product_Dim!$A$2:$D$101,3,FALSE)</f>
        <v>Shepherd-Gould</v>
      </c>
      <c r="G235" t="str">
        <f>VLOOKUP($C235,Product_Dim!$A$2:$D$101,2,FALSE)</f>
        <v>Clothing</v>
      </c>
      <c r="H235">
        <v>2</v>
      </c>
      <c r="I235">
        <v>466.27</v>
      </c>
      <c r="J235">
        <v>0.11</v>
      </c>
      <c r="K235" s="3">
        <v>829.9606</v>
      </c>
      <c r="L235" t="s">
        <v>854</v>
      </c>
      <c r="M235" t="str">
        <f>VLOOKUP($E235,Customer_Dim!$A$2:$F$501,3,FALSE)</f>
        <v>Female</v>
      </c>
      <c r="N235" t="str">
        <f>VLOOKUP($E235,Customer_Dim!$A$2:$F$501,5,FALSE)</f>
        <v>USA</v>
      </c>
      <c r="O235" t="str">
        <f>VLOOKUP($E235,Customer_Dim!$A$2:$F$501,6,FALSE)</f>
        <v>Silver</v>
      </c>
      <c r="P235" t="str">
        <f>VLOOKUP($A235,Store_Dim!$A$2:$F$21,3,FALSE)</f>
        <v>EastEast Davidville</v>
      </c>
    </row>
    <row r="236" spans="1:16" hidden="1" x14ac:dyDescent="0.25">
      <c r="A236" t="s">
        <v>817</v>
      </c>
      <c r="B236" t="s">
        <v>1456</v>
      </c>
      <c r="C236" t="s">
        <v>585</v>
      </c>
      <c r="D236" s="2">
        <v>45718</v>
      </c>
      <c r="E236" t="s">
        <v>445</v>
      </c>
      <c r="F236" t="str">
        <f>VLOOKUP($C236,Product_Dim!$A$2:$D$101,3,FALSE)</f>
        <v>Davidson PLC</v>
      </c>
      <c r="G236" t="str">
        <f>VLOOKUP($C236,Product_Dim!$A$2:$D$101,2,FALSE)</f>
        <v>Beauty</v>
      </c>
      <c r="H236">
        <v>3</v>
      </c>
      <c r="I236">
        <v>483.06</v>
      </c>
      <c r="J236">
        <v>0.05</v>
      </c>
      <c r="K236" s="3">
        <v>1376.721</v>
      </c>
      <c r="L236" t="s">
        <v>852</v>
      </c>
      <c r="M236" t="str">
        <f>VLOOKUP($E236,Customer_Dim!$A$2:$F$501,3,FALSE)</f>
        <v>Female</v>
      </c>
      <c r="N236" t="str">
        <f>VLOOKUP($E236,Customer_Dim!$A$2:$F$501,5,FALSE)</f>
        <v>USA</v>
      </c>
      <c r="O236" t="str">
        <f>VLOOKUP($E236,Customer_Dim!$A$2:$F$501,6,FALSE)</f>
        <v>Bronze</v>
      </c>
      <c r="P236" t="str">
        <f>VLOOKUP($A236,Store_Dim!$A$2:$F$21,3,FALSE)</f>
        <v>EastEast Davidville</v>
      </c>
    </row>
    <row r="237" spans="1:16" x14ac:dyDescent="0.25">
      <c r="A237" t="s">
        <v>817</v>
      </c>
      <c r="B237" t="s">
        <v>2422</v>
      </c>
      <c r="C237" t="s">
        <v>585</v>
      </c>
      <c r="D237" s="2">
        <v>45789</v>
      </c>
      <c r="E237" t="s">
        <v>483</v>
      </c>
      <c r="F237" t="str">
        <f>VLOOKUP($C237,Product_Dim!$A$2:$D$101,3,FALSE)</f>
        <v>Davidson PLC</v>
      </c>
      <c r="G237" t="str">
        <f>VLOOKUP($C237,Product_Dim!$A$2:$D$101,2,FALSE)</f>
        <v>Beauty</v>
      </c>
      <c r="H237">
        <v>4</v>
      </c>
      <c r="I237">
        <v>458.58</v>
      </c>
      <c r="J237">
        <v>0.28999999999999998</v>
      </c>
      <c r="K237" s="3">
        <v>1302.3671999999999</v>
      </c>
      <c r="L237" t="s">
        <v>857</v>
      </c>
      <c r="M237" t="str">
        <f>VLOOKUP($E237,Customer_Dim!$A$2:$F$501,3,FALSE)</f>
        <v>Male</v>
      </c>
      <c r="N237" t="str">
        <f>VLOOKUP($E237,Customer_Dim!$A$2:$F$501,5,FALSE)</f>
        <v>USA</v>
      </c>
      <c r="O237" t="str">
        <f>VLOOKUP($E237,Customer_Dim!$A$2:$F$501,6,FALSE)</f>
        <v>Platinum</v>
      </c>
      <c r="P237" t="str">
        <f>VLOOKUP($A237,Store_Dim!$A$2:$F$21,3,FALSE)</f>
        <v>EastEast Davidville</v>
      </c>
    </row>
    <row r="238" spans="1:16" hidden="1" x14ac:dyDescent="0.25">
      <c r="A238" t="s">
        <v>817</v>
      </c>
      <c r="B238" t="s">
        <v>2115</v>
      </c>
      <c r="C238" t="s">
        <v>696</v>
      </c>
      <c r="D238" s="2">
        <v>45889</v>
      </c>
      <c r="E238" t="s">
        <v>219</v>
      </c>
      <c r="F238" t="str">
        <f>VLOOKUP($C238,Product_Dim!$A$2:$D$101,3,FALSE)</f>
        <v>Gibson, Green and Lopez</v>
      </c>
      <c r="G238" t="str">
        <f>VLOOKUP($C238,Product_Dim!$A$2:$D$101,2,FALSE)</f>
        <v>Beauty</v>
      </c>
      <c r="H238">
        <v>3</v>
      </c>
      <c r="I238">
        <v>118.25</v>
      </c>
      <c r="J238">
        <v>0.26</v>
      </c>
      <c r="K238" s="3">
        <v>262.51499999999999</v>
      </c>
      <c r="L238" t="s">
        <v>854</v>
      </c>
      <c r="M238" t="str">
        <f>VLOOKUP($E238,Customer_Dim!$A$2:$F$501,3,FALSE)</f>
        <v>Female</v>
      </c>
      <c r="N238" t="str">
        <f>VLOOKUP($E238,Customer_Dim!$A$2:$F$501,5,FALSE)</f>
        <v>USA</v>
      </c>
      <c r="O238" t="str">
        <f>VLOOKUP($E238,Customer_Dim!$A$2:$F$501,6,FALSE)</f>
        <v>Gold</v>
      </c>
      <c r="P238" t="str">
        <f>VLOOKUP($A238,Store_Dim!$A$2:$F$21,3,FALSE)</f>
        <v>EastEast Davidville</v>
      </c>
    </row>
    <row r="239" spans="1:16" hidden="1" x14ac:dyDescent="0.25">
      <c r="A239" t="s">
        <v>817</v>
      </c>
      <c r="B239" t="s">
        <v>1705</v>
      </c>
      <c r="C239" t="s">
        <v>696</v>
      </c>
      <c r="D239" s="2">
        <v>45484</v>
      </c>
      <c r="E239" t="s">
        <v>387</v>
      </c>
      <c r="F239" t="str">
        <f>VLOOKUP($C239,Product_Dim!$A$2:$D$101,3,FALSE)</f>
        <v>Gibson, Green and Lopez</v>
      </c>
      <c r="G239" t="str">
        <f>VLOOKUP($C239,Product_Dim!$A$2:$D$101,2,FALSE)</f>
        <v>Beauty</v>
      </c>
      <c r="H239">
        <v>4</v>
      </c>
      <c r="I239">
        <v>597.79999999999995</v>
      </c>
      <c r="J239">
        <v>0.2</v>
      </c>
      <c r="K239" s="3">
        <v>1912.96</v>
      </c>
      <c r="L239" t="s">
        <v>852</v>
      </c>
      <c r="M239" t="str">
        <f>VLOOKUP($E239,Customer_Dim!$A$2:$F$501,3,FALSE)</f>
        <v>Female</v>
      </c>
      <c r="N239" t="str">
        <f>VLOOKUP($E239,Customer_Dim!$A$2:$F$501,5,FALSE)</f>
        <v>USA</v>
      </c>
      <c r="O239" t="str">
        <f>VLOOKUP($E239,Customer_Dim!$A$2:$F$501,6,FALSE)</f>
        <v>Bronze</v>
      </c>
      <c r="P239" t="str">
        <f>VLOOKUP($A239,Store_Dim!$A$2:$F$21,3,FALSE)</f>
        <v>EastEast Davidville</v>
      </c>
    </row>
    <row r="240" spans="1:16" hidden="1" x14ac:dyDescent="0.25">
      <c r="A240" t="s">
        <v>817</v>
      </c>
      <c r="B240" t="s">
        <v>1962</v>
      </c>
      <c r="C240" t="s">
        <v>698</v>
      </c>
      <c r="D240" s="2">
        <v>45448</v>
      </c>
      <c r="E240" t="s">
        <v>436</v>
      </c>
      <c r="F240" t="str">
        <f>VLOOKUP($C240,Product_Dim!$A$2:$D$101,3,FALSE)</f>
        <v>Lopez LLC</v>
      </c>
      <c r="G240" t="str">
        <f>VLOOKUP($C240,Product_Dim!$A$2:$D$101,2,FALSE)</f>
        <v>Sports</v>
      </c>
      <c r="H240">
        <v>3</v>
      </c>
      <c r="I240">
        <v>808.87</v>
      </c>
      <c r="J240">
        <v>0.12</v>
      </c>
      <c r="K240" s="3">
        <v>2135.4168</v>
      </c>
      <c r="L240" t="s">
        <v>857</v>
      </c>
      <c r="M240" t="str">
        <f>VLOOKUP($E240,Customer_Dim!$A$2:$F$501,3,FALSE)</f>
        <v>Female</v>
      </c>
      <c r="N240" t="str">
        <f>VLOOKUP($E240,Customer_Dim!$A$2:$F$501,5,FALSE)</f>
        <v>USA</v>
      </c>
      <c r="O240" t="str">
        <f>VLOOKUP($E240,Customer_Dim!$A$2:$F$501,6,FALSE)</f>
        <v>Platinum</v>
      </c>
      <c r="P240" t="str">
        <f>VLOOKUP($A240,Store_Dim!$A$2:$F$21,3,FALSE)</f>
        <v>EastEast Davidville</v>
      </c>
    </row>
    <row r="241" spans="1:16" x14ac:dyDescent="0.25">
      <c r="A241" t="s">
        <v>817</v>
      </c>
      <c r="B241" t="s">
        <v>1862</v>
      </c>
      <c r="C241" t="s">
        <v>702</v>
      </c>
      <c r="D241" s="2">
        <v>45259</v>
      </c>
      <c r="E241" t="s">
        <v>493</v>
      </c>
      <c r="F241" t="str">
        <f>VLOOKUP($C241,Product_Dim!$A$2:$D$101,3,FALSE)</f>
        <v>Anderson-Riley</v>
      </c>
      <c r="G241" t="str">
        <f>VLOOKUP($C241,Product_Dim!$A$2:$D$101,2,FALSE)</f>
        <v>Beauty</v>
      </c>
      <c r="H241">
        <v>1</v>
      </c>
      <c r="I241">
        <v>395.18</v>
      </c>
      <c r="J241">
        <v>0.09</v>
      </c>
      <c r="K241" s="3">
        <v>359.61380000000003</v>
      </c>
      <c r="L241" t="s">
        <v>854</v>
      </c>
      <c r="M241" t="str">
        <f>VLOOKUP($E241,Customer_Dim!$A$2:$F$501,3,FALSE)</f>
        <v>Male</v>
      </c>
      <c r="N241" t="str">
        <f>VLOOKUP($E241,Customer_Dim!$A$2:$F$501,5,FALSE)</f>
        <v>USA</v>
      </c>
      <c r="O241" t="str">
        <f>VLOOKUP($E241,Customer_Dim!$A$2:$F$501,6,FALSE)</f>
        <v>Platinum</v>
      </c>
      <c r="P241" t="str">
        <f>VLOOKUP($A241,Store_Dim!$A$2:$F$21,3,FALSE)</f>
        <v>EastEast Davidville</v>
      </c>
    </row>
    <row r="242" spans="1:16" x14ac:dyDescent="0.25">
      <c r="A242" t="s">
        <v>817</v>
      </c>
      <c r="B242" t="s">
        <v>2423</v>
      </c>
      <c r="C242" t="s">
        <v>706</v>
      </c>
      <c r="D242" s="2">
        <v>45452</v>
      </c>
      <c r="E242" t="s">
        <v>176</v>
      </c>
      <c r="F242" t="str">
        <f>VLOOKUP($C242,Product_Dim!$A$2:$D$101,3,FALSE)</f>
        <v>Montgomery, Benton and Miller</v>
      </c>
      <c r="G242" t="str">
        <f>VLOOKUP($C242,Product_Dim!$A$2:$D$101,2,FALSE)</f>
        <v>Sports</v>
      </c>
      <c r="H242">
        <v>4</v>
      </c>
      <c r="I242">
        <v>704.49</v>
      </c>
      <c r="J242">
        <v>0.05</v>
      </c>
      <c r="K242" s="3">
        <v>2677.0619999999999</v>
      </c>
      <c r="L242" t="s">
        <v>857</v>
      </c>
      <c r="M242" t="str">
        <f>VLOOKUP($E242,Customer_Dim!$A$2:$F$501,3,FALSE)</f>
        <v>Male</v>
      </c>
      <c r="N242" t="str">
        <f>VLOOKUP($E242,Customer_Dim!$A$2:$F$501,5,FALSE)</f>
        <v>USA</v>
      </c>
      <c r="O242" t="str">
        <f>VLOOKUP($E242,Customer_Dim!$A$2:$F$501,6,FALSE)</f>
        <v>Gold</v>
      </c>
      <c r="P242" t="str">
        <f>VLOOKUP($A242,Store_Dim!$A$2:$F$21,3,FALSE)</f>
        <v>EastEast Davidville</v>
      </c>
    </row>
    <row r="243" spans="1:16" x14ac:dyDescent="0.25">
      <c r="A243" t="s">
        <v>817</v>
      </c>
      <c r="B243" t="s">
        <v>1602</v>
      </c>
      <c r="C243" t="s">
        <v>710</v>
      </c>
      <c r="D243" s="2">
        <v>45917</v>
      </c>
      <c r="E243" t="s">
        <v>263</v>
      </c>
      <c r="F243" t="str">
        <f>VLOOKUP($C243,Product_Dim!$A$2:$D$101,3,FALSE)</f>
        <v>Flores-Davis</v>
      </c>
      <c r="G243" t="str">
        <f>VLOOKUP($C243,Product_Dim!$A$2:$D$101,2,FALSE)</f>
        <v>Electronics</v>
      </c>
      <c r="H243">
        <v>4</v>
      </c>
      <c r="I243">
        <v>602.39</v>
      </c>
      <c r="J243">
        <v>0.19</v>
      </c>
      <c r="K243" s="3">
        <v>1951.7436</v>
      </c>
      <c r="L243" t="s">
        <v>857</v>
      </c>
      <c r="M243" t="str">
        <f>VLOOKUP($E243,Customer_Dim!$A$2:$F$501,3,FALSE)</f>
        <v>Male</v>
      </c>
      <c r="N243" t="str">
        <f>VLOOKUP($E243,Customer_Dim!$A$2:$F$501,5,FALSE)</f>
        <v>USA</v>
      </c>
      <c r="O243" t="str">
        <f>VLOOKUP($E243,Customer_Dim!$A$2:$F$501,6,FALSE)</f>
        <v>Bronze</v>
      </c>
      <c r="P243" t="str">
        <f>VLOOKUP($A243,Store_Dim!$A$2:$F$21,3,FALSE)</f>
        <v>EastEast Davidville</v>
      </c>
    </row>
    <row r="244" spans="1:16" hidden="1" x14ac:dyDescent="0.25">
      <c r="A244" t="s">
        <v>817</v>
      </c>
      <c r="B244" t="s">
        <v>2561</v>
      </c>
      <c r="C244" t="s">
        <v>710</v>
      </c>
      <c r="D244" s="2">
        <v>45778</v>
      </c>
      <c r="E244" t="s">
        <v>504</v>
      </c>
      <c r="F244" t="str">
        <f>VLOOKUP($C244,Product_Dim!$A$2:$D$101,3,FALSE)</f>
        <v>Flores-Davis</v>
      </c>
      <c r="G244" t="str">
        <f>VLOOKUP($C244,Product_Dim!$A$2:$D$101,2,FALSE)</f>
        <v>Electronics</v>
      </c>
      <c r="H244">
        <v>4</v>
      </c>
      <c r="I244">
        <v>359.71</v>
      </c>
      <c r="J244">
        <v>0.05</v>
      </c>
      <c r="K244" s="3">
        <v>1366.8979999999999</v>
      </c>
      <c r="L244" t="s">
        <v>854</v>
      </c>
      <c r="M244" t="str">
        <f>VLOOKUP($E244,Customer_Dim!$A$2:$F$501,3,FALSE)</f>
        <v>Female</v>
      </c>
      <c r="N244" t="str">
        <f>VLOOKUP($E244,Customer_Dim!$A$2:$F$501,5,FALSE)</f>
        <v>USA</v>
      </c>
      <c r="O244" t="str">
        <f>VLOOKUP($E244,Customer_Dim!$A$2:$F$501,6,FALSE)</f>
        <v>Platinum</v>
      </c>
      <c r="P244" t="str">
        <f>VLOOKUP($A244,Store_Dim!$A$2:$F$21,3,FALSE)</f>
        <v>EastEast Davidville</v>
      </c>
    </row>
    <row r="245" spans="1:16" x14ac:dyDescent="0.25">
      <c r="A245" t="s">
        <v>817</v>
      </c>
      <c r="B245" t="s">
        <v>1196</v>
      </c>
      <c r="C245" t="s">
        <v>712</v>
      </c>
      <c r="D245" s="2">
        <v>45557</v>
      </c>
      <c r="E245" t="s">
        <v>287</v>
      </c>
      <c r="F245" t="str">
        <f>VLOOKUP($C245,Product_Dim!$A$2:$D$101,3,FALSE)</f>
        <v>Wolfe, Ross and Hester</v>
      </c>
      <c r="G245" t="str">
        <f>VLOOKUP($C245,Product_Dim!$A$2:$D$101,2,FALSE)</f>
        <v>Home</v>
      </c>
      <c r="H245">
        <v>2</v>
      </c>
      <c r="I245">
        <v>692.72</v>
      </c>
      <c r="J245">
        <v>0.13</v>
      </c>
      <c r="K245" s="3">
        <v>1205.3327999999999</v>
      </c>
      <c r="L245" t="s">
        <v>854</v>
      </c>
      <c r="M245" t="str">
        <f>VLOOKUP($E245,Customer_Dim!$A$2:$F$501,3,FALSE)</f>
        <v>Male</v>
      </c>
      <c r="N245" t="str">
        <f>VLOOKUP($E245,Customer_Dim!$A$2:$F$501,5,FALSE)</f>
        <v>USA</v>
      </c>
      <c r="O245" t="str">
        <f>VLOOKUP($E245,Customer_Dim!$A$2:$F$501,6,FALSE)</f>
        <v>Platinum</v>
      </c>
      <c r="P245" t="str">
        <f>VLOOKUP($A245,Store_Dim!$A$2:$F$21,3,FALSE)</f>
        <v>EastEast Davidville</v>
      </c>
    </row>
    <row r="246" spans="1:16" hidden="1" x14ac:dyDescent="0.25">
      <c r="A246" t="s">
        <v>817</v>
      </c>
      <c r="B246" t="s">
        <v>876</v>
      </c>
      <c r="C246" t="s">
        <v>714</v>
      </c>
      <c r="D246" s="2">
        <v>45394</v>
      </c>
      <c r="E246" t="s">
        <v>543</v>
      </c>
      <c r="F246" t="str">
        <f>VLOOKUP($C246,Product_Dim!$A$2:$D$101,3,FALSE)</f>
        <v>Fitzpatrick Ltd</v>
      </c>
      <c r="G246" t="str">
        <f>VLOOKUP($C246,Product_Dim!$A$2:$D$101,2,FALSE)</f>
        <v>Clothing</v>
      </c>
      <c r="H246">
        <v>3</v>
      </c>
      <c r="I246">
        <v>979.42</v>
      </c>
      <c r="J246">
        <v>0.03</v>
      </c>
      <c r="K246" s="3">
        <v>2850.1122</v>
      </c>
      <c r="L246" t="s">
        <v>854</v>
      </c>
      <c r="M246" t="str">
        <f>VLOOKUP($E246,Customer_Dim!$A$2:$F$501,3,FALSE)</f>
        <v>Female</v>
      </c>
      <c r="N246" t="str">
        <f>VLOOKUP($E246,Customer_Dim!$A$2:$F$501,5,FALSE)</f>
        <v>USA</v>
      </c>
      <c r="O246" t="str">
        <f>VLOOKUP($E246,Customer_Dim!$A$2:$F$501,6,FALSE)</f>
        <v>Gold</v>
      </c>
      <c r="P246" t="str">
        <f>VLOOKUP($A246,Store_Dim!$A$2:$F$21,3,FALSE)</f>
        <v>EastEast Davidville</v>
      </c>
    </row>
    <row r="247" spans="1:16" x14ac:dyDescent="0.25">
      <c r="A247" t="s">
        <v>817</v>
      </c>
      <c r="B247" t="s">
        <v>2624</v>
      </c>
      <c r="C247" t="s">
        <v>588</v>
      </c>
      <c r="D247" s="2">
        <v>45487</v>
      </c>
      <c r="E247" t="s">
        <v>410</v>
      </c>
      <c r="F247" t="str">
        <f>VLOOKUP($C247,Product_Dim!$A$2:$D$101,3,FALSE)</f>
        <v>Harrell LLC</v>
      </c>
      <c r="G247" t="str">
        <f>VLOOKUP($C247,Product_Dim!$A$2:$D$101,2,FALSE)</f>
        <v>Home</v>
      </c>
      <c r="H247">
        <v>4</v>
      </c>
      <c r="I247">
        <v>614.76</v>
      </c>
      <c r="J247">
        <v>0.16</v>
      </c>
      <c r="K247" s="3">
        <v>2065.5936000000002</v>
      </c>
      <c r="L247" t="s">
        <v>852</v>
      </c>
      <c r="M247" t="str">
        <f>VLOOKUP($E247,Customer_Dim!$A$2:$F$501,3,FALSE)</f>
        <v>Male</v>
      </c>
      <c r="N247" t="str">
        <f>VLOOKUP($E247,Customer_Dim!$A$2:$F$501,5,FALSE)</f>
        <v>USA</v>
      </c>
      <c r="O247" t="str">
        <f>VLOOKUP($E247,Customer_Dim!$A$2:$F$501,6,FALSE)</f>
        <v>Bronze</v>
      </c>
      <c r="P247" t="str">
        <f>VLOOKUP($A247,Store_Dim!$A$2:$F$21,3,FALSE)</f>
        <v>EastEast Davidville</v>
      </c>
    </row>
    <row r="248" spans="1:16" x14ac:dyDescent="0.25">
      <c r="A248" t="s">
        <v>817</v>
      </c>
      <c r="B248" t="s">
        <v>2016</v>
      </c>
      <c r="C248" t="s">
        <v>718</v>
      </c>
      <c r="D248" s="2">
        <v>45438</v>
      </c>
      <c r="E248" t="s">
        <v>253</v>
      </c>
      <c r="F248" t="str">
        <f>VLOOKUP($C248,Product_Dim!$A$2:$D$101,3,FALSE)</f>
        <v>Hopkins Ltd</v>
      </c>
      <c r="G248" t="str">
        <f>VLOOKUP($C248,Product_Dim!$A$2:$D$101,2,FALSE)</f>
        <v>Beauty</v>
      </c>
      <c r="H248">
        <v>2</v>
      </c>
      <c r="I248">
        <v>913.08</v>
      </c>
      <c r="J248">
        <v>0.26</v>
      </c>
      <c r="K248" s="3">
        <v>1351.3584000000001</v>
      </c>
      <c r="L248" t="s">
        <v>852</v>
      </c>
      <c r="M248" t="str">
        <f>VLOOKUP($E248,Customer_Dim!$A$2:$F$501,3,FALSE)</f>
        <v>Male</v>
      </c>
      <c r="N248" t="str">
        <f>VLOOKUP($E248,Customer_Dim!$A$2:$F$501,5,FALSE)</f>
        <v>USA</v>
      </c>
      <c r="O248" t="str">
        <f>VLOOKUP($E248,Customer_Dim!$A$2:$F$501,6,FALSE)</f>
        <v>Silver</v>
      </c>
      <c r="P248" t="str">
        <f>VLOOKUP($A248,Store_Dim!$A$2:$F$21,3,FALSE)</f>
        <v>EastEast Davidville</v>
      </c>
    </row>
    <row r="249" spans="1:16" x14ac:dyDescent="0.25">
      <c r="A249" t="s">
        <v>817</v>
      </c>
      <c r="B249" t="s">
        <v>922</v>
      </c>
      <c r="C249" t="s">
        <v>720</v>
      </c>
      <c r="D249" s="2">
        <v>45270</v>
      </c>
      <c r="E249" t="s">
        <v>439</v>
      </c>
      <c r="F249" t="str">
        <f>VLOOKUP($C249,Product_Dim!$A$2:$D$101,3,FALSE)</f>
        <v>Davis PLC</v>
      </c>
      <c r="G249" t="str">
        <f>VLOOKUP($C249,Product_Dim!$A$2:$D$101,2,FALSE)</f>
        <v>Sports</v>
      </c>
      <c r="H249">
        <v>4</v>
      </c>
      <c r="I249">
        <v>62.48</v>
      </c>
      <c r="J249">
        <v>0.18</v>
      </c>
      <c r="K249" s="3">
        <v>204.93440000000001</v>
      </c>
      <c r="L249" t="s">
        <v>852</v>
      </c>
      <c r="M249" t="str">
        <f>VLOOKUP($E249,Customer_Dim!$A$2:$F$501,3,FALSE)</f>
        <v>Male</v>
      </c>
      <c r="N249" t="str">
        <f>VLOOKUP($E249,Customer_Dim!$A$2:$F$501,5,FALSE)</f>
        <v>USA</v>
      </c>
      <c r="O249" t="str">
        <f>VLOOKUP($E249,Customer_Dim!$A$2:$F$501,6,FALSE)</f>
        <v>Bronze</v>
      </c>
      <c r="P249" t="str">
        <f>VLOOKUP($A249,Store_Dim!$A$2:$F$21,3,FALSE)</f>
        <v>EastEast Davidville</v>
      </c>
    </row>
    <row r="250" spans="1:16" x14ac:dyDescent="0.25">
      <c r="A250" t="s">
        <v>817</v>
      </c>
      <c r="B250" t="s">
        <v>1856</v>
      </c>
      <c r="C250" t="s">
        <v>722</v>
      </c>
      <c r="D250" s="2">
        <v>45566</v>
      </c>
      <c r="E250" t="s">
        <v>171</v>
      </c>
      <c r="F250" t="str">
        <f>VLOOKUP($C250,Product_Dim!$A$2:$D$101,3,FALSE)</f>
        <v>French Ltd</v>
      </c>
      <c r="G250" t="str">
        <f>VLOOKUP($C250,Product_Dim!$A$2:$D$101,2,FALSE)</f>
        <v>Sports</v>
      </c>
      <c r="H250">
        <v>3</v>
      </c>
      <c r="I250">
        <v>909.11</v>
      </c>
      <c r="J250">
        <v>0.23</v>
      </c>
      <c r="K250" s="3">
        <v>2100.0441000000001</v>
      </c>
      <c r="L250" t="s">
        <v>857</v>
      </c>
      <c r="M250" t="str">
        <f>VLOOKUP($E250,Customer_Dim!$A$2:$F$501,3,FALSE)</f>
        <v>Male</v>
      </c>
      <c r="N250" t="str">
        <f>VLOOKUP($E250,Customer_Dim!$A$2:$F$501,5,FALSE)</f>
        <v>USA</v>
      </c>
      <c r="O250" t="str">
        <f>VLOOKUP($E250,Customer_Dim!$A$2:$F$501,6,FALSE)</f>
        <v>Silver</v>
      </c>
      <c r="P250" t="str">
        <f>VLOOKUP($A250,Store_Dim!$A$2:$F$21,3,FALSE)</f>
        <v>EastEast Davidville</v>
      </c>
    </row>
    <row r="251" spans="1:16" hidden="1" x14ac:dyDescent="0.25">
      <c r="A251" t="s">
        <v>817</v>
      </c>
      <c r="B251" t="s">
        <v>2686</v>
      </c>
      <c r="C251" t="s">
        <v>722</v>
      </c>
      <c r="D251" s="2">
        <v>45327</v>
      </c>
      <c r="E251" t="s">
        <v>500</v>
      </c>
      <c r="F251" t="str">
        <f>VLOOKUP($C251,Product_Dim!$A$2:$D$101,3,FALSE)</f>
        <v>French Ltd</v>
      </c>
      <c r="G251" t="str">
        <f>VLOOKUP($C251,Product_Dim!$A$2:$D$101,2,FALSE)</f>
        <v>Sports</v>
      </c>
      <c r="H251">
        <v>4</v>
      </c>
      <c r="I251">
        <v>166.93</v>
      </c>
      <c r="J251">
        <v>0.02</v>
      </c>
      <c r="K251" s="3">
        <v>654.36559999999997</v>
      </c>
      <c r="L251" t="s">
        <v>854</v>
      </c>
      <c r="M251" t="str">
        <f>VLOOKUP($E251,Customer_Dim!$A$2:$F$501,3,FALSE)</f>
        <v>Female</v>
      </c>
      <c r="N251" t="str">
        <f>VLOOKUP($E251,Customer_Dim!$A$2:$F$501,5,FALSE)</f>
        <v>USA</v>
      </c>
      <c r="O251" t="str">
        <f>VLOOKUP($E251,Customer_Dim!$A$2:$F$501,6,FALSE)</f>
        <v>Silver</v>
      </c>
      <c r="P251" t="str">
        <f>VLOOKUP($A251,Store_Dim!$A$2:$F$21,3,FALSE)</f>
        <v>EastEast Davidville</v>
      </c>
    </row>
    <row r="252" spans="1:16" hidden="1" x14ac:dyDescent="0.25">
      <c r="A252" t="s">
        <v>817</v>
      </c>
      <c r="B252" t="s">
        <v>1379</v>
      </c>
      <c r="C252" t="s">
        <v>724</v>
      </c>
      <c r="D252" s="2">
        <v>45569</v>
      </c>
      <c r="E252" t="s">
        <v>228</v>
      </c>
      <c r="F252" t="str">
        <f>VLOOKUP($C252,Product_Dim!$A$2:$D$101,3,FALSE)</f>
        <v>Bruce-Bowen</v>
      </c>
      <c r="G252" t="str">
        <f>VLOOKUP($C252,Product_Dim!$A$2:$D$101,2,FALSE)</f>
        <v>Electronics</v>
      </c>
      <c r="H252">
        <v>2</v>
      </c>
      <c r="I252">
        <v>407.46</v>
      </c>
      <c r="J252">
        <v>0.21</v>
      </c>
      <c r="K252" s="3">
        <v>643.78679999999997</v>
      </c>
      <c r="L252" t="s">
        <v>852</v>
      </c>
      <c r="M252" t="str">
        <f>VLOOKUP($E252,Customer_Dim!$A$2:$F$501,3,FALSE)</f>
        <v>Female</v>
      </c>
      <c r="N252" t="str">
        <f>VLOOKUP($E252,Customer_Dim!$A$2:$F$501,5,FALSE)</f>
        <v>USA</v>
      </c>
      <c r="O252" t="str">
        <f>VLOOKUP($E252,Customer_Dim!$A$2:$F$501,6,FALSE)</f>
        <v>Silver</v>
      </c>
      <c r="P252" t="str">
        <f>VLOOKUP($A252,Store_Dim!$A$2:$F$21,3,FALSE)</f>
        <v>EastEast Davidville</v>
      </c>
    </row>
    <row r="253" spans="1:16" hidden="1" x14ac:dyDescent="0.25">
      <c r="A253" t="s">
        <v>817</v>
      </c>
      <c r="B253" t="s">
        <v>1327</v>
      </c>
      <c r="C253" t="s">
        <v>724</v>
      </c>
      <c r="D253" s="2">
        <v>45864</v>
      </c>
      <c r="E253" t="s">
        <v>451</v>
      </c>
      <c r="F253" t="str">
        <f>VLOOKUP($C253,Product_Dim!$A$2:$D$101,3,FALSE)</f>
        <v>Bruce-Bowen</v>
      </c>
      <c r="G253" t="str">
        <f>VLOOKUP($C253,Product_Dim!$A$2:$D$101,2,FALSE)</f>
        <v>Electronics</v>
      </c>
      <c r="H253">
        <v>1</v>
      </c>
      <c r="I253">
        <v>30.94</v>
      </c>
      <c r="J253">
        <v>0.21</v>
      </c>
      <c r="K253" s="3">
        <v>24.442599999999999</v>
      </c>
      <c r="L253" t="s">
        <v>857</v>
      </c>
      <c r="M253" t="str">
        <f>VLOOKUP($E253,Customer_Dim!$A$2:$F$501,3,FALSE)</f>
        <v>Female</v>
      </c>
      <c r="N253" t="str">
        <f>VLOOKUP($E253,Customer_Dim!$A$2:$F$501,5,FALSE)</f>
        <v>USA</v>
      </c>
      <c r="O253" t="str">
        <f>VLOOKUP($E253,Customer_Dim!$A$2:$F$501,6,FALSE)</f>
        <v>Bronze</v>
      </c>
      <c r="P253" t="str">
        <f>VLOOKUP($A253,Store_Dim!$A$2:$F$21,3,FALSE)</f>
        <v>EastEast Davidville</v>
      </c>
    </row>
    <row r="254" spans="1:16" hidden="1" x14ac:dyDescent="0.25">
      <c r="A254" t="s">
        <v>817</v>
      </c>
      <c r="B254" t="s">
        <v>1896</v>
      </c>
      <c r="C254" t="s">
        <v>726</v>
      </c>
      <c r="D254" s="2">
        <v>45906</v>
      </c>
      <c r="E254" t="s">
        <v>235</v>
      </c>
      <c r="F254" t="str">
        <f>VLOOKUP($C254,Product_Dim!$A$2:$D$101,3,FALSE)</f>
        <v>Poole PLC</v>
      </c>
      <c r="G254" t="str">
        <f>VLOOKUP($C254,Product_Dim!$A$2:$D$101,2,FALSE)</f>
        <v>Clothing</v>
      </c>
      <c r="H254">
        <v>4</v>
      </c>
      <c r="I254">
        <v>552.38</v>
      </c>
      <c r="J254">
        <v>0.1</v>
      </c>
      <c r="K254" s="3">
        <v>1988.568</v>
      </c>
      <c r="L254" t="s">
        <v>854</v>
      </c>
      <c r="M254" t="str">
        <f>VLOOKUP($E254,Customer_Dim!$A$2:$F$501,3,FALSE)</f>
        <v>Female</v>
      </c>
      <c r="N254" t="str">
        <f>VLOOKUP($E254,Customer_Dim!$A$2:$F$501,5,FALSE)</f>
        <v>USA</v>
      </c>
      <c r="O254" t="str">
        <f>VLOOKUP($E254,Customer_Dim!$A$2:$F$501,6,FALSE)</f>
        <v>Platinum</v>
      </c>
      <c r="P254" t="str">
        <f>VLOOKUP($A254,Store_Dim!$A$2:$F$21,3,FALSE)</f>
        <v>EastEast Davidville</v>
      </c>
    </row>
    <row r="255" spans="1:16" x14ac:dyDescent="0.25">
      <c r="A255" t="s">
        <v>817</v>
      </c>
      <c r="B255" t="s">
        <v>1467</v>
      </c>
      <c r="C255" t="s">
        <v>726</v>
      </c>
      <c r="D255" s="2">
        <v>45772</v>
      </c>
      <c r="E255" t="s">
        <v>492</v>
      </c>
      <c r="F255" t="str">
        <f>VLOOKUP($C255,Product_Dim!$A$2:$D$101,3,FALSE)</f>
        <v>Poole PLC</v>
      </c>
      <c r="G255" t="str">
        <f>VLOOKUP($C255,Product_Dim!$A$2:$D$101,2,FALSE)</f>
        <v>Clothing</v>
      </c>
      <c r="H255">
        <v>4</v>
      </c>
      <c r="I255">
        <v>659.03</v>
      </c>
      <c r="J255">
        <v>0.15</v>
      </c>
      <c r="K255" s="3">
        <v>2240.7020000000002</v>
      </c>
      <c r="L255" t="s">
        <v>852</v>
      </c>
      <c r="M255" t="str">
        <f>VLOOKUP($E255,Customer_Dim!$A$2:$F$501,3,FALSE)</f>
        <v>Male</v>
      </c>
      <c r="N255" t="str">
        <f>VLOOKUP($E255,Customer_Dim!$A$2:$F$501,5,FALSE)</f>
        <v>USA</v>
      </c>
      <c r="O255" t="str">
        <f>VLOOKUP($E255,Customer_Dim!$A$2:$F$501,6,FALSE)</f>
        <v>Bronze</v>
      </c>
      <c r="P255" t="str">
        <f>VLOOKUP($A255,Store_Dim!$A$2:$F$21,3,FALSE)</f>
        <v>EastEast Davidville</v>
      </c>
    </row>
    <row r="256" spans="1:16" hidden="1" x14ac:dyDescent="0.25">
      <c r="A256" t="s">
        <v>817</v>
      </c>
      <c r="B256" t="s">
        <v>930</v>
      </c>
      <c r="C256" t="s">
        <v>728</v>
      </c>
      <c r="D256" s="2">
        <v>45285</v>
      </c>
      <c r="E256" t="s">
        <v>49</v>
      </c>
      <c r="F256" t="str">
        <f>VLOOKUP($C256,Product_Dim!$A$2:$D$101,3,FALSE)</f>
        <v>Larson Ltd</v>
      </c>
      <c r="G256" t="str">
        <f>VLOOKUP($C256,Product_Dim!$A$2:$D$101,2,FALSE)</f>
        <v>Electronics</v>
      </c>
      <c r="H256">
        <v>2</v>
      </c>
      <c r="I256">
        <v>686.31</v>
      </c>
      <c r="J256">
        <v>0.25</v>
      </c>
      <c r="K256" s="3">
        <v>1029.4649999999999</v>
      </c>
      <c r="L256" t="s">
        <v>852</v>
      </c>
      <c r="M256" t="str">
        <f>VLOOKUP($E256,Customer_Dim!$A$2:$F$501,3,FALSE)</f>
        <v>Female</v>
      </c>
      <c r="N256" t="str">
        <f>VLOOKUP($E256,Customer_Dim!$A$2:$F$501,5,FALSE)</f>
        <v>USA</v>
      </c>
      <c r="O256" t="str">
        <f>VLOOKUP($E256,Customer_Dim!$A$2:$F$501,6,FALSE)</f>
        <v>Platinum</v>
      </c>
      <c r="P256" t="str">
        <f>VLOOKUP($A256,Store_Dim!$A$2:$F$21,3,FALSE)</f>
        <v>EastEast Davidville</v>
      </c>
    </row>
    <row r="257" spans="1:16" x14ac:dyDescent="0.25">
      <c r="A257" t="s">
        <v>817</v>
      </c>
      <c r="B257" t="s">
        <v>1729</v>
      </c>
      <c r="C257" t="s">
        <v>728</v>
      </c>
      <c r="D257" s="2">
        <v>45493</v>
      </c>
      <c r="E257" t="s">
        <v>82</v>
      </c>
      <c r="F257" t="str">
        <f>VLOOKUP($C257,Product_Dim!$A$2:$D$101,3,FALSE)</f>
        <v>Larson Ltd</v>
      </c>
      <c r="G257" t="str">
        <f>VLOOKUP($C257,Product_Dim!$A$2:$D$101,2,FALSE)</f>
        <v>Electronics</v>
      </c>
      <c r="H257">
        <v>4</v>
      </c>
      <c r="I257">
        <v>762.94</v>
      </c>
      <c r="J257">
        <v>0.09</v>
      </c>
      <c r="K257" s="3">
        <v>2777.1016</v>
      </c>
      <c r="L257" t="s">
        <v>857</v>
      </c>
      <c r="M257" t="str">
        <f>VLOOKUP($E257,Customer_Dim!$A$2:$F$501,3,FALSE)</f>
        <v>Male</v>
      </c>
      <c r="N257" t="str">
        <f>VLOOKUP($E257,Customer_Dim!$A$2:$F$501,5,FALSE)</f>
        <v>USA</v>
      </c>
      <c r="O257" t="str">
        <f>VLOOKUP($E257,Customer_Dim!$A$2:$F$501,6,FALSE)</f>
        <v>Platinum</v>
      </c>
      <c r="P257" t="str">
        <f>VLOOKUP($A257,Store_Dim!$A$2:$F$21,3,FALSE)</f>
        <v>EastEast Davidville</v>
      </c>
    </row>
    <row r="258" spans="1:16" x14ac:dyDescent="0.25">
      <c r="A258" t="s">
        <v>817</v>
      </c>
      <c r="B258" t="s">
        <v>1791</v>
      </c>
      <c r="C258" t="s">
        <v>728</v>
      </c>
      <c r="D258" s="2">
        <v>45543</v>
      </c>
      <c r="E258" t="s">
        <v>118</v>
      </c>
      <c r="F258" t="str">
        <f>VLOOKUP($C258,Product_Dim!$A$2:$D$101,3,FALSE)</f>
        <v>Larson Ltd</v>
      </c>
      <c r="G258" t="str">
        <f>VLOOKUP($C258,Product_Dim!$A$2:$D$101,2,FALSE)</f>
        <v>Electronics</v>
      </c>
      <c r="H258">
        <v>3</v>
      </c>
      <c r="I258">
        <v>904.48</v>
      </c>
      <c r="J258">
        <v>0.21</v>
      </c>
      <c r="K258" s="3">
        <v>2143.6176</v>
      </c>
      <c r="L258" t="s">
        <v>854</v>
      </c>
      <c r="M258" t="str">
        <f>VLOOKUP($E258,Customer_Dim!$A$2:$F$501,3,FALSE)</f>
        <v>Male</v>
      </c>
      <c r="N258" t="str">
        <f>VLOOKUP($E258,Customer_Dim!$A$2:$F$501,5,FALSE)</f>
        <v>USA</v>
      </c>
      <c r="O258" t="str">
        <f>VLOOKUP($E258,Customer_Dim!$A$2:$F$501,6,FALSE)</f>
        <v>Silver</v>
      </c>
      <c r="P258" t="str">
        <f>VLOOKUP($A258,Store_Dim!$A$2:$F$21,3,FALSE)</f>
        <v>EastEast Davidville</v>
      </c>
    </row>
    <row r="259" spans="1:16" hidden="1" x14ac:dyDescent="0.25">
      <c r="A259" t="s">
        <v>817</v>
      </c>
      <c r="B259" t="s">
        <v>1241</v>
      </c>
      <c r="C259" t="s">
        <v>736</v>
      </c>
      <c r="D259" s="2">
        <v>45892</v>
      </c>
      <c r="E259" t="s">
        <v>117</v>
      </c>
      <c r="F259" t="str">
        <f>VLOOKUP($C259,Product_Dim!$A$2:$D$101,3,FALSE)</f>
        <v>Allison Ltd</v>
      </c>
      <c r="G259" t="str">
        <f>VLOOKUP($C259,Product_Dim!$A$2:$D$101,2,FALSE)</f>
        <v>Home</v>
      </c>
      <c r="H259">
        <v>4</v>
      </c>
      <c r="I259">
        <v>773.81</v>
      </c>
      <c r="J259">
        <v>0.08</v>
      </c>
      <c r="K259" s="3">
        <v>2847.6208000000001</v>
      </c>
      <c r="L259" t="s">
        <v>857</v>
      </c>
      <c r="M259" t="str">
        <f>VLOOKUP($E259,Customer_Dim!$A$2:$F$501,3,FALSE)</f>
        <v>Female</v>
      </c>
      <c r="N259" t="str">
        <f>VLOOKUP($E259,Customer_Dim!$A$2:$F$501,5,FALSE)</f>
        <v>USA</v>
      </c>
      <c r="O259" t="str">
        <f>VLOOKUP($E259,Customer_Dim!$A$2:$F$501,6,FALSE)</f>
        <v>Silver</v>
      </c>
      <c r="P259" t="str">
        <f>VLOOKUP($A259,Store_Dim!$A$2:$F$21,3,FALSE)</f>
        <v>EastEast Davidville</v>
      </c>
    </row>
    <row r="260" spans="1:16" hidden="1" x14ac:dyDescent="0.25">
      <c r="A260" t="s">
        <v>817</v>
      </c>
      <c r="B260" t="s">
        <v>2453</v>
      </c>
      <c r="C260" t="s">
        <v>736</v>
      </c>
      <c r="D260" s="2">
        <v>45567</v>
      </c>
      <c r="E260" t="s">
        <v>301</v>
      </c>
      <c r="F260" t="str">
        <f>VLOOKUP($C260,Product_Dim!$A$2:$D$101,3,FALSE)</f>
        <v>Allison Ltd</v>
      </c>
      <c r="G260" t="str">
        <f>VLOOKUP($C260,Product_Dim!$A$2:$D$101,2,FALSE)</f>
        <v>Home</v>
      </c>
      <c r="H260">
        <v>2</v>
      </c>
      <c r="I260">
        <v>61.31</v>
      </c>
      <c r="J260">
        <v>0.15</v>
      </c>
      <c r="K260" s="3">
        <v>104.227</v>
      </c>
      <c r="L260" t="s">
        <v>857</v>
      </c>
      <c r="M260" t="str">
        <f>VLOOKUP($E260,Customer_Dim!$A$2:$F$501,3,FALSE)</f>
        <v>Female</v>
      </c>
      <c r="N260" t="str">
        <f>VLOOKUP($E260,Customer_Dim!$A$2:$F$501,5,FALSE)</f>
        <v>USA</v>
      </c>
      <c r="O260" t="str">
        <f>VLOOKUP($E260,Customer_Dim!$A$2:$F$501,6,FALSE)</f>
        <v>Bronze</v>
      </c>
      <c r="P260" t="str">
        <f>VLOOKUP($A260,Store_Dim!$A$2:$F$21,3,FALSE)</f>
        <v>EastEast Davidville</v>
      </c>
    </row>
    <row r="261" spans="1:16" hidden="1" x14ac:dyDescent="0.25">
      <c r="A261" t="s">
        <v>817</v>
      </c>
      <c r="B261" t="s">
        <v>2796</v>
      </c>
      <c r="C261" t="s">
        <v>736</v>
      </c>
      <c r="D261" s="2">
        <v>45679</v>
      </c>
      <c r="E261" t="s">
        <v>327</v>
      </c>
      <c r="F261" t="str">
        <f>VLOOKUP($C261,Product_Dim!$A$2:$D$101,3,FALSE)</f>
        <v>Allison Ltd</v>
      </c>
      <c r="G261" t="str">
        <f>VLOOKUP($C261,Product_Dim!$A$2:$D$101,2,FALSE)</f>
        <v>Home</v>
      </c>
      <c r="H261">
        <v>4</v>
      </c>
      <c r="I261">
        <v>87.83</v>
      </c>
      <c r="J261">
        <v>0.23</v>
      </c>
      <c r="K261" s="3">
        <v>270.51639999999998</v>
      </c>
      <c r="L261" t="s">
        <v>854</v>
      </c>
      <c r="M261" t="str">
        <f>VLOOKUP($E261,Customer_Dim!$A$2:$F$501,3,FALSE)</f>
        <v>Female</v>
      </c>
      <c r="N261" t="str">
        <f>VLOOKUP($E261,Customer_Dim!$A$2:$F$501,5,FALSE)</f>
        <v>USA</v>
      </c>
      <c r="O261" t="str">
        <f>VLOOKUP($E261,Customer_Dim!$A$2:$F$501,6,FALSE)</f>
        <v>Silver</v>
      </c>
      <c r="P261" t="str">
        <f>VLOOKUP($A261,Store_Dim!$A$2:$F$21,3,FALSE)</f>
        <v>EastEast Davidville</v>
      </c>
    </row>
    <row r="262" spans="1:16" hidden="1" x14ac:dyDescent="0.25">
      <c r="A262" t="s">
        <v>817</v>
      </c>
      <c r="B262" t="s">
        <v>1329</v>
      </c>
      <c r="C262" t="s">
        <v>738</v>
      </c>
      <c r="D262" s="2">
        <v>45797</v>
      </c>
      <c r="E262" t="s">
        <v>230</v>
      </c>
      <c r="F262" t="str">
        <f>VLOOKUP($C262,Product_Dim!$A$2:$D$101,3,FALSE)</f>
        <v>Robinson-Brown</v>
      </c>
      <c r="G262" t="str">
        <f>VLOOKUP($C262,Product_Dim!$A$2:$D$101,2,FALSE)</f>
        <v>Sports</v>
      </c>
      <c r="H262">
        <v>2</v>
      </c>
      <c r="I262">
        <v>145.26</v>
      </c>
      <c r="J262">
        <v>0.19</v>
      </c>
      <c r="K262" s="3">
        <v>235.3212</v>
      </c>
      <c r="L262" t="s">
        <v>854</v>
      </c>
      <c r="M262" t="str">
        <f>VLOOKUP($E262,Customer_Dim!$A$2:$F$501,3,FALSE)</f>
        <v>Female</v>
      </c>
      <c r="N262" t="str">
        <f>VLOOKUP($E262,Customer_Dim!$A$2:$F$501,5,FALSE)</f>
        <v>USA</v>
      </c>
      <c r="O262" t="str">
        <f>VLOOKUP($E262,Customer_Dim!$A$2:$F$501,6,FALSE)</f>
        <v>Silver</v>
      </c>
      <c r="P262" t="str">
        <f>VLOOKUP($A262,Store_Dim!$A$2:$F$21,3,FALSE)</f>
        <v>EastEast Davidville</v>
      </c>
    </row>
    <row r="263" spans="1:16" hidden="1" x14ac:dyDescent="0.25">
      <c r="A263" t="s">
        <v>817</v>
      </c>
      <c r="B263" t="s">
        <v>2454</v>
      </c>
      <c r="C263" t="s">
        <v>738</v>
      </c>
      <c r="D263" s="2">
        <v>45223</v>
      </c>
      <c r="E263" t="s">
        <v>409</v>
      </c>
      <c r="F263" t="str">
        <f>VLOOKUP($C263,Product_Dim!$A$2:$D$101,3,FALSE)</f>
        <v>Robinson-Brown</v>
      </c>
      <c r="G263" t="str">
        <f>VLOOKUP($C263,Product_Dim!$A$2:$D$101,2,FALSE)</f>
        <v>Sports</v>
      </c>
      <c r="H263">
        <v>2</v>
      </c>
      <c r="I263">
        <v>870.13</v>
      </c>
      <c r="J263">
        <v>0.23</v>
      </c>
      <c r="K263" s="3">
        <v>1340.0001999999999</v>
      </c>
      <c r="L263" t="s">
        <v>852</v>
      </c>
      <c r="M263" t="str">
        <f>VLOOKUP($E263,Customer_Dim!$A$2:$F$501,3,FALSE)</f>
        <v>Female</v>
      </c>
      <c r="N263" t="str">
        <f>VLOOKUP($E263,Customer_Dim!$A$2:$F$501,5,FALSE)</f>
        <v>USA</v>
      </c>
      <c r="O263" t="str">
        <f>VLOOKUP($E263,Customer_Dim!$A$2:$F$501,6,FALSE)</f>
        <v>Bronze</v>
      </c>
      <c r="P263" t="str">
        <f>VLOOKUP($A263,Store_Dim!$A$2:$F$21,3,FALSE)</f>
        <v>EastEast Davidville</v>
      </c>
    </row>
    <row r="264" spans="1:16" hidden="1" x14ac:dyDescent="0.25">
      <c r="A264" t="s">
        <v>817</v>
      </c>
      <c r="B264" t="s">
        <v>1644</v>
      </c>
      <c r="C264" t="s">
        <v>740</v>
      </c>
      <c r="D264" s="2">
        <v>45875</v>
      </c>
      <c r="E264" t="s">
        <v>529</v>
      </c>
      <c r="F264" t="str">
        <f>VLOOKUP($C264,Product_Dim!$A$2:$D$101,3,FALSE)</f>
        <v>Reese-Watson</v>
      </c>
      <c r="G264" t="str">
        <f>VLOOKUP($C264,Product_Dim!$A$2:$D$101,2,FALSE)</f>
        <v>Sports</v>
      </c>
      <c r="H264">
        <v>2</v>
      </c>
      <c r="I264">
        <v>807.1</v>
      </c>
      <c r="J264">
        <v>0.28999999999999998</v>
      </c>
      <c r="K264" s="3">
        <v>1146.0820000000001</v>
      </c>
      <c r="L264" t="s">
        <v>852</v>
      </c>
      <c r="M264" t="str">
        <f>VLOOKUP($E264,Customer_Dim!$A$2:$F$501,3,FALSE)</f>
        <v>Female</v>
      </c>
      <c r="N264" t="str">
        <f>VLOOKUP($E264,Customer_Dim!$A$2:$F$501,5,FALSE)</f>
        <v>USA</v>
      </c>
      <c r="O264" t="str">
        <f>VLOOKUP($E264,Customer_Dim!$A$2:$F$501,6,FALSE)</f>
        <v>Silver</v>
      </c>
      <c r="P264" t="str">
        <f>VLOOKUP($A264,Store_Dim!$A$2:$F$21,3,FALSE)</f>
        <v>EastEast Davidville</v>
      </c>
    </row>
    <row r="265" spans="1:16" x14ac:dyDescent="0.25">
      <c r="A265" t="s">
        <v>817</v>
      </c>
      <c r="B265" t="s">
        <v>1487</v>
      </c>
      <c r="C265" t="s">
        <v>742</v>
      </c>
      <c r="D265" s="2">
        <v>45338</v>
      </c>
      <c r="E265" t="s">
        <v>516</v>
      </c>
      <c r="F265" t="str">
        <f>VLOOKUP($C265,Product_Dim!$A$2:$D$101,3,FALSE)</f>
        <v>Butler Group</v>
      </c>
      <c r="G265" t="str">
        <f>VLOOKUP($C265,Product_Dim!$A$2:$D$101,2,FALSE)</f>
        <v>Beauty</v>
      </c>
      <c r="H265">
        <v>1</v>
      </c>
      <c r="I265">
        <v>343.05</v>
      </c>
      <c r="J265">
        <v>0.28000000000000003</v>
      </c>
      <c r="K265" s="3">
        <v>246.99600000000001</v>
      </c>
      <c r="L265" t="s">
        <v>854</v>
      </c>
      <c r="M265" t="str">
        <f>VLOOKUP($E265,Customer_Dim!$A$2:$F$501,3,FALSE)</f>
        <v>Male</v>
      </c>
      <c r="N265" t="str">
        <f>VLOOKUP($E265,Customer_Dim!$A$2:$F$501,5,FALSE)</f>
        <v>USA</v>
      </c>
      <c r="O265" t="str">
        <f>VLOOKUP($E265,Customer_Dim!$A$2:$F$501,6,FALSE)</f>
        <v>Bronze</v>
      </c>
      <c r="P265" t="str">
        <f>VLOOKUP($A265,Store_Dim!$A$2:$F$21,3,FALSE)</f>
        <v>EastEast Davidville</v>
      </c>
    </row>
    <row r="266" spans="1:16" x14ac:dyDescent="0.25">
      <c r="A266" t="s">
        <v>817</v>
      </c>
      <c r="B266" t="s">
        <v>1231</v>
      </c>
      <c r="C266" t="s">
        <v>742</v>
      </c>
      <c r="D266" s="2">
        <v>45744</v>
      </c>
      <c r="E266" t="s">
        <v>522</v>
      </c>
      <c r="F266" t="str">
        <f>VLOOKUP($C266,Product_Dim!$A$2:$D$101,3,FALSE)</f>
        <v>Butler Group</v>
      </c>
      <c r="G266" t="str">
        <f>VLOOKUP($C266,Product_Dim!$A$2:$D$101,2,FALSE)</f>
        <v>Beauty</v>
      </c>
      <c r="H266">
        <v>1</v>
      </c>
      <c r="I266">
        <v>995.52</v>
      </c>
      <c r="J266">
        <v>0.22</v>
      </c>
      <c r="K266" s="3">
        <v>776.50559999999996</v>
      </c>
      <c r="L266" t="s">
        <v>854</v>
      </c>
      <c r="M266" t="str">
        <f>VLOOKUP($E266,Customer_Dim!$A$2:$F$501,3,FALSE)</f>
        <v>Male</v>
      </c>
      <c r="N266" t="str">
        <f>VLOOKUP($E266,Customer_Dim!$A$2:$F$501,5,FALSE)</f>
        <v>USA</v>
      </c>
      <c r="O266" t="str">
        <f>VLOOKUP($E266,Customer_Dim!$A$2:$F$501,6,FALSE)</f>
        <v>Gold</v>
      </c>
      <c r="P266" t="str">
        <f>VLOOKUP($A266,Store_Dim!$A$2:$F$21,3,FALSE)</f>
        <v>EastEast Davidville</v>
      </c>
    </row>
    <row r="267" spans="1:16" hidden="1" x14ac:dyDescent="0.25">
      <c r="A267" t="s">
        <v>817</v>
      </c>
      <c r="B267" t="s">
        <v>2290</v>
      </c>
      <c r="C267" t="s">
        <v>748</v>
      </c>
      <c r="D267" s="2">
        <v>45830</v>
      </c>
      <c r="E267" t="s">
        <v>238</v>
      </c>
      <c r="F267" t="str">
        <f>VLOOKUP($C267,Product_Dim!$A$2:$D$101,3,FALSE)</f>
        <v>Taylor, Dodson and Johnston</v>
      </c>
      <c r="G267" t="str">
        <f>VLOOKUP($C267,Product_Dim!$A$2:$D$101,2,FALSE)</f>
        <v>Home</v>
      </c>
      <c r="H267">
        <v>2</v>
      </c>
      <c r="I267">
        <v>611.25</v>
      </c>
      <c r="J267">
        <v>0.22</v>
      </c>
      <c r="K267" s="3">
        <v>953.55000000000007</v>
      </c>
      <c r="L267" t="s">
        <v>852</v>
      </c>
      <c r="M267" t="str">
        <f>VLOOKUP($E267,Customer_Dim!$A$2:$F$501,3,FALSE)</f>
        <v>Female</v>
      </c>
      <c r="N267" t="str">
        <f>VLOOKUP($E267,Customer_Dim!$A$2:$F$501,5,FALSE)</f>
        <v>USA</v>
      </c>
      <c r="O267" t="str">
        <f>VLOOKUP($E267,Customer_Dim!$A$2:$F$501,6,FALSE)</f>
        <v>Gold</v>
      </c>
      <c r="P267" t="str">
        <f>VLOOKUP($A267,Store_Dim!$A$2:$F$21,3,FALSE)</f>
        <v>EastEast Davidville</v>
      </c>
    </row>
    <row r="268" spans="1:16" x14ac:dyDescent="0.25">
      <c r="A268" t="s">
        <v>817</v>
      </c>
      <c r="B268" t="s">
        <v>1843</v>
      </c>
      <c r="C268" t="s">
        <v>752</v>
      </c>
      <c r="D268" s="2">
        <v>45694</v>
      </c>
      <c r="E268" t="s">
        <v>510</v>
      </c>
      <c r="F268" t="str">
        <f>VLOOKUP($C268,Product_Dim!$A$2:$D$101,3,FALSE)</f>
        <v>Olsen-Daniels</v>
      </c>
      <c r="G268" t="str">
        <f>VLOOKUP($C268,Product_Dim!$A$2:$D$101,2,FALSE)</f>
        <v>Sports</v>
      </c>
      <c r="H268">
        <v>1</v>
      </c>
      <c r="I268">
        <v>66.14</v>
      </c>
      <c r="J268">
        <v>0.14000000000000001</v>
      </c>
      <c r="K268" s="3">
        <v>56.880400000000002</v>
      </c>
      <c r="L268" t="s">
        <v>857</v>
      </c>
      <c r="M268" t="str">
        <f>VLOOKUP($E268,Customer_Dim!$A$2:$F$501,3,FALSE)</f>
        <v>Male</v>
      </c>
      <c r="N268" t="str">
        <f>VLOOKUP($E268,Customer_Dim!$A$2:$F$501,5,FALSE)</f>
        <v>USA</v>
      </c>
      <c r="O268" t="str">
        <f>VLOOKUP($E268,Customer_Dim!$A$2:$F$501,6,FALSE)</f>
        <v>Silver</v>
      </c>
      <c r="P268" t="str">
        <f>VLOOKUP($A268,Store_Dim!$A$2:$F$21,3,FALSE)</f>
        <v>EastEast Davidville</v>
      </c>
    </row>
    <row r="269" spans="1:16" hidden="1" x14ac:dyDescent="0.25">
      <c r="A269" t="s">
        <v>817</v>
      </c>
      <c r="B269" t="s">
        <v>2170</v>
      </c>
      <c r="C269" t="s">
        <v>752</v>
      </c>
      <c r="D269" s="2">
        <v>45405</v>
      </c>
      <c r="E269" t="s">
        <v>552</v>
      </c>
      <c r="F269" t="str">
        <f>VLOOKUP($C269,Product_Dim!$A$2:$D$101,3,FALSE)</f>
        <v>Olsen-Daniels</v>
      </c>
      <c r="G269" t="str">
        <f>VLOOKUP($C269,Product_Dim!$A$2:$D$101,2,FALSE)</f>
        <v>Sports</v>
      </c>
      <c r="H269">
        <v>4</v>
      </c>
      <c r="I269">
        <v>216.81</v>
      </c>
      <c r="J269">
        <v>0.28999999999999998</v>
      </c>
      <c r="K269" s="3">
        <v>615.74040000000002</v>
      </c>
      <c r="L269" t="s">
        <v>852</v>
      </c>
      <c r="M269" t="str">
        <f>VLOOKUP($E269,Customer_Dim!$A$2:$F$501,3,FALSE)</f>
        <v>Female</v>
      </c>
      <c r="N269" t="str">
        <f>VLOOKUP($E269,Customer_Dim!$A$2:$F$501,5,FALSE)</f>
        <v>USA</v>
      </c>
      <c r="O269" t="str">
        <f>VLOOKUP($E269,Customer_Dim!$A$2:$F$501,6,FALSE)</f>
        <v>Bronze</v>
      </c>
      <c r="P269" t="str">
        <f>VLOOKUP($A269,Store_Dim!$A$2:$F$21,3,FALSE)</f>
        <v>EastEast Davidville</v>
      </c>
    </row>
    <row r="270" spans="1:16" hidden="1" x14ac:dyDescent="0.25">
      <c r="A270" t="s">
        <v>817</v>
      </c>
      <c r="B270" t="s">
        <v>1235</v>
      </c>
      <c r="C270" t="s">
        <v>754</v>
      </c>
      <c r="D270" s="2">
        <v>45427</v>
      </c>
      <c r="E270" t="s">
        <v>130</v>
      </c>
      <c r="F270" t="str">
        <f>VLOOKUP($C270,Product_Dim!$A$2:$D$101,3,FALSE)</f>
        <v>Taylor-Elliott</v>
      </c>
      <c r="G270" t="str">
        <f>VLOOKUP($C270,Product_Dim!$A$2:$D$101,2,FALSE)</f>
        <v>Beauty</v>
      </c>
      <c r="H270">
        <v>3</v>
      </c>
      <c r="I270">
        <v>437.96</v>
      </c>
      <c r="J270">
        <v>0.27</v>
      </c>
      <c r="K270" s="3">
        <v>959.13239999999985</v>
      </c>
      <c r="L270" t="s">
        <v>857</v>
      </c>
      <c r="M270" t="str">
        <f>VLOOKUP($E270,Customer_Dim!$A$2:$F$501,3,FALSE)</f>
        <v>Female</v>
      </c>
      <c r="N270" t="str">
        <f>VLOOKUP($E270,Customer_Dim!$A$2:$F$501,5,FALSE)</f>
        <v>USA</v>
      </c>
      <c r="O270" t="str">
        <f>VLOOKUP($E270,Customer_Dim!$A$2:$F$501,6,FALSE)</f>
        <v>Gold</v>
      </c>
      <c r="P270" t="str">
        <f>VLOOKUP($A270,Store_Dim!$A$2:$F$21,3,FALSE)</f>
        <v>EastEast Davidville</v>
      </c>
    </row>
    <row r="271" spans="1:16" x14ac:dyDescent="0.25">
      <c r="A271" t="s">
        <v>817</v>
      </c>
      <c r="B271" t="s">
        <v>2851</v>
      </c>
      <c r="C271" t="s">
        <v>754</v>
      </c>
      <c r="D271" s="2">
        <v>45460</v>
      </c>
      <c r="E271" t="s">
        <v>192</v>
      </c>
      <c r="F271" t="str">
        <f>VLOOKUP($C271,Product_Dim!$A$2:$D$101,3,FALSE)</f>
        <v>Taylor-Elliott</v>
      </c>
      <c r="G271" t="str">
        <f>VLOOKUP($C271,Product_Dim!$A$2:$D$101,2,FALSE)</f>
        <v>Beauty</v>
      </c>
      <c r="H271">
        <v>2</v>
      </c>
      <c r="I271">
        <v>685.31</v>
      </c>
      <c r="J271">
        <v>0.26</v>
      </c>
      <c r="K271" s="3">
        <v>1014.2588</v>
      </c>
      <c r="L271" t="s">
        <v>854</v>
      </c>
      <c r="M271" t="str">
        <f>VLOOKUP($E271,Customer_Dim!$A$2:$F$501,3,FALSE)</f>
        <v>Male</v>
      </c>
      <c r="N271" t="str">
        <f>VLOOKUP($E271,Customer_Dim!$A$2:$F$501,5,FALSE)</f>
        <v>USA</v>
      </c>
      <c r="O271" t="str">
        <f>VLOOKUP($E271,Customer_Dim!$A$2:$F$501,6,FALSE)</f>
        <v>Silver</v>
      </c>
      <c r="P271" t="str">
        <f>VLOOKUP($A271,Store_Dim!$A$2:$F$21,3,FALSE)</f>
        <v>EastEast Davidville</v>
      </c>
    </row>
    <row r="272" spans="1:16" x14ac:dyDescent="0.25">
      <c r="A272" t="s">
        <v>817</v>
      </c>
      <c r="B272" t="s">
        <v>1026</v>
      </c>
      <c r="C272" t="s">
        <v>754</v>
      </c>
      <c r="D272" s="2">
        <v>45267</v>
      </c>
      <c r="E272" t="s">
        <v>411</v>
      </c>
      <c r="F272" t="str">
        <f>VLOOKUP($C272,Product_Dim!$A$2:$D$101,3,FALSE)</f>
        <v>Taylor-Elliott</v>
      </c>
      <c r="G272" t="str">
        <f>VLOOKUP($C272,Product_Dim!$A$2:$D$101,2,FALSE)</f>
        <v>Beauty</v>
      </c>
      <c r="H272">
        <v>2</v>
      </c>
      <c r="I272">
        <v>827.92</v>
      </c>
      <c r="J272">
        <v>0.25</v>
      </c>
      <c r="K272" s="3">
        <v>1241.8800000000001</v>
      </c>
      <c r="L272" t="s">
        <v>857</v>
      </c>
      <c r="M272" t="str">
        <f>VLOOKUP($E272,Customer_Dim!$A$2:$F$501,3,FALSE)</f>
        <v>Male</v>
      </c>
      <c r="N272" t="str">
        <f>VLOOKUP($E272,Customer_Dim!$A$2:$F$501,5,FALSE)</f>
        <v>USA</v>
      </c>
      <c r="O272" t="str">
        <f>VLOOKUP($E272,Customer_Dim!$A$2:$F$501,6,FALSE)</f>
        <v>Gold</v>
      </c>
      <c r="P272" t="str">
        <f>VLOOKUP($A272,Store_Dim!$A$2:$F$21,3,FALSE)</f>
        <v>EastEast Davidville</v>
      </c>
    </row>
    <row r="273" spans="1:16" hidden="1" x14ac:dyDescent="0.25">
      <c r="A273" t="s">
        <v>817</v>
      </c>
      <c r="B273" t="s">
        <v>1470</v>
      </c>
      <c r="C273" t="s">
        <v>593</v>
      </c>
      <c r="D273" s="2">
        <v>45497</v>
      </c>
      <c r="E273" t="s">
        <v>208</v>
      </c>
      <c r="F273" t="str">
        <f>VLOOKUP($C273,Product_Dim!$A$2:$D$101,3,FALSE)</f>
        <v>Hill PLC</v>
      </c>
      <c r="G273" t="str">
        <f>VLOOKUP($C273,Product_Dim!$A$2:$D$101,2,FALSE)</f>
        <v>Sports</v>
      </c>
      <c r="H273">
        <v>4</v>
      </c>
      <c r="I273">
        <v>386.41</v>
      </c>
      <c r="J273">
        <v>0.13</v>
      </c>
      <c r="K273" s="3">
        <v>1344.7067999999999</v>
      </c>
      <c r="L273" t="s">
        <v>857</v>
      </c>
      <c r="M273" t="str">
        <f>VLOOKUP($E273,Customer_Dim!$A$2:$F$501,3,FALSE)</f>
        <v>Female</v>
      </c>
      <c r="N273" t="str">
        <f>VLOOKUP($E273,Customer_Dim!$A$2:$F$501,5,FALSE)</f>
        <v>USA</v>
      </c>
      <c r="O273" t="str">
        <f>VLOOKUP($E273,Customer_Dim!$A$2:$F$501,6,FALSE)</f>
        <v>Bronze</v>
      </c>
      <c r="P273" t="str">
        <f>VLOOKUP($A273,Store_Dim!$A$2:$F$21,3,FALSE)</f>
        <v>EastEast Davidville</v>
      </c>
    </row>
    <row r="274" spans="1:16" hidden="1" x14ac:dyDescent="0.25">
      <c r="A274" t="s">
        <v>817</v>
      </c>
      <c r="B274" t="s">
        <v>1711</v>
      </c>
      <c r="C274" t="s">
        <v>762</v>
      </c>
      <c r="D274" s="2">
        <v>45769</v>
      </c>
      <c r="E274" t="s">
        <v>381</v>
      </c>
      <c r="F274" t="str">
        <f>VLOOKUP($C274,Product_Dim!$A$2:$D$101,3,FALSE)</f>
        <v>Martin LLC</v>
      </c>
      <c r="G274" t="str">
        <f>VLOOKUP($C274,Product_Dim!$A$2:$D$101,2,FALSE)</f>
        <v>Electronics</v>
      </c>
      <c r="H274">
        <v>4</v>
      </c>
      <c r="I274">
        <v>370.5</v>
      </c>
      <c r="J274">
        <v>0.13</v>
      </c>
      <c r="K274" s="3">
        <v>1289.3399999999999</v>
      </c>
      <c r="L274" t="s">
        <v>854</v>
      </c>
      <c r="M274" t="str">
        <f>VLOOKUP($E274,Customer_Dim!$A$2:$F$501,3,FALSE)</f>
        <v>Female</v>
      </c>
      <c r="N274" t="str">
        <f>VLOOKUP($E274,Customer_Dim!$A$2:$F$501,5,FALSE)</f>
        <v>USA</v>
      </c>
      <c r="O274" t="str">
        <f>VLOOKUP($E274,Customer_Dim!$A$2:$F$501,6,FALSE)</f>
        <v>Silver</v>
      </c>
      <c r="P274" t="str">
        <f>VLOOKUP($A274,Store_Dim!$A$2:$F$21,3,FALSE)</f>
        <v>EastEast Davidville</v>
      </c>
    </row>
    <row r="275" spans="1:16" x14ac:dyDescent="0.25">
      <c r="A275" t="s">
        <v>817</v>
      </c>
      <c r="B275" t="s">
        <v>2661</v>
      </c>
      <c r="C275" t="s">
        <v>764</v>
      </c>
      <c r="D275" s="2">
        <v>45757</v>
      </c>
      <c r="E275" t="s">
        <v>209</v>
      </c>
      <c r="F275" t="str">
        <f>VLOOKUP($C275,Product_Dim!$A$2:$D$101,3,FALSE)</f>
        <v>Hoffman-Williams</v>
      </c>
      <c r="G275" t="str">
        <f>VLOOKUP($C275,Product_Dim!$A$2:$D$101,2,FALSE)</f>
        <v>Beauty</v>
      </c>
      <c r="H275">
        <v>4</v>
      </c>
      <c r="I275">
        <v>33.630000000000003</v>
      </c>
      <c r="J275">
        <v>0.05</v>
      </c>
      <c r="K275" s="3">
        <v>127.794</v>
      </c>
      <c r="L275" t="s">
        <v>852</v>
      </c>
      <c r="M275" t="str">
        <f>VLOOKUP($E275,Customer_Dim!$A$2:$F$501,3,FALSE)</f>
        <v>Male</v>
      </c>
      <c r="N275" t="str">
        <f>VLOOKUP($E275,Customer_Dim!$A$2:$F$501,5,FALSE)</f>
        <v>USA</v>
      </c>
      <c r="O275" t="str">
        <f>VLOOKUP($E275,Customer_Dim!$A$2:$F$501,6,FALSE)</f>
        <v>Platinum</v>
      </c>
      <c r="P275" t="str">
        <f>VLOOKUP($A275,Store_Dim!$A$2:$F$21,3,FALSE)</f>
        <v>EastEast Davidville</v>
      </c>
    </row>
    <row r="276" spans="1:16" hidden="1" x14ac:dyDescent="0.25">
      <c r="A276" t="s">
        <v>817</v>
      </c>
      <c r="B276" t="s">
        <v>2585</v>
      </c>
      <c r="C276" t="s">
        <v>764</v>
      </c>
      <c r="D276" s="2">
        <v>45231</v>
      </c>
      <c r="E276" t="s">
        <v>284</v>
      </c>
      <c r="F276" t="str">
        <f>VLOOKUP($C276,Product_Dim!$A$2:$D$101,3,FALSE)</f>
        <v>Hoffman-Williams</v>
      </c>
      <c r="G276" t="str">
        <f>VLOOKUP($C276,Product_Dim!$A$2:$D$101,2,FALSE)</f>
        <v>Beauty</v>
      </c>
      <c r="H276">
        <v>2</v>
      </c>
      <c r="I276">
        <v>886.67</v>
      </c>
      <c r="J276">
        <v>0.24</v>
      </c>
      <c r="K276" s="3">
        <v>1347.7384</v>
      </c>
      <c r="L276" t="s">
        <v>854</v>
      </c>
      <c r="M276" t="str">
        <f>VLOOKUP($E276,Customer_Dim!$A$2:$F$501,3,FALSE)</f>
        <v>Female</v>
      </c>
      <c r="N276" t="str">
        <f>VLOOKUP($E276,Customer_Dim!$A$2:$F$501,5,FALSE)</f>
        <v>USA</v>
      </c>
      <c r="O276" t="str">
        <f>VLOOKUP($E276,Customer_Dim!$A$2:$F$501,6,FALSE)</f>
        <v>Gold</v>
      </c>
      <c r="P276" t="str">
        <f>VLOOKUP($A276,Store_Dim!$A$2:$F$21,3,FALSE)</f>
        <v>EastEast Davidville</v>
      </c>
    </row>
    <row r="277" spans="1:16" x14ac:dyDescent="0.25">
      <c r="A277" t="s">
        <v>817</v>
      </c>
      <c r="B277" t="s">
        <v>2802</v>
      </c>
      <c r="C277" t="s">
        <v>764</v>
      </c>
      <c r="D277" s="2">
        <v>45293</v>
      </c>
      <c r="E277" t="s">
        <v>492</v>
      </c>
      <c r="F277" t="str">
        <f>VLOOKUP($C277,Product_Dim!$A$2:$D$101,3,FALSE)</f>
        <v>Hoffman-Williams</v>
      </c>
      <c r="G277" t="str">
        <f>VLOOKUP($C277,Product_Dim!$A$2:$D$101,2,FALSE)</f>
        <v>Beauty</v>
      </c>
      <c r="H277">
        <v>4</v>
      </c>
      <c r="I277">
        <v>101.25</v>
      </c>
      <c r="J277">
        <v>0.16</v>
      </c>
      <c r="K277" s="3">
        <v>340.2</v>
      </c>
      <c r="L277" t="s">
        <v>854</v>
      </c>
      <c r="M277" t="str">
        <f>VLOOKUP($E277,Customer_Dim!$A$2:$F$501,3,FALSE)</f>
        <v>Male</v>
      </c>
      <c r="N277" t="str">
        <f>VLOOKUP($E277,Customer_Dim!$A$2:$F$501,5,FALSE)</f>
        <v>USA</v>
      </c>
      <c r="O277" t="str">
        <f>VLOOKUP($E277,Customer_Dim!$A$2:$F$501,6,FALSE)</f>
        <v>Bronze</v>
      </c>
      <c r="P277" t="str">
        <f>VLOOKUP($A277,Store_Dim!$A$2:$F$21,3,FALSE)</f>
        <v>EastEast Davidville</v>
      </c>
    </row>
    <row r="278" spans="1:16" hidden="1" x14ac:dyDescent="0.25">
      <c r="A278" t="s">
        <v>817</v>
      </c>
      <c r="B278" t="s">
        <v>2744</v>
      </c>
      <c r="C278" t="s">
        <v>764</v>
      </c>
      <c r="D278" s="2">
        <v>45404</v>
      </c>
      <c r="E278" t="s">
        <v>559</v>
      </c>
      <c r="F278" t="str">
        <f>VLOOKUP($C278,Product_Dim!$A$2:$D$101,3,FALSE)</f>
        <v>Hoffman-Williams</v>
      </c>
      <c r="G278" t="str">
        <f>VLOOKUP($C278,Product_Dim!$A$2:$D$101,2,FALSE)</f>
        <v>Beauty</v>
      </c>
      <c r="H278">
        <v>4</v>
      </c>
      <c r="I278">
        <v>731.72</v>
      </c>
      <c r="J278">
        <v>0.22</v>
      </c>
      <c r="K278" s="3">
        <v>2282.9663999999998</v>
      </c>
      <c r="L278" t="s">
        <v>857</v>
      </c>
      <c r="M278" t="str">
        <f>VLOOKUP($E278,Customer_Dim!$A$2:$F$501,3,FALSE)</f>
        <v>Female</v>
      </c>
      <c r="N278" t="str">
        <f>VLOOKUP($E278,Customer_Dim!$A$2:$F$501,5,FALSE)</f>
        <v>USA</v>
      </c>
      <c r="O278" t="str">
        <f>VLOOKUP($E278,Customer_Dim!$A$2:$F$501,6,FALSE)</f>
        <v>Platinum</v>
      </c>
      <c r="P278" t="str">
        <f>VLOOKUP($A278,Store_Dim!$A$2:$F$21,3,FALSE)</f>
        <v>EastEast Davidville</v>
      </c>
    </row>
    <row r="279" spans="1:16" hidden="1" x14ac:dyDescent="0.25">
      <c r="A279" t="s">
        <v>817</v>
      </c>
      <c r="B279" t="s">
        <v>2445</v>
      </c>
      <c r="C279" t="s">
        <v>766</v>
      </c>
      <c r="D279" s="2">
        <v>45807</v>
      </c>
      <c r="E279" t="s">
        <v>60</v>
      </c>
      <c r="F279" t="str">
        <f>VLOOKUP($C279,Product_Dim!$A$2:$D$101,3,FALSE)</f>
        <v>Wilson Group</v>
      </c>
      <c r="G279" t="str">
        <f>VLOOKUP($C279,Product_Dim!$A$2:$D$101,2,FALSE)</f>
        <v>Sports</v>
      </c>
      <c r="H279">
        <v>1</v>
      </c>
      <c r="I279">
        <v>749.78</v>
      </c>
      <c r="J279">
        <v>0.03</v>
      </c>
      <c r="K279" s="3">
        <v>727.28659999999991</v>
      </c>
      <c r="L279" t="s">
        <v>852</v>
      </c>
      <c r="M279" t="str">
        <f>VLOOKUP($E279,Customer_Dim!$A$2:$F$501,3,FALSE)</f>
        <v>Female</v>
      </c>
      <c r="N279" t="str">
        <f>VLOOKUP($E279,Customer_Dim!$A$2:$F$501,5,FALSE)</f>
        <v>USA</v>
      </c>
      <c r="O279" t="str">
        <f>VLOOKUP($E279,Customer_Dim!$A$2:$F$501,6,FALSE)</f>
        <v>Bronze</v>
      </c>
      <c r="P279" t="str">
        <f>VLOOKUP($A279,Store_Dim!$A$2:$F$21,3,FALSE)</f>
        <v>EastEast Davidville</v>
      </c>
    </row>
    <row r="280" spans="1:16" x14ac:dyDescent="0.25">
      <c r="A280" t="s">
        <v>817</v>
      </c>
      <c r="B280" t="s">
        <v>2515</v>
      </c>
      <c r="C280" t="s">
        <v>768</v>
      </c>
      <c r="D280" s="2">
        <v>45230</v>
      </c>
      <c r="E280" t="s">
        <v>442</v>
      </c>
      <c r="F280" t="str">
        <f>VLOOKUP($C280,Product_Dim!$A$2:$D$101,3,FALSE)</f>
        <v>Phillips and Sons</v>
      </c>
      <c r="G280" t="str">
        <f>VLOOKUP($C280,Product_Dim!$A$2:$D$101,2,FALSE)</f>
        <v>Clothing</v>
      </c>
      <c r="H280">
        <v>3</v>
      </c>
      <c r="I280">
        <v>582.32000000000005</v>
      </c>
      <c r="J280">
        <v>0</v>
      </c>
      <c r="K280" s="3">
        <v>1746.96</v>
      </c>
      <c r="L280" t="s">
        <v>854</v>
      </c>
      <c r="M280" t="str">
        <f>VLOOKUP($E280,Customer_Dim!$A$2:$F$501,3,FALSE)</f>
        <v>Male</v>
      </c>
      <c r="N280" t="str">
        <f>VLOOKUP($E280,Customer_Dim!$A$2:$F$501,5,FALSE)</f>
        <v>USA</v>
      </c>
      <c r="O280" t="str">
        <f>VLOOKUP($E280,Customer_Dim!$A$2:$F$501,6,FALSE)</f>
        <v>Platinum</v>
      </c>
      <c r="P280" t="str">
        <f>VLOOKUP($A280,Store_Dim!$A$2:$F$21,3,FALSE)</f>
        <v>EastEast Davidville</v>
      </c>
    </row>
    <row r="281" spans="1:16" hidden="1" x14ac:dyDescent="0.25">
      <c r="A281" t="s">
        <v>817</v>
      </c>
      <c r="B281" t="s">
        <v>992</v>
      </c>
      <c r="C281" t="s">
        <v>770</v>
      </c>
      <c r="D281" s="2">
        <v>45589</v>
      </c>
      <c r="E281" t="s">
        <v>243</v>
      </c>
      <c r="F281" t="str">
        <f>VLOOKUP($C281,Product_Dim!$A$2:$D$101,3,FALSE)</f>
        <v>Khan LLC</v>
      </c>
      <c r="G281" t="str">
        <f>VLOOKUP($C281,Product_Dim!$A$2:$D$101,2,FALSE)</f>
        <v>Sports</v>
      </c>
      <c r="H281">
        <v>3</v>
      </c>
      <c r="I281">
        <v>237.68</v>
      </c>
      <c r="J281">
        <v>0.1</v>
      </c>
      <c r="K281" s="3">
        <v>641.73599999999999</v>
      </c>
      <c r="L281" t="s">
        <v>857</v>
      </c>
      <c r="M281" t="str">
        <f>VLOOKUP($E281,Customer_Dim!$A$2:$F$501,3,FALSE)</f>
        <v>Female</v>
      </c>
      <c r="N281" t="str">
        <f>VLOOKUP($E281,Customer_Dim!$A$2:$F$501,5,FALSE)</f>
        <v>USA</v>
      </c>
      <c r="O281" t="str">
        <f>VLOOKUP($E281,Customer_Dim!$A$2:$F$501,6,FALSE)</f>
        <v>Bronze</v>
      </c>
      <c r="P281" t="str">
        <f>VLOOKUP($A281,Store_Dim!$A$2:$F$21,3,FALSE)</f>
        <v>EastEast Davidville</v>
      </c>
    </row>
    <row r="282" spans="1:16" hidden="1" x14ac:dyDescent="0.25">
      <c r="A282" t="s">
        <v>817</v>
      </c>
      <c r="B282" t="s">
        <v>2297</v>
      </c>
      <c r="C282" t="s">
        <v>770</v>
      </c>
      <c r="D282" s="2">
        <v>45814</v>
      </c>
      <c r="E282" t="s">
        <v>552</v>
      </c>
      <c r="F282" t="str">
        <f>VLOOKUP($C282,Product_Dim!$A$2:$D$101,3,FALSE)</f>
        <v>Khan LLC</v>
      </c>
      <c r="G282" t="str">
        <f>VLOOKUP($C282,Product_Dim!$A$2:$D$101,2,FALSE)</f>
        <v>Sports</v>
      </c>
      <c r="H282">
        <v>3</v>
      </c>
      <c r="I282">
        <v>679.38</v>
      </c>
      <c r="J282">
        <v>0.3</v>
      </c>
      <c r="K282" s="3">
        <v>1426.6980000000001</v>
      </c>
      <c r="L282" t="s">
        <v>857</v>
      </c>
      <c r="M282" t="str">
        <f>VLOOKUP($E282,Customer_Dim!$A$2:$F$501,3,FALSE)</f>
        <v>Female</v>
      </c>
      <c r="N282" t="str">
        <f>VLOOKUP($E282,Customer_Dim!$A$2:$F$501,5,FALSE)</f>
        <v>USA</v>
      </c>
      <c r="O282" t="str">
        <f>VLOOKUP($E282,Customer_Dim!$A$2:$F$501,6,FALSE)</f>
        <v>Bronze</v>
      </c>
      <c r="P282" t="str">
        <f>VLOOKUP($A282,Store_Dim!$A$2:$F$21,3,FALSE)</f>
        <v>EastEast Davidville</v>
      </c>
    </row>
    <row r="283" spans="1:16" x14ac:dyDescent="0.25">
      <c r="A283" t="s">
        <v>817</v>
      </c>
      <c r="B283" t="s">
        <v>2484</v>
      </c>
      <c r="C283" t="s">
        <v>772</v>
      </c>
      <c r="D283" s="2">
        <v>45511</v>
      </c>
      <c r="E283" t="s">
        <v>227</v>
      </c>
      <c r="F283" t="str">
        <f>VLOOKUP($C283,Product_Dim!$A$2:$D$101,3,FALSE)</f>
        <v>Flores-King</v>
      </c>
      <c r="G283" t="str">
        <f>VLOOKUP($C283,Product_Dim!$A$2:$D$101,2,FALSE)</f>
        <v>Electronics</v>
      </c>
      <c r="H283">
        <v>2</v>
      </c>
      <c r="I283">
        <v>443.15</v>
      </c>
      <c r="J283">
        <v>0.27</v>
      </c>
      <c r="K283" s="3">
        <v>646.99899999999991</v>
      </c>
      <c r="L283" t="s">
        <v>854</v>
      </c>
      <c r="M283" t="str">
        <f>VLOOKUP($E283,Customer_Dim!$A$2:$F$501,3,FALSE)</f>
        <v>Male</v>
      </c>
      <c r="N283" t="str">
        <f>VLOOKUP($E283,Customer_Dim!$A$2:$F$501,5,FALSE)</f>
        <v>USA</v>
      </c>
      <c r="O283" t="str">
        <f>VLOOKUP($E283,Customer_Dim!$A$2:$F$501,6,FALSE)</f>
        <v>Bronze</v>
      </c>
      <c r="P283" t="str">
        <f>VLOOKUP($A283,Store_Dim!$A$2:$F$21,3,FALSE)</f>
        <v>EastEast Davidville</v>
      </c>
    </row>
    <row r="284" spans="1:16" hidden="1" x14ac:dyDescent="0.25">
      <c r="A284" t="s">
        <v>817</v>
      </c>
      <c r="B284" t="s">
        <v>2292</v>
      </c>
      <c r="C284" t="s">
        <v>774</v>
      </c>
      <c r="D284" s="2">
        <v>45847</v>
      </c>
      <c r="E284" t="s">
        <v>172</v>
      </c>
      <c r="F284" t="str">
        <f>VLOOKUP($C284,Product_Dim!$A$2:$D$101,3,FALSE)</f>
        <v>Campbell Ltd</v>
      </c>
      <c r="G284" t="str">
        <f>VLOOKUP($C284,Product_Dim!$A$2:$D$101,2,FALSE)</f>
        <v>Home</v>
      </c>
      <c r="H284">
        <v>3</v>
      </c>
      <c r="I284">
        <v>130.38999999999999</v>
      </c>
      <c r="J284">
        <v>0.24</v>
      </c>
      <c r="K284" s="3">
        <v>297.28919999999999</v>
      </c>
      <c r="L284" t="s">
        <v>854</v>
      </c>
      <c r="M284" t="str">
        <f>VLOOKUP($E284,Customer_Dim!$A$2:$F$501,3,FALSE)</f>
        <v>Female</v>
      </c>
      <c r="N284" t="str">
        <f>VLOOKUP($E284,Customer_Dim!$A$2:$F$501,5,FALSE)</f>
        <v>USA</v>
      </c>
      <c r="O284" t="str">
        <f>VLOOKUP($E284,Customer_Dim!$A$2:$F$501,6,FALSE)</f>
        <v>Gold</v>
      </c>
      <c r="P284" t="str">
        <f>VLOOKUP($A284,Store_Dim!$A$2:$F$21,3,FALSE)</f>
        <v>EastEast Davidville</v>
      </c>
    </row>
    <row r="285" spans="1:16" x14ac:dyDescent="0.25">
      <c r="A285" t="s">
        <v>817</v>
      </c>
      <c r="B285" t="s">
        <v>1437</v>
      </c>
      <c r="C285" t="s">
        <v>774</v>
      </c>
      <c r="D285" s="2">
        <v>45810</v>
      </c>
      <c r="E285" t="s">
        <v>206</v>
      </c>
      <c r="F285" t="str">
        <f>VLOOKUP($C285,Product_Dim!$A$2:$D$101,3,FALSE)</f>
        <v>Campbell Ltd</v>
      </c>
      <c r="G285" t="str">
        <f>VLOOKUP($C285,Product_Dim!$A$2:$D$101,2,FALSE)</f>
        <v>Home</v>
      </c>
      <c r="H285">
        <v>3</v>
      </c>
      <c r="I285">
        <v>53.83</v>
      </c>
      <c r="J285">
        <v>0.24</v>
      </c>
      <c r="K285" s="3">
        <v>122.7324</v>
      </c>
      <c r="L285" t="s">
        <v>852</v>
      </c>
      <c r="M285" t="str">
        <f>VLOOKUP($E285,Customer_Dim!$A$2:$F$501,3,FALSE)</f>
        <v>Male</v>
      </c>
      <c r="N285" t="str">
        <f>VLOOKUP($E285,Customer_Dim!$A$2:$F$501,5,FALSE)</f>
        <v>USA</v>
      </c>
      <c r="O285" t="str">
        <f>VLOOKUP($E285,Customer_Dim!$A$2:$F$501,6,FALSE)</f>
        <v>Bronze</v>
      </c>
      <c r="P285" t="str">
        <f>VLOOKUP($A285,Store_Dim!$A$2:$F$21,3,FALSE)</f>
        <v>EastEast Davidville</v>
      </c>
    </row>
    <row r="286" spans="1:16" hidden="1" x14ac:dyDescent="0.25">
      <c r="A286" t="s">
        <v>820</v>
      </c>
      <c r="B286" t="s">
        <v>1839</v>
      </c>
      <c r="C286" t="s">
        <v>574</v>
      </c>
      <c r="D286" s="2">
        <v>45758</v>
      </c>
      <c r="E286" t="s">
        <v>103</v>
      </c>
      <c r="F286" t="str">
        <f>VLOOKUP($C286,Product_Dim!$A$2:$D$101,3,FALSE)</f>
        <v>Terry-Moore</v>
      </c>
      <c r="G286" t="str">
        <f>VLOOKUP($C286,Product_Dim!$A$2:$D$101,2,FALSE)</f>
        <v>Clothing</v>
      </c>
      <c r="H286">
        <v>4</v>
      </c>
      <c r="I286">
        <v>880.26</v>
      </c>
      <c r="J286">
        <v>0.11</v>
      </c>
      <c r="K286" s="3">
        <v>3133.7256000000002</v>
      </c>
      <c r="L286" t="s">
        <v>857</v>
      </c>
      <c r="M286" t="str">
        <f>VLOOKUP($E286,Customer_Dim!$A$2:$F$501,3,FALSE)</f>
        <v>Female</v>
      </c>
      <c r="N286" t="str">
        <f>VLOOKUP($E286,Customer_Dim!$A$2:$F$501,5,FALSE)</f>
        <v>USA</v>
      </c>
      <c r="O286" t="str">
        <f>VLOOKUP($E286,Customer_Dim!$A$2:$F$501,6,FALSE)</f>
        <v>Bronze</v>
      </c>
      <c r="P286" t="str">
        <f>VLOOKUP($A286,Store_Dim!$A$2:$F$21,3,FALSE)</f>
        <v>SouthLake Michael</v>
      </c>
    </row>
    <row r="287" spans="1:16" x14ac:dyDescent="0.25">
      <c r="A287" t="s">
        <v>820</v>
      </c>
      <c r="B287" t="s">
        <v>2397</v>
      </c>
      <c r="C287" t="s">
        <v>574</v>
      </c>
      <c r="D287" s="2">
        <v>45326</v>
      </c>
      <c r="E287" t="s">
        <v>422</v>
      </c>
      <c r="F287" t="str">
        <f>VLOOKUP($C287,Product_Dim!$A$2:$D$101,3,FALSE)</f>
        <v>Terry-Moore</v>
      </c>
      <c r="G287" t="str">
        <f>VLOOKUP($C287,Product_Dim!$A$2:$D$101,2,FALSE)</f>
        <v>Clothing</v>
      </c>
      <c r="H287">
        <v>3</v>
      </c>
      <c r="I287">
        <v>305</v>
      </c>
      <c r="J287">
        <v>0.01</v>
      </c>
      <c r="K287" s="3">
        <v>905.85</v>
      </c>
      <c r="L287" t="s">
        <v>857</v>
      </c>
      <c r="M287" t="str">
        <f>VLOOKUP($E287,Customer_Dim!$A$2:$F$501,3,FALSE)</f>
        <v>Male</v>
      </c>
      <c r="N287" t="str">
        <f>VLOOKUP($E287,Customer_Dim!$A$2:$F$501,5,FALSE)</f>
        <v>USA</v>
      </c>
      <c r="O287" t="str">
        <f>VLOOKUP($E287,Customer_Dim!$A$2:$F$501,6,FALSE)</f>
        <v>Gold</v>
      </c>
      <c r="P287" t="str">
        <f>VLOOKUP($A287,Store_Dim!$A$2:$F$21,3,FALSE)</f>
        <v>SouthLake Michael</v>
      </c>
    </row>
    <row r="288" spans="1:16" hidden="1" x14ac:dyDescent="0.25">
      <c r="A288" t="s">
        <v>820</v>
      </c>
      <c r="B288" t="s">
        <v>1382</v>
      </c>
      <c r="C288" t="s">
        <v>596</v>
      </c>
      <c r="D288" s="2">
        <v>45457</v>
      </c>
      <c r="E288" t="s">
        <v>153</v>
      </c>
      <c r="F288" t="str">
        <f>VLOOKUP($C288,Product_Dim!$A$2:$D$101,3,FALSE)</f>
        <v>Hamilton Group</v>
      </c>
      <c r="G288" t="str">
        <f>VLOOKUP($C288,Product_Dim!$A$2:$D$101,2,FALSE)</f>
        <v>Home</v>
      </c>
      <c r="H288">
        <v>1</v>
      </c>
      <c r="I288">
        <v>57.94</v>
      </c>
      <c r="J288">
        <v>0.13</v>
      </c>
      <c r="K288" s="3">
        <v>50.407799999999988</v>
      </c>
      <c r="L288" t="s">
        <v>854</v>
      </c>
      <c r="M288" t="str">
        <f>VLOOKUP($E288,Customer_Dim!$A$2:$F$501,3,FALSE)</f>
        <v>Female</v>
      </c>
      <c r="N288" t="str">
        <f>VLOOKUP($E288,Customer_Dim!$A$2:$F$501,5,FALSE)</f>
        <v>USA</v>
      </c>
      <c r="O288" t="str">
        <f>VLOOKUP($E288,Customer_Dim!$A$2:$F$501,6,FALSE)</f>
        <v>Platinum</v>
      </c>
      <c r="P288" t="str">
        <f>VLOOKUP($A288,Store_Dim!$A$2:$F$21,3,FALSE)</f>
        <v>SouthLake Michael</v>
      </c>
    </row>
    <row r="289" spans="1:16" hidden="1" x14ac:dyDescent="0.25">
      <c r="A289" t="s">
        <v>820</v>
      </c>
      <c r="B289" t="s">
        <v>2032</v>
      </c>
      <c r="C289" t="s">
        <v>608</v>
      </c>
      <c r="D289" s="2">
        <v>45397</v>
      </c>
      <c r="E289" t="s">
        <v>178</v>
      </c>
      <c r="F289" t="str">
        <f>VLOOKUP($C289,Product_Dim!$A$2:$D$101,3,FALSE)</f>
        <v>Erickson-Green</v>
      </c>
      <c r="G289" t="str">
        <f>VLOOKUP($C289,Product_Dim!$A$2:$D$101,2,FALSE)</f>
        <v>Beauty</v>
      </c>
      <c r="H289">
        <v>2</v>
      </c>
      <c r="I289">
        <v>851.77</v>
      </c>
      <c r="J289">
        <v>0.13</v>
      </c>
      <c r="K289" s="3">
        <v>1482.0798</v>
      </c>
      <c r="L289" t="s">
        <v>854</v>
      </c>
      <c r="M289" t="str">
        <f>VLOOKUP($E289,Customer_Dim!$A$2:$F$501,3,FALSE)</f>
        <v>Female</v>
      </c>
      <c r="N289" t="str">
        <f>VLOOKUP($E289,Customer_Dim!$A$2:$F$501,5,FALSE)</f>
        <v>USA</v>
      </c>
      <c r="O289" t="str">
        <f>VLOOKUP($E289,Customer_Dim!$A$2:$F$501,6,FALSE)</f>
        <v>Platinum</v>
      </c>
      <c r="P289" t="str">
        <f>VLOOKUP($A289,Store_Dim!$A$2:$F$21,3,FALSE)</f>
        <v>SouthLake Michael</v>
      </c>
    </row>
    <row r="290" spans="1:16" x14ac:dyDescent="0.25">
      <c r="A290" t="s">
        <v>820</v>
      </c>
      <c r="B290" t="s">
        <v>1118</v>
      </c>
      <c r="C290" t="s">
        <v>608</v>
      </c>
      <c r="D290" s="2">
        <v>45648</v>
      </c>
      <c r="E290" t="s">
        <v>545</v>
      </c>
      <c r="F290" t="str">
        <f>VLOOKUP($C290,Product_Dim!$A$2:$D$101,3,FALSE)</f>
        <v>Erickson-Green</v>
      </c>
      <c r="G290" t="str">
        <f>VLOOKUP($C290,Product_Dim!$A$2:$D$101,2,FALSE)</f>
        <v>Beauty</v>
      </c>
      <c r="H290">
        <v>4</v>
      </c>
      <c r="I290">
        <v>640.23</v>
      </c>
      <c r="J290">
        <v>0.06</v>
      </c>
      <c r="K290" s="3">
        <v>2407.2647999999999</v>
      </c>
      <c r="L290" t="s">
        <v>857</v>
      </c>
      <c r="M290" t="str">
        <f>VLOOKUP($E290,Customer_Dim!$A$2:$F$501,3,FALSE)</f>
        <v>Male</v>
      </c>
      <c r="N290" t="str">
        <f>VLOOKUP($E290,Customer_Dim!$A$2:$F$501,5,FALSE)</f>
        <v>USA</v>
      </c>
      <c r="O290" t="str">
        <f>VLOOKUP($E290,Customer_Dim!$A$2:$F$501,6,FALSE)</f>
        <v>Gold</v>
      </c>
      <c r="P290" t="str">
        <f>VLOOKUP($A290,Store_Dim!$A$2:$F$21,3,FALSE)</f>
        <v>SouthLake Michael</v>
      </c>
    </row>
    <row r="291" spans="1:16" x14ac:dyDescent="0.25">
      <c r="A291" t="s">
        <v>820</v>
      </c>
      <c r="B291" t="s">
        <v>2325</v>
      </c>
      <c r="C291" t="s">
        <v>608</v>
      </c>
      <c r="D291" s="2">
        <v>45552</v>
      </c>
      <c r="E291" t="s">
        <v>563</v>
      </c>
      <c r="F291" t="str">
        <f>VLOOKUP($C291,Product_Dim!$A$2:$D$101,3,FALSE)</f>
        <v>Erickson-Green</v>
      </c>
      <c r="G291" t="str">
        <f>VLOOKUP($C291,Product_Dim!$A$2:$D$101,2,FALSE)</f>
        <v>Beauty</v>
      </c>
      <c r="H291">
        <v>1</v>
      </c>
      <c r="I291">
        <v>558.41999999999996</v>
      </c>
      <c r="J291">
        <v>0.03</v>
      </c>
      <c r="K291" s="3">
        <v>541.66739999999993</v>
      </c>
      <c r="L291" t="s">
        <v>852</v>
      </c>
      <c r="M291" t="str">
        <f>VLOOKUP($E291,Customer_Dim!$A$2:$F$501,3,FALSE)</f>
        <v>Male</v>
      </c>
      <c r="N291" t="str">
        <f>VLOOKUP($E291,Customer_Dim!$A$2:$F$501,5,FALSE)</f>
        <v>USA</v>
      </c>
      <c r="O291" t="str">
        <f>VLOOKUP($E291,Customer_Dim!$A$2:$F$501,6,FALSE)</f>
        <v>Bronze</v>
      </c>
      <c r="P291" t="str">
        <f>VLOOKUP($A291,Store_Dim!$A$2:$F$21,3,FALSE)</f>
        <v>SouthLake Michael</v>
      </c>
    </row>
    <row r="292" spans="1:16" x14ac:dyDescent="0.25">
      <c r="A292" t="s">
        <v>820</v>
      </c>
      <c r="B292" t="s">
        <v>1425</v>
      </c>
      <c r="C292" t="s">
        <v>612</v>
      </c>
      <c r="D292" s="2">
        <v>45688</v>
      </c>
      <c r="E292" t="s">
        <v>351</v>
      </c>
      <c r="F292" t="str">
        <f>VLOOKUP($C292,Product_Dim!$A$2:$D$101,3,FALSE)</f>
        <v>Guerra-Hendrix</v>
      </c>
      <c r="G292" t="str">
        <f>VLOOKUP($C292,Product_Dim!$A$2:$D$101,2,FALSE)</f>
        <v>Clothing</v>
      </c>
      <c r="H292">
        <v>1</v>
      </c>
      <c r="I292">
        <v>974.52</v>
      </c>
      <c r="J292">
        <v>0.01</v>
      </c>
      <c r="K292" s="3">
        <v>964.77480000000003</v>
      </c>
      <c r="L292" t="s">
        <v>854</v>
      </c>
      <c r="M292" t="str">
        <f>VLOOKUP($E292,Customer_Dim!$A$2:$F$501,3,FALSE)</f>
        <v>Male</v>
      </c>
      <c r="N292" t="str">
        <f>VLOOKUP($E292,Customer_Dim!$A$2:$F$501,5,FALSE)</f>
        <v>USA</v>
      </c>
      <c r="O292" t="str">
        <f>VLOOKUP($E292,Customer_Dim!$A$2:$F$501,6,FALSE)</f>
        <v>Gold</v>
      </c>
      <c r="P292" t="str">
        <f>VLOOKUP($A292,Store_Dim!$A$2:$F$21,3,FALSE)</f>
        <v>SouthLake Michael</v>
      </c>
    </row>
    <row r="293" spans="1:16" hidden="1" x14ac:dyDescent="0.25">
      <c r="A293" t="s">
        <v>820</v>
      </c>
      <c r="B293" t="s">
        <v>1886</v>
      </c>
      <c r="C293" t="s">
        <v>614</v>
      </c>
      <c r="D293" s="2">
        <v>45250</v>
      </c>
      <c r="E293" t="s">
        <v>167</v>
      </c>
      <c r="F293" t="str">
        <f>VLOOKUP($C293,Product_Dim!$A$2:$D$101,3,FALSE)</f>
        <v>May-Reese</v>
      </c>
      <c r="G293" t="str">
        <f>VLOOKUP($C293,Product_Dim!$A$2:$D$101,2,FALSE)</f>
        <v>Sports</v>
      </c>
      <c r="H293">
        <v>3</v>
      </c>
      <c r="I293">
        <v>663.73</v>
      </c>
      <c r="J293">
        <v>0.06</v>
      </c>
      <c r="K293" s="3">
        <v>1871.7185999999999</v>
      </c>
      <c r="L293" t="s">
        <v>857</v>
      </c>
      <c r="M293" t="str">
        <f>VLOOKUP($E293,Customer_Dim!$A$2:$F$501,3,FALSE)</f>
        <v>Female</v>
      </c>
      <c r="N293" t="str">
        <f>VLOOKUP($E293,Customer_Dim!$A$2:$F$501,5,FALSE)</f>
        <v>USA</v>
      </c>
      <c r="O293" t="str">
        <f>VLOOKUP($E293,Customer_Dim!$A$2:$F$501,6,FALSE)</f>
        <v>Gold</v>
      </c>
      <c r="P293" t="str">
        <f>VLOOKUP($A293,Store_Dim!$A$2:$F$21,3,FALSE)</f>
        <v>SouthLake Michael</v>
      </c>
    </row>
    <row r="294" spans="1:16" x14ac:dyDescent="0.25">
      <c r="A294" t="s">
        <v>820</v>
      </c>
      <c r="B294" t="s">
        <v>1612</v>
      </c>
      <c r="C294" t="s">
        <v>616</v>
      </c>
      <c r="D294" s="2">
        <v>45470</v>
      </c>
      <c r="E294" t="s">
        <v>383</v>
      </c>
      <c r="F294" t="str">
        <f>VLOOKUP($C294,Product_Dim!$A$2:$D$101,3,FALSE)</f>
        <v>Soto-Ellis</v>
      </c>
      <c r="G294" t="str">
        <f>VLOOKUP($C294,Product_Dim!$A$2:$D$101,2,FALSE)</f>
        <v>Sports</v>
      </c>
      <c r="H294">
        <v>1</v>
      </c>
      <c r="I294">
        <v>202.13</v>
      </c>
      <c r="J294">
        <v>0.13</v>
      </c>
      <c r="K294" s="3">
        <v>175.85310000000001</v>
      </c>
      <c r="L294" t="s">
        <v>857</v>
      </c>
      <c r="M294" t="str">
        <f>VLOOKUP($E294,Customer_Dim!$A$2:$F$501,3,FALSE)</f>
        <v>Male</v>
      </c>
      <c r="N294" t="str">
        <f>VLOOKUP($E294,Customer_Dim!$A$2:$F$501,5,FALSE)</f>
        <v>USA</v>
      </c>
      <c r="O294" t="str">
        <f>VLOOKUP($E294,Customer_Dim!$A$2:$F$501,6,FALSE)</f>
        <v>Gold</v>
      </c>
      <c r="P294" t="str">
        <f>VLOOKUP($A294,Store_Dim!$A$2:$F$21,3,FALSE)</f>
        <v>SouthLake Michael</v>
      </c>
    </row>
    <row r="295" spans="1:16" hidden="1" x14ac:dyDescent="0.25">
      <c r="A295" t="s">
        <v>820</v>
      </c>
      <c r="B295" t="s">
        <v>2332</v>
      </c>
      <c r="C295" t="s">
        <v>622</v>
      </c>
      <c r="D295" s="2">
        <v>45806</v>
      </c>
      <c r="E295" t="s">
        <v>138</v>
      </c>
      <c r="F295" t="str">
        <f>VLOOKUP($C295,Product_Dim!$A$2:$D$101,3,FALSE)</f>
        <v>Moon, Mora and Santos</v>
      </c>
      <c r="G295" t="str">
        <f>VLOOKUP($C295,Product_Dim!$A$2:$D$101,2,FALSE)</f>
        <v>Clothing</v>
      </c>
      <c r="H295">
        <v>1</v>
      </c>
      <c r="I295">
        <v>588.61</v>
      </c>
      <c r="J295">
        <v>0.1</v>
      </c>
      <c r="K295" s="3">
        <v>529.74900000000002</v>
      </c>
      <c r="L295" t="s">
        <v>854</v>
      </c>
      <c r="M295" t="str">
        <f>VLOOKUP($E295,Customer_Dim!$A$2:$F$501,3,FALSE)</f>
        <v>Female</v>
      </c>
      <c r="N295" t="str">
        <f>VLOOKUP($E295,Customer_Dim!$A$2:$F$501,5,FALSE)</f>
        <v>USA</v>
      </c>
      <c r="O295" t="str">
        <f>VLOOKUP($E295,Customer_Dim!$A$2:$F$501,6,FALSE)</f>
        <v>Platinum</v>
      </c>
      <c r="P295" t="str">
        <f>VLOOKUP($A295,Store_Dim!$A$2:$F$21,3,FALSE)</f>
        <v>SouthLake Michael</v>
      </c>
    </row>
    <row r="296" spans="1:16" hidden="1" x14ac:dyDescent="0.25">
      <c r="A296" t="s">
        <v>820</v>
      </c>
      <c r="B296" t="s">
        <v>1486</v>
      </c>
      <c r="C296" t="s">
        <v>626</v>
      </c>
      <c r="D296" s="2">
        <v>45605</v>
      </c>
      <c r="E296" t="s">
        <v>544</v>
      </c>
      <c r="F296" t="str">
        <f>VLOOKUP($C296,Product_Dim!$A$2:$D$101,3,FALSE)</f>
        <v>Brown and Sons</v>
      </c>
      <c r="G296" t="str">
        <f>VLOOKUP($C296,Product_Dim!$A$2:$D$101,2,FALSE)</f>
        <v>Clothing</v>
      </c>
      <c r="H296">
        <v>2</v>
      </c>
      <c r="I296">
        <v>151.47</v>
      </c>
      <c r="J296">
        <v>0.21</v>
      </c>
      <c r="K296" s="3">
        <v>239.32259999999999</v>
      </c>
      <c r="L296" t="s">
        <v>854</v>
      </c>
      <c r="M296" t="str">
        <f>VLOOKUP($E296,Customer_Dim!$A$2:$F$501,3,FALSE)</f>
        <v>Female</v>
      </c>
      <c r="N296" t="str">
        <f>VLOOKUP($E296,Customer_Dim!$A$2:$F$501,5,FALSE)</f>
        <v>USA</v>
      </c>
      <c r="O296" t="str">
        <f>VLOOKUP($E296,Customer_Dim!$A$2:$F$501,6,FALSE)</f>
        <v>Platinum</v>
      </c>
      <c r="P296" t="str">
        <f>VLOOKUP($A296,Store_Dim!$A$2:$F$21,3,FALSE)</f>
        <v>SouthLake Michael</v>
      </c>
    </row>
    <row r="297" spans="1:16" hidden="1" x14ac:dyDescent="0.25">
      <c r="A297" t="s">
        <v>820</v>
      </c>
      <c r="B297" t="s">
        <v>1012</v>
      </c>
      <c r="C297" t="s">
        <v>632</v>
      </c>
      <c r="D297" s="2">
        <v>45601</v>
      </c>
      <c r="E297" t="s">
        <v>436</v>
      </c>
      <c r="F297" t="str">
        <f>VLOOKUP($C297,Product_Dim!$A$2:$D$101,3,FALSE)</f>
        <v>Burns-Hansen</v>
      </c>
      <c r="G297" t="str">
        <f>VLOOKUP($C297,Product_Dim!$A$2:$D$101,2,FALSE)</f>
        <v>Sports</v>
      </c>
      <c r="H297">
        <v>2</v>
      </c>
      <c r="I297">
        <v>60.98</v>
      </c>
      <c r="J297">
        <v>0.23</v>
      </c>
      <c r="K297" s="3">
        <v>93.909199999999998</v>
      </c>
      <c r="L297" t="s">
        <v>854</v>
      </c>
      <c r="M297" t="str">
        <f>VLOOKUP($E297,Customer_Dim!$A$2:$F$501,3,FALSE)</f>
        <v>Female</v>
      </c>
      <c r="N297" t="str">
        <f>VLOOKUP($E297,Customer_Dim!$A$2:$F$501,5,FALSE)</f>
        <v>USA</v>
      </c>
      <c r="O297" t="str">
        <f>VLOOKUP($E297,Customer_Dim!$A$2:$F$501,6,FALSE)</f>
        <v>Platinum</v>
      </c>
      <c r="P297" t="str">
        <f>VLOOKUP($A297,Store_Dim!$A$2:$F$21,3,FALSE)</f>
        <v>SouthLake Michael</v>
      </c>
    </row>
    <row r="298" spans="1:16" hidden="1" x14ac:dyDescent="0.25">
      <c r="A298" t="s">
        <v>820</v>
      </c>
      <c r="B298" t="s">
        <v>901</v>
      </c>
      <c r="C298" t="s">
        <v>636</v>
      </c>
      <c r="D298" s="2">
        <v>45466</v>
      </c>
      <c r="E298" t="s">
        <v>30</v>
      </c>
      <c r="F298" t="str">
        <f>VLOOKUP($C298,Product_Dim!$A$2:$D$101,3,FALSE)</f>
        <v>Stevens, Fernandez and Martin</v>
      </c>
      <c r="G298" t="str">
        <f>VLOOKUP($C298,Product_Dim!$A$2:$D$101,2,FALSE)</f>
        <v>Home</v>
      </c>
      <c r="H298">
        <v>1</v>
      </c>
      <c r="I298">
        <v>135.78</v>
      </c>
      <c r="J298">
        <v>0.14000000000000001</v>
      </c>
      <c r="K298" s="3">
        <v>116.77079999999999</v>
      </c>
      <c r="L298" t="s">
        <v>854</v>
      </c>
      <c r="M298" t="str">
        <f>VLOOKUP($E298,Customer_Dim!$A$2:$F$501,3,FALSE)</f>
        <v>Female</v>
      </c>
      <c r="N298" t="str">
        <f>VLOOKUP($E298,Customer_Dim!$A$2:$F$501,5,FALSE)</f>
        <v>USA</v>
      </c>
      <c r="O298" t="str">
        <f>VLOOKUP($E298,Customer_Dim!$A$2:$F$501,6,FALSE)</f>
        <v>Gold</v>
      </c>
      <c r="P298" t="str">
        <f>VLOOKUP($A298,Store_Dim!$A$2:$F$21,3,FALSE)</f>
        <v>SouthLake Michael</v>
      </c>
    </row>
    <row r="299" spans="1:16" hidden="1" x14ac:dyDescent="0.25">
      <c r="A299" t="s">
        <v>820</v>
      </c>
      <c r="B299" t="s">
        <v>2014</v>
      </c>
      <c r="C299" t="s">
        <v>636</v>
      </c>
      <c r="D299" s="2">
        <v>45367</v>
      </c>
      <c r="E299" t="s">
        <v>432</v>
      </c>
      <c r="F299" t="str">
        <f>VLOOKUP($C299,Product_Dim!$A$2:$D$101,3,FALSE)</f>
        <v>Stevens, Fernandez and Martin</v>
      </c>
      <c r="G299" t="str">
        <f>VLOOKUP($C299,Product_Dim!$A$2:$D$101,2,FALSE)</f>
        <v>Home</v>
      </c>
      <c r="H299">
        <v>2</v>
      </c>
      <c r="I299">
        <v>723.75</v>
      </c>
      <c r="J299">
        <v>0.03</v>
      </c>
      <c r="K299" s="3">
        <v>1404.075</v>
      </c>
      <c r="L299" t="s">
        <v>854</v>
      </c>
      <c r="M299" t="str">
        <f>VLOOKUP($E299,Customer_Dim!$A$2:$F$501,3,FALSE)</f>
        <v>Female</v>
      </c>
      <c r="N299" t="str">
        <f>VLOOKUP($E299,Customer_Dim!$A$2:$F$501,5,FALSE)</f>
        <v>USA</v>
      </c>
      <c r="O299" t="str">
        <f>VLOOKUP($E299,Customer_Dim!$A$2:$F$501,6,FALSE)</f>
        <v>Platinum</v>
      </c>
      <c r="P299" t="str">
        <f>VLOOKUP($A299,Store_Dim!$A$2:$F$21,3,FALSE)</f>
        <v>SouthLake Michael</v>
      </c>
    </row>
    <row r="300" spans="1:16" x14ac:dyDescent="0.25">
      <c r="A300" t="s">
        <v>820</v>
      </c>
      <c r="B300" t="s">
        <v>2582</v>
      </c>
      <c r="C300" t="s">
        <v>638</v>
      </c>
      <c r="D300" s="2">
        <v>45547</v>
      </c>
      <c r="E300" t="s">
        <v>98</v>
      </c>
      <c r="F300" t="str">
        <f>VLOOKUP($C300,Product_Dim!$A$2:$D$101,3,FALSE)</f>
        <v>Nolan-Snow</v>
      </c>
      <c r="G300" t="str">
        <f>VLOOKUP($C300,Product_Dim!$A$2:$D$101,2,FALSE)</f>
        <v>Sports</v>
      </c>
      <c r="H300">
        <v>4</v>
      </c>
      <c r="I300">
        <v>862.25</v>
      </c>
      <c r="J300">
        <v>0.28000000000000003</v>
      </c>
      <c r="K300" s="3">
        <v>2483.2800000000002</v>
      </c>
      <c r="L300" t="s">
        <v>854</v>
      </c>
      <c r="M300" t="str">
        <f>VLOOKUP($E300,Customer_Dim!$A$2:$F$501,3,FALSE)</f>
        <v>Male</v>
      </c>
      <c r="N300" t="str">
        <f>VLOOKUP($E300,Customer_Dim!$A$2:$F$501,5,FALSE)</f>
        <v>USA</v>
      </c>
      <c r="O300" t="str">
        <f>VLOOKUP($E300,Customer_Dim!$A$2:$F$501,6,FALSE)</f>
        <v>Bronze</v>
      </c>
      <c r="P300" t="str">
        <f>VLOOKUP($A300,Store_Dim!$A$2:$F$21,3,FALSE)</f>
        <v>SouthLake Michael</v>
      </c>
    </row>
    <row r="301" spans="1:16" hidden="1" x14ac:dyDescent="0.25">
      <c r="A301" t="s">
        <v>820</v>
      </c>
      <c r="B301" t="s">
        <v>1621</v>
      </c>
      <c r="C301" t="s">
        <v>642</v>
      </c>
      <c r="D301" s="2">
        <v>45434</v>
      </c>
      <c r="E301" t="s">
        <v>504</v>
      </c>
      <c r="F301" t="str">
        <f>VLOOKUP($C301,Product_Dim!$A$2:$D$101,3,FALSE)</f>
        <v>Weiss-Watson</v>
      </c>
      <c r="G301" t="str">
        <f>VLOOKUP($C301,Product_Dim!$A$2:$D$101,2,FALSE)</f>
        <v>Home</v>
      </c>
      <c r="H301">
        <v>1</v>
      </c>
      <c r="I301">
        <v>827.91</v>
      </c>
      <c r="J301">
        <v>0.21</v>
      </c>
      <c r="K301" s="3">
        <v>654.0489</v>
      </c>
      <c r="L301" t="s">
        <v>854</v>
      </c>
      <c r="M301" t="str">
        <f>VLOOKUP($E301,Customer_Dim!$A$2:$F$501,3,FALSE)</f>
        <v>Female</v>
      </c>
      <c r="N301" t="str">
        <f>VLOOKUP($E301,Customer_Dim!$A$2:$F$501,5,FALSE)</f>
        <v>USA</v>
      </c>
      <c r="O301" t="str">
        <f>VLOOKUP($E301,Customer_Dim!$A$2:$F$501,6,FALSE)</f>
        <v>Platinum</v>
      </c>
      <c r="P301" t="str">
        <f>VLOOKUP($A301,Store_Dim!$A$2:$F$21,3,FALSE)</f>
        <v>SouthLake Michael</v>
      </c>
    </row>
    <row r="302" spans="1:16" hidden="1" x14ac:dyDescent="0.25">
      <c r="A302" t="s">
        <v>820</v>
      </c>
      <c r="B302" t="s">
        <v>2475</v>
      </c>
      <c r="C302" t="s">
        <v>644</v>
      </c>
      <c r="D302" s="2">
        <v>45524</v>
      </c>
      <c r="E302" t="s">
        <v>95</v>
      </c>
      <c r="F302" t="str">
        <f>VLOOKUP($C302,Product_Dim!$A$2:$D$101,3,FALSE)</f>
        <v>Lucero LLC</v>
      </c>
      <c r="G302" t="str">
        <f>VLOOKUP($C302,Product_Dim!$A$2:$D$101,2,FALSE)</f>
        <v>Electronics</v>
      </c>
      <c r="H302">
        <v>1</v>
      </c>
      <c r="I302">
        <v>324.56</v>
      </c>
      <c r="J302">
        <v>0.03</v>
      </c>
      <c r="K302" s="3">
        <v>314.82319999999999</v>
      </c>
      <c r="L302" t="s">
        <v>857</v>
      </c>
      <c r="M302" t="str">
        <f>VLOOKUP($E302,Customer_Dim!$A$2:$F$501,3,FALSE)</f>
        <v>Female</v>
      </c>
      <c r="N302" t="str">
        <f>VLOOKUP($E302,Customer_Dim!$A$2:$F$501,5,FALSE)</f>
        <v>USA</v>
      </c>
      <c r="O302" t="str">
        <f>VLOOKUP($E302,Customer_Dim!$A$2:$F$501,6,FALSE)</f>
        <v>Gold</v>
      </c>
      <c r="P302" t="str">
        <f>VLOOKUP($A302,Store_Dim!$A$2:$F$21,3,FALSE)</f>
        <v>SouthLake Michael</v>
      </c>
    </row>
    <row r="303" spans="1:16" x14ac:dyDescent="0.25">
      <c r="A303" t="s">
        <v>820</v>
      </c>
      <c r="B303" t="s">
        <v>1760</v>
      </c>
      <c r="C303" t="s">
        <v>644</v>
      </c>
      <c r="D303" s="2">
        <v>45848</v>
      </c>
      <c r="E303" t="s">
        <v>171</v>
      </c>
      <c r="F303" t="str">
        <f>VLOOKUP($C303,Product_Dim!$A$2:$D$101,3,FALSE)</f>
        <v>Lucero LLC</v>
      </c>
      <c r="G303" t="str">
        <f>VLOOKUP($C303,Product_Dim!$A$2:$D$101,2,FALSE)</f>
        <v>Electronics</v>
      </c>
      <c r="H303">
        <v>2</v>
      </c>
      <c r="I303">
        <v>414.18</v>
      </c>
      <c r="J303">
        <v>0.25</v>
      </c>
      <c r="K303" s="3">
        <v>621.27</v>
      </c>
      <c r="L303" t="s">
        <v>854</v>
      </c>
      <c r="M303" t="str">
        <f>VLOOKUP($E303,Customer_Dim!$A$2:$F$501,3,FALSE)</f>
        <v>Male</v>
      </c>
      <c r="N303" t="str">
        <f>VLOOKUP($E303,Customer_Dim!$A$2:$F$501,5,FALSE)</f>
        <v>USA</v>
      </c>
      <c r="O303" t="str">
        <f>VLOOKUP($E303,Customer_Dim!$A$2:$F$501,6,FALSE)</f>
        <v>Silver</v>
      </c>
      <c r="P303" t="str">
        <f>VLOOKUP($A303,Store_Dim!$A$2:$F$21,3,FALSE)</f>
        <v>SouthLake Michael</v>
      </c>
    </row>
    <row r="304" spans="1:16" x14ac:dyDescent="0.25">
      <c r="A304" t="s">
        <v>820</v>
      </c>
      <c r="B304" t="s">
        <v>1921</v>
      </c>
      <c r="C304" t="s">
        <v>644</v>
      </c>
      <c r="D304" s="2">
        <v>45334</v>
      </c>
      <c r="E304" t="s">
        <v>416</v>
      </c>
      <c r="F304" t="str">
        <f>VLOOKUP($C304,Product_Dim!$A$2:$D$101,3,FALSE)</f>
        <v>Lucero LLC</v>
      </c>
      <c r="G304" t="str">
        <f>VLOOKUP($C304,Product_Dim!$A$2:$D$101,2,FALSE)</f>
        <v>Electronics</v>
      </c>
      <c r="H304">
        <v>1</v>
      </c>
      <c r="I304">
        <v>164.73</v>
      </c>
      <c r="J304">
        <v>0.12</v>
      </c>
      <c r="K304" s="3">
        <v>144.9624</v>
      </c>
      <c r="L304" t="s">
        <v>854</v>
      </c>
      <c r="M304" t="str">
        <f>VLOOKUP($E304,Customer_Dim!$A$2:$F$501,3,FALSE)</f>
        <v>Male</v>
      </c>
      <c r="N304" t="str">
        <f>VLOOKUP($E304,Customer_Dim!$A$2:$F$501,5,FALSE)</f>
        <v>USA</v>
      </c>
      <c r="O304" t="str">
        <f>VLOOKUP($E304,Customer_Dim!$A$2:$F$501,6,FALSE)</f>
        <v>Bronze</v>
      </c>
      <c r="P304" t="str">
        <f>VLOOKUP($A304,Store_Dim!$A$2:$F$21,3,FALSE)</f>
        <v>SouthLake Michael</v>
      </c>
    </row>
    <row r="305" spans="1:16" hidden="1" x14ac:dyDescent="0.25">
      <c r="A305" t="s">
        <v>820</v>
      </c>
      <c r="B305" t="s">
        <v>2108</v>
      </c>
      <c r="C305" t="s">
        <v>648</v>
      </c>
      <c r="D305" s="2">
        <v>45543</v>
      </c>
      <c r="E305" t="s">
        <v>277</v>
      </c>
      <c r="F305" t="str">
        <f>VLOOKUP($C305,Product_Dim!$A$2:$D$101,3,FALSE)</f>
        <v>Smith-Mills</v>
      </c>
      <c r="G305" t="str">
        <f>VLOOKUP($C305,Product_Dim!$A$2:$D$101,2,FALSE)</f>
        <v>Clothing</v>
      </c>
      <c r="H305">
        <v>3</v>
      </c>
      <c r="I305">
        <v>120.67</v>
      </c>
      <c r="J305">
        <v>0.08</v>
      </c>
      <c r="K305" s="3">
        <v>333.04919999999998</v>
      </c>
      <c r="L305" t="s">
        <v>857</v>
      </c>
      <c r="M305" t="str">
        <f>VLOOKUP($E305,Customer_Dim!$A$2:$F$501,3,FALSE)</f>
        <v>Female</v>
      </c>
      <c r="N305" t="str">
        <f>VLOOKUP($E305,Customer_Dim!$A$2:$F$501,5,FALSE)</f>
        <v>USA</v>
      </c>
      <c r="O305" t="str">
        <f>VLOOKUP($E305,Customer_Dim!$A$2:$F$501,6,FALSE)</f>
        <v>Platinum</v>
      </c>
      <c r="P305" t="str">
        <f>VLOOKUP($A305,Store_Dim!$A$2:$F$21,3,FALSE)</f>
        <v>SouthLake Michael</v>
      </c>
    </row>
    <row r="306" spans="1:16" x14ac:dyDescent="0.25">
      <c r="A306" t="s">
        <v>820</v>
      </c>
      <c r="B306" t="s">
        <v>1520</v>
      </c>
      <c r="C306" t="s">
        <v>650</v>
      </c>
      <c r="D306" s="2">
        <v>45654</v>
      </c>
      <c r="E306" t="s">
        <v>111</v>
      </c>
      <c r="F306" t="str">
        <f>VLOOKUP($C306,Product_Dim!$A$2:$D$101,3,FALSE)</f>
        <v>Hogan-Lee</v>
      </c>
      <c r="G306" t="str">
        <f>VLOOKUP($C306,Product_Dim!$A$2:$D$101,2,FALSE)</f>
        <v>Clothing</v>
      </c>
      <c r="H306">
        <v>3</v>
      </c>
      <c r="I306">
        <v>917.64</v>
      </c>
      <c r="J306">
        <v>0.24</v>
      </c>
      <c r="K306" s="3">
        <v>2092.2192</v>
      </c>
      <c r="L306" t="s">
        <v>854</v>
      </c>
      <c r="M306" t="str">
        <f>VLOOKUP($E306,Customer_Dim!$A$2:$F$501,3,FALSE)</f>
        <v>Male</v>
      </c>
      <c r="N306" t="str">
        <f>VLOOKUP($E306,Customer_Dim!$A$2:$F$501,5,FALSE)</f>
        <v>USA</v>
      </c>
      <c r="O306" t="str">
        <f>VLOOKUP($E306,Customer_Dim!$A$2:$F$501,6,FALSE)</f>
        <v>Bronze</v>
      </c>
      <c r="P306" t="str">
        <f>VLOOKUP($A306,Store_Dim!$A$2:$F$21,3,FALSE)</f>
        <v>SouthLake Michael</v>
      </c>
    </row>
    <row r="307" spans="1:16" hidden="1" x14ac:dyDescent="0.25">
      <c r="A307" t="s">
        <v>820</v>
      </c>
      <c r="B307" t="s">
        <v>1133</v>
      </c>
      <c r="C307" t="s">
        <v>650</v>
      </c>
      <c r="D307" s="2">
        <v>45868</v>
      </c>
      <c r="E307" t="s">
        <v>393</v>
      </c>
      <c r="F307" t="str">
        <f>VLOOKUP($C307,Product_Dim!$A$2:$D$101,3,FALSE)</f>
        <v>Hogan-Lee</v>
      </c>
      <c r="G307" t="str">
        <f>VLOOKUP($C307,Product_Dim!$A$2:$D$101,2,FALSE)</f>
        <v>Clothing</v>
      </c>
      <c r="H307">
        <v>3</v>
      </c>
      <c r="I307">
        <v>995.38</v>
      </c>
      <c r="J307">
        <v>0.1</v>
      </c>
      <c r="K307" s="3">
        <v>2687.5259999999998</v>
      </c>
      <c r="L307" t="s">
        <v>854</v>
      </c>
      <c r="M307" t="str">
        <f>VLOOKUP($E307,Customer_Dim!$A$2:$F$501,3,FALSE)</f>
        <v>Female</v>
      </c>
      <c r="N307" t="str">
        <f>VLOOKUP($E307,Customer_Dim!$A$2:$F$501,5,FALSE)</f>
        <v>USA</v>
      </c>
      <c r="O307" t="str">
        <f>VLOOKUP($E307,Customer_Dim!$A$2:$F$501,6,FALSE)</f>
        <v>Gold</v>
      </c>
      <c r="P307" t="str">
        <f>VLOOKUP($A307,Store_Dim!$A$2:$F$21,3,FALSE)</f>
        <v>SouthLake Michael</v>
      </c>
    </row>
    <row r="308" spans="1:16" hidden="1" x14ac:dyDescent="0.25">
      <c r="A308" t="s">
        <v>820</v>
      </c>
      <c r="B308" t="s">
        <v>1787</v>
      </c>
      <c r="C308" t="s">
        <v>652</v>
      </c>
      <c r="D308" s="2">
        <v>45396</v>
      </c>
      <c r="E308" t="s">
        <v>109</v>
      </c>
      <c r="F308" t="str">
        <f>VLOOKUP($C308,Product_Dim!$A$2:$D$101,3,FALSE)</f>
        <v>Sims-Smith</v>
      </c>
      <c r="G308" t="str">
        <f>VLOOKUP($C308,Product_Dim!$A$2:$D$101,2,FALSE)</f>
        <v>Sports</v>
      </c>
      <c r="H308">
        <v>3</v>
      </c>
      <c r="I308">
        <v>649.78</v>
      </c>
      <c r="J308">
        <v>0.1</v>
      </c>
      <c r="K308" s="3">
        <v>1754.4059999999999</v>
      </c>
      <c r="L308" t="s">
        <v>854</v>
      </c>
      <c r="M308" t="str">
        <f>VLOOKUP($E308,Customer_Dim!$A$2:$F$501,3,FALSE)</f>
        <v>Female</v>
      </c>
      <c r="N308" t="str">
        <f>VLOOKUP($E308,Customer_Dim!$A$2:$F$501,5,FALSE)</f>
        <v>USA</v>
      </c>
      <c r="O308" t="str">
        <f>VLOOKUP($E308,Customer_Dim!$A$2:$F$501,6,FALSE)</f>
        <v>Silver</v>
      </c>
      <c r="P308" t="str">
        <f>VLOOKUP($A308,Store_Dim!$A$2:$F$21,3,FALSE)</f>
        <v>SouthLake Michael</v>
      </c>
    </row>
    <row r="309" spans="1:16" hidden="1" x14ac:dyDescent="0.25">
      <c r="A309" t="s">
        <v>820</v>
      </c>
      <c r="B309" t="s">
        <v>972</v>
      </c>
      <c r="C309" t="s">
        <v>654</v>
      </c>
      <c r="D309" s="2">
        <v>45405</v>
      </c>
      <c r="E309" t="s">
        <v>167</v>
      </c>
      <c r="F309" t="str">
        <f>VLOOKUP($C309,Product_Dim!$A$2:$D$101,3,FALSE)</f>
        <v>Cummings and Sons</v>
      </c>
      <c r="G309" t="str">
        <f>VLOOKUP($C309,Product_Dim!$A$2:$D$101,2,FALSE)</f>
        <v>Electronics</v>
      </c>
      <c r="H309">
        <v>1</v>
      </c>
      <c r="I309">
        <v>165</v>
      </c>
      <c r="J309">
        <v>0.3</v>
      </c>
      <c r="K309" s="3">
        <v>115.5</v>
      </c>
      <c r="L309" t="s">
        <v>857</v>
      </c>
      <c r="M309" t="str">
        <f>VLOOKUP($E309,Customer_Dim!$A$2:$F$501,3,FALSE)</f>
        <v>Female</v>
      </c>
      <c r="N309" t="str">
        <f>VLOOKUP($E309,Customer_Dim!$A$2:$F$501,5,FALSE)</f>
        <v>USA</v>
      </c>
      <c r="O309" t="str">
        <f>VLOOKUP($E309,Customer_Dim!$A$2:$F$501,6,FALSE)</f>
        <v>Gold</v>
      </c>
      <c r="P309" t="str">
        <f>VLOOKUP($A309,Store_Dim!$A$2:$F$21,3,FALSE)</f>
        <v>SouthLake Michael</v>
      </c>
    </row>
    <row r="310" spans="1:16" x14ac:dyDescent="0.25">
      <c r="A310" t="s">
        <v>820</v>
      </c>
      <c r="B310" t="s">
        <v>2486</v>
      </c>
      <c r="C310" t="s">
        <v>654</v>
      </c>
      <c r="D310" s="2">
        <v>45533</v>
      </c>
      <c r="E310" t="s">
        <v>522</v>
      </c>
      <c r="F310" t="str">
        <f>VLOOKUP($C310,Product_Dim!$A$2:$D$101,3,FALSE)</f>
        <v>Cummings and Sons</v>
      </c>
      <c r="G310" t="str">
        <f>VLOOKUP($C310,Product_Dim!$A$2:$D$101,2,FALSE)</f>
        <v>Electronics</v>
      </c>
      <c r="H310">
        <v>3</v>
      </c>
      <c r="I310">
        <v>590.30999999999995</v>
      </c>
      <c r="J310">
        <v>0.17</v>
      </c>
      <c r="K310" s="3">
        <v>1469.8719000000001</v>
      </c>
      <c r="L310" t="s">
        <v>854</v>
      </c>
      <c r="M310" t="str">
        <f>VLOOKUP($E310,Customer_Dim!$A$2:$F$501,3,FALSE)</f>
        <v>Male</v>
      </c>
      <c r="N310" t="str">
        <f>VLOOKUP($E310,Customer_Dim!$A$2:$F$501,5,FALSE)</f>
        <v>USA</v>
      </c>
      <c r="O310" t="str">
        <f>VLOOKUP($E310,Customer_Dim!$A$2:$F$501,6,FALSE)</f>
        <v>Gold</v>
      </c>
      <c r="P310" t="str">
        <f>VLOOKUP($A310,Store_Dim!$A$2:$F$21,3,FALSE)</f>
        <v>SouthLake Michael</v>
      </c>
    </row>
    <row r="311" spans="1:16" hidden="1" x14ac:dyDescent="0.25">
      <c r="A311" t="s">
        <v>820</v>
      </c>
      <c r="B311" t="s">
        <v>2328</v>
      </c>
      <c r="C311" t="s">
        <v>654</v>
      </c>
      <c r="D311" s="2">
        <v>45516</v>
      </c>
      <c r="E311" t="s">
        <v>541</v>
      </c>
      <c r="F311" t="str">
        <f>VLOOKUP($C311,Product_Dim!$A$2:$D$101,3,FALSE)</f>
        <v>Cummings and Sons</v>
      </c>
      <c r="G311" t="str">
        <f>VLOOKUP($C311,Product_Dim!$A$2:$D$101,2,FALSE)</f>
        <v>Electronics</v>
      </c>
      <c r="H311">
        <v>4</v>
      </c>
      <c r="I311">
        <v>278.70999999999998</v>
      </c>
      <c r="J311">
        <v>0.2</v>
      </c>
      <c r="K311" s="3">
        <v>891.87199999999996</v>
      </c>
      <c r="L311" t="s">
        <v>854</v>
      </c>
      <c r="M311" t="str">
        <f>VLOOKUP($E311,Customer_Dim!$A$2:$F$501,3,FALSE)</f>
        <v>Female</v>
      </c>
      <c r="N311" t="str">
        <f>VLOOKUP($E311,Customer_Dim!$A$2:$F$501,5,FALSE)</f>
        <v>USA</v>
      </c>
      <c r="O311" t="str">
        <f>VLOOKUP($E311,Customer_Dim!$A$2:$F$501,6,FALSE)</f>
        <v>Platinum</v>
      </c>
      <c r="P311" t="str">
        <f>VLOOKUP($A311,Store_Dim!$A$2:$F$21,3,FALSE)</f>
        <v>SouthLake Michael</v>
      </c>
    </row>
    <row r="312" spans="1:16" hidden="1" x14ac:dyDescent="0.25">
      <c r="A312" t="s">
        <v>820</v>
      </c>
      <c r="B312" t="s">
        <v>1932</v>
      </c>
      <c r="C312" t="s">
        <v>581</v>
      </c>
      <c r="D312" s="2">
        <v>45878</v>
      </c>
      <c r="E312" t="s">
        <v>481</v>
      </c>
      <c r="F312" t="str">
        <f>VLOOKUP($C312,Product_Dim!$A$2:$D$101,3,FALSE)</f>
        <v>Gonzales-Davis</v>
      </c>
      <c r="G312" t="str">
        <f>VLOOKUP($C312,Product_Dim!$A$2:$D$101,2,FALSE)</f>
        <v>Clothing</v>
      </c>
      <c r="H312">
        <v>1</v>
      </c>
      <c r="I312">
        <v>769.4</v>
      </c>
      <c r="J312">
        <v>0.16</v>
      </c>
      <c r="K312" s="3">
        <v>646.29599999999994</v>
      </c>
      <c r="L312" t="s">
        <v>852</v>
      </c>
      <c r="M312" t="str">
        <f>VLOOKUP($E312,Customer_Dim!$A$2:$F$501,3,FALSE)</f>
        <v>Female</v>
      </c>
      <c r="N312" t="str">
        <f>VLOOKUP($E312,Customer_Dim!$A$2:$F$501,5,FALSE)</f>
        <v>USA</v>
      </c>
      <c r="O312" t="str">
        <f>VLOOKUP($E312,Customer_Dim!$A$2:$F$501,6,FALSE)</f>
        <v>Gold</v>
      </c>
      <c r="P312" t="str">
        <f>VLOOKUP($A312,Store_Dim!$A$2:$F$21,3,FALSE)</f>
        <v>SouthLake Michael</v>
      </c>
    </row>
    <row r="313" spans="1:16" x14ac:dyDescent="0.25">
      <c r="A313" t="s">
        <v>820</v>
      </c>
      <c r="B313" t="s">
        <v>1274</v>
      </c>
      <c r="C313" t="s">
        <v>656</v>
      </c>
      <c r="D313" s="2">
        <v>45921</v>
      </c>
      <c r="E313" t="s">
        <v>518</v>
      </c>
      <c r="F313" t="str">
        <f>VLOOKUP($C313,Product_Dim!$A$2:$D$101,3,FALSE)</f>
        <v>Taylor-Hart</v>
      </c>
      <c r="G313" t="str">
        <f>VLOOKUP($C313,Product_Dim!$A$2:$D$101,2,FALSE)</f>
        <v>Electronics</v>
      </c>
      <c r="H313">
        <v>2</v>
      </c>
      <c r="I313">
        <v>74.63</v>
      </c>
      <c r="J313">
        <v>0.01</v>
      </c>
      <c r="K313" s="3">
        <v>147.76740000000001</v>
      </c>
      <c r="L313" t="s">
        <v>854</v>
      </c>
      <c r="M313" t="str">
        <f>VLOOKUP($E313,Customer_Dim!$A$2:$F$501,3,FALSE)</f>
        <v>Male</v>
      </c>
      <c r="N313" t="str">
        <f>VLOOKUP($E313,Customer_Dim!$A$2:$F$501,5,FALSE)</f>
        <v>USA</v>
      </c>
      <c r="O313" t="str">
        <f>VLOOKUP($E313,Customer_Dim!$A$2:$F$501,6,FALSE)</f>
        <v>Gold</v>
      </c>
      <c r="P313" t="str">
        <f>VLOOKUP($A313,Store_Dim!$A$2:$F$21,3,FALSE)</f>
        <v>SouthLake Michael</v>
      </c>
    </row>
    <row r="314" spans="1:16" x14ac:dyDescent="0.25">
      <c r="A314" t="s">
        <v>820</v>
      </c>
      <c r="B314" t="s">
        <v>1580</v>
      </c>
      <c r="C314" t="s">
        <v>658</v>
      </c>
      <c r="D314" s="2">
        <v>45640</v>
      </c>
      <c r="E314" t="s">
        <v>194</v>
      </c>
      <c r="F314" t="str">
        <f>VLOOKUP($C314,Product_Dim!$A$2:$D$101,3,FALSE)</f>
        <v>Carroll, Long and Mendoza</v>
      </c>
      <c r="G314" t="str">
        <f>VLOOKUP($C314,Product_Dim!$A$2:$D$101,2,FALSE)</f>
        <v>Sports</v>
      </c>
      <c r="H314">
        <v>3</v>
      </c>
      <c r="I314">
        <v>28.69</v>
      </c>
      <c r="J314">
        <v>0.02</v>
      </c>
      <c r="K314" s="3">
        <v>84.348600000000005</v>
      </c>
      <c r="L314" t="s">
        <v>852</v>
      </c>
      <c r="M314" t="str">
        <f>VLOOKUP($E314,Customer_Dim!$A$2:$F$501,3,FALSE)</f>
        <v>Male</v>
      </c>
      <c r="N314" t="str">
        <f>VLOOKUP($E314,Customer_Dim!$A$2:$F$501,5,FALSE)</f>
        <v>USA</v>
      </c>
      <c r="O314" t="str">
        <f>VLOOKUP($E314,Customer_Dim!$A$2:$F$501,6,FALSE)</f>
        <v>Platinum</v>
      </c>
      <c r="P314" t="str">
        <f>VLOOKUP($A314,Store_Dim!$A$2:$F$21,3,FALSE)</f>
        <v>SouthLake Michael</v>
      </c>
    </row>
    <row r="315" spans="1:16" x14ac:dyDescent="0.25">
      <c r="A315" t="s">
        <v>820</v>
      </c>
      <c r="B315" t="s">
        <v>1659</v>
      </c>
      <c r="C315" t="s">
        <v>660</v>
      </c>
      <c r="D315" s="2">
        <v>45361</v>
      </c>
      <c r="E315" t="s">
        <v>361</v>
      </c>
      <c r="F315" t="str">
        <f>VLOOKUP($C315,Product_Dim!$A$2:$D$101,3,FALSE)</f>
        <v>Holmes LLC</v>
      </c>
      <c r="G315" t="str">
        <f>VLOOKUP($C315,Product_Dim!$A$2:$D$101,2,FALSE)</f>
        <v>Electronics</v>
      </c>
      <c r="H315">
        <v>2</v>
      </c>
      <c r="I315">
        <v>705.61</v>
      </c>
      <c r="J315">
        <v>0.28000000000000003</v>
      </c>
      <c r="K315" s="3">
        <v>1016.0784</v>
      </c>
      <c r="L315" t="s">
        <v>852</v>
      </c>
      <c r="M315" t="str">
        <f>VLOOKUP($E315,Customer_Dim!$A$2:$F$501,3,FALSE)</f>
        <v>Male</v>
      </c>
      <c r="N315" t="str">
        <f>VLOOKUP($E315,Customer_Dim!$A$2:$F$501,5,FALSE)</f>
        <v>USA</v>
      </c>
      <c r="O315" t="str">
        <f>VLOOKUP($E315,Customer_Dim!$A$2:$F$501,6,FALSE)</f>
        <v>Platinum</v>
      </c>
      <c r="P315" t="str">
        <f>VLOOKUP($A315,Store_Dim!$A$2:$F$21,3,FALSE)</f>
        <v>SouthLake Michael</v>
      </c>
    </row>
    <row r="316" spans="1:16" hidden="1" x14ac:dyDescent="0.25">
      <c r="A316" t="s">
        <v>820</v>
      </c>
      <c r="B316" t="s">
        <v>2718</v>
      </c>
      <c r="C316" t="s">
        <v>660</v>
      </c>
      <c r="D316" s="2">
        <v>45909</v>
      </c>
      <c r="E316" t="s">
        <v>408</v>
      </c>
      <c r="F316" t="str">
        <f>VLOOKUP($C316,Product_Dim!$A$2:$D$101,3,FALSE)</f>
        <v>Holmes LLC</v>
      </c>
      <c r="G316" t="str">
        <f>VLOOKUP($C316,Product_Dim!$A$2:$D$101,2,FALSE)</f>
        <v>Electronics</v>
      </c>
      <c r="H316">
        <v>2</v>
      </c>
      <c r="I316">
        <v>271.88</v>
      </c>
      <c r="J316">
        <v>0.11</v>
      </c>
      <c r="K316" s="3">
        <v>483.94639999999998</v>
      </c>
      <c r="L316" t="s">
        <v>857</v>
      </c>
      <c r="M316" t="str">
        <f>VLOOKUP($E316,Customer_Dim!$A$2:$F$501,3,FALSE)</f>
        <v>Female</v>
      </c>
      <c r="N316" t="str">
        <f>VLOOKUP($E316,Customer_Dim!$A$2:$F$501,5,FALSE)</f>
        <v>USA</v>
      </c>
      <c r="O316" t="str">
        <f>VLOOKUP($E316,Customer_Dim!$A$2:$F$501,6,FALSE)</f>
        <v>Bronze</v>
      </c>
      <c r="P316" t="str">
        <f>VLOOKUP($A316,Store_Dim!$A$2:$F$21,3,FALSE)</f>
        <v>SouthLake Michael</v>
      </c>
    </row>
    <row r="317" spans="1:16" x14ac:dyDescent="0.25">
      <c r="A317" t="s">
        <v>820</v>
      </c>
      <c r="B317" t="s">
        <v>2813</v>
      </c>
      <c r="C317" t="s">
        <v>662</v>
      </c>
      <c r="D317" s="2">
        <v>45639</v>
      </c>
      <c r="E317" t="s">
        <v>318</v>
      </c>
      <c r="F317" t="str">
        <f>VLOOKUP($C317,Product_Dim!$A$2:$D$101,3,FALSE)</f>
        <v>Robinson Inc</v>
      </c>
      <c r="G317" t="str">
        <f>VLOOKUP($C317,Product_Dim!$A$2:$D$101,2,FALSE)</f>
        <v>Electronics</v>
      </c>
      <c r="H317">
        <v>2</v>
      </c>
      <c r="I317">
        <v>249.02</v>
      </c>
      <c r="J317">
        <v>0.01</v>
      </c>
      <c r="K317" s="3">
        <v>493.05959999999999</v>
      </c>
      <c r="L317" t="s">
        <v>857</v>
      </c>
      <c r="M317" t="str">
        <f>VLOOKUP($E317,Customer_Dim!$A$2:$F$501,3,FALSE)</f>
        <v>Male</v>
      </c>
      <c r="N317" t="str">
        <f>VLOOKUP($E317,Customer_Dim!$A$2:$F$501,5,FALSE)</f>
        <v>USA</v>
      </c>
      <c r="O317" t="str">
        <f>VLOOKUP($E317,Customer_Dim!$A$2:$F$501,6,FALSE)</f>
        <v>Silver</v>
      </c>
      <c r="P317" t="str">
        <f>VLOOKUP($A317,Store_Dim!$A$2:$F$21,3,FALSE)</f>
        <v>SouthLake Michael</v>
      </c>
    </row>
    <row r="318" spans="1:16" hidden="1" x14ac:dyDescent="0.25">
      <c r="A318" t="s">
        <v>820</v>
      </c>
      <c r="B318" t="s">
        <v>1051</v>
      </c>
      <c r="C318" t="s">
        <v>664</v>
      </c>
      <c r="D318" s="2">
        <v>45227</v>
      </c>
      <c r="E318" t="s">
        <v>199</v>
      </c>
      <c r="F318" t="str">
        <f>VLOOKUP($C318,Product_Dim!$A$2:$D$101,3,FALSE)</f>
        <v>Cox Inc</v>
      </c>
      <c r="G318" t="str">
        <f>VLOOKUP($C318,Product_Dim!$A$2:$D$101,2,FALSE)</f>
        <v>Sports</v>
      </c>
      <c r="H318">
        <v>1</v>
      </c>
      <c r="I318">
        <v>541.24</v>
      </c>
      <c r="J318">
        <v>0.03</v>
      </c>
      <c r="K318" s="3">
        <v>525.00279999999998</v>
      </c>
      <c r="L318" t="s">
        <v>854</v>
      </c>
      <c r="M318" t="str">
        <f>VLOOKUP($E318,Customer_Dim!$A$2:$F$501,3,FALSE)</f>
        <v>Female</v>
      </c>
      <c r="N318" t="str">
        <f>VLOOKUP($E318,Customer_Dim!$A$2:$F$501,5,FALSE)</f>
        <v>USA</v>
      </c>
      <c r="O318" t="str">
        <f>VLOOKUP($E318,Customer_Dim!$A$2:$F$501,6,FALSE)</f>
        <v>Platinum</v>
      </c>
      <c r="P318" t="str">
        <f>VLOOKUP($A318,Store_Dim!$A$2:$F$21,3,FALSE)</f>
        <v>SouthLake Michael</v>
      </c>
    </row>
    <row r="319" spans="1:16" hidden="1" x14ac:dyDescent="0.25">
      <c r="A319" t="s">
        <v>820</v>
      </c>
      <c r="B319" t="s">
        <v>927</v>
      </c>
      <c r="C319" t="s">
        <v>666</v>
      </c>
      <c r="D319" s="2">
        <v>45626</v>
      </c>
      <c r="E319" t="s">
        <v>77</v>
      </c>
      <c r="F319" t="str">
        <f>VLOOKUP($C319,Product_Dim!$A$2:$D$101,3,FALSE)</f>
        <v>Bridges, Banks and Cummings</v>
      </c>
      <c r="G319" t="str">
        <f>VLOOKUP($C319,Product_Dim!$A$2:$D$101,2,FALSE)</f>
        <v>Sports</v>
      </c>
      <c r="H319">
        <v>2</v>
      </c>
      <c r="I319">
        <v>556.42999999999995</v>
      </c>
      <c r="J319">
        <v>0.13</v>
      </c>
      <c r="K319" s="3">
        <v>968.18819999999994</v>
      </c>
      <c r="L319" t="s">
        <v>852</v>
      </c>
      <c r="M319" t="str">
        <f>VLOOKUP($E319,Customer_Dim!$A$2:$F$501,3,FALSE)</f>
        <v>Female</v>
      </c>
      <c r="N319" t="str">
        <f>VLOOKUP($E319,Customer_Dim!$A$2:$F$501,5,FALSE)</f>
        <v>USA</v>
      </c>
      <c r="O319" t="str">
        <f>VLOOKUP($E319,Customer_Dim!$A$2:$F$501,6,FALSE)</f>
        <v>UNKNOWN</v>
      </c>
      <c r="P319" t="str">
        <f>VLOOKUP($A319,Store_Dim!$A$2:$F$21,3,FALSE)</f>
        <v>SouthLake Michael</v>
      </c>
    </row>
    <row r="320" spans="1:16" hidden="1" x14ac:dyDescent="0.25">
      <c r="A320" t="s">
        <v>820</v>
      </c>
      <c r="B320" t="s">
        <v>2845</v>
      </c>
      <c r="C320" t="s">
        <v>666</v>
      </c>
      <c r="D320" s="2">
        <v>45450</v>
      </c>
      <c r="E320" t="s">
        <v>394</v>
      </c>
      <c r="F320" t="str">
        <f>VLOOKUP($C320,Product_Dim!$A$2:$D$101,3,FALSE)</f>
        <v>Bridges, Banks and Cummings</v>
      </c>
      <c r="G320" t="str">
        <f>VLOOKUP($C320,Product_Dim!$A$2:$D$101,2,FALSE)</f>
        <v>Sports</v>
      </c>
      <c r="H320">
        <v>1</v>
      </c>
      <c r="I320">
        <v>183.47</v>
      </c>
      <c r="J320">
        <v>0.17</v>
      </c>
      <c r="K320" s="3">
        <v>152.2801</v>
      </c>
      <c r="L320" t="s">
        <v>854</v>
      </c>
      <c r="M320" t="str">
        <f>VLOOKUP($E320,Customer_Dim!$A$2:$F$501,3,FALSE)</f>
        <v>Female</v>
      </c>
      <c r="N320" t="str">
        <f>VLOOKUP($E320,Customer_Dim!$A$2:$F$501,5,FALSE)</f>
        <v>USA</v>
      </c>
      <c r="O320" t="str">
        <f>VLOOKUP($E320,Customer_Dim!$A$2:$F$501,6,FALSE)</f>
        <v>Bronze</v>
      </c>
      <c r="P320" t="str">
        <f>VLOOKUP($A320,Store_Dim!$A$2:$F$21,3,FALSE)</f>
        <v>SouthLake Michael</v>
      </c>
    </row>
    <row r="321" spans="1:16" x14ac:dyDescent="0.25">
      <c r="A321" t="s">
        <v>820</v>
      </c>
      <c r="B321" t="s">
        <v>1592</v>
      </c>
      <c r="C321" t="s">
        <v>668</v>
      </c>
      <c r="D321" s="2">
        <v>45657</v>
      </c>
      <c r="E321" t="s">
        <v>431</v>
      </c>
      <c r="F321" t="str">
        <f>VLOOKUP($C321,Product_Dim!$A$2:$D$101,3,FALSE)</f>
        <v>Kelly, Smith and Perez</v>
      </c>
      <c r="G321" t="str">
        <f>VLOOKUP($C321,Product_Dim!$A$2:$D$101,2,FALSE)</f>
        <v>Clothing</v>
      </c>
      <c r="H321">
        <v>2</v>
      </c>
      <c r="I321">
        <v>213.69</v>
      </c>
      <c r="J321">
        <v>0.28000000000000003</v>
      </c>
      <c r="K321" s="3">
        <v>307.71359999999999</v>
      </c>
      <c r="L321" t="s">
        <v>854</v>
      </c>
      <c r="M321" t="str">
        <f>VLOOKUP($E321,Customer_Dim!$A$2:$F$501,3,FALSE)</f>
        <v>Male</v>
      </c>
      <c r="N321" t="str">
        <f>VLOOKUP($E321,Customer_Dim!$A$2:$F$501,5,FALSE)</f>
        <v>USA</v>
      </c>
      <c r="O321" t="str">
        <f>VLOOKUP($E321,Customer_Dim!$A$2:$F$501,6,FALSE)</f>
        <v>Bronze</v>
      </c>
      <c r="P321" t="str">
        <f>VLOOKUP($A321,Store_Dim!$A$2:$F$21,3,FALSE)</f>
        <v>SouthLake Michael</v>
      </c>
    </row>
    <row r="322" spans="1:16" x14ac:dyDescent="0.25">
      <c r="A322" t="s">
        <v>820</v>
      </c>
      <c r="B322" t="s">
        <v>2238</v>
      </c>
      <c r="C322" t="s">
        <v>670</v>
      </c>
      <c r="D322" s="2">
        <v>45742</v>
      </c>
      <c r="E322" t="s">
        <v>68</v>
      </c>
      <c r="F322" t="str">
        <f>VLOOKUP($C322,Product_Dim!$A$2:$D$101,3,FALSE)</f>
        <v>Cook Inc</v>
      </c>
      <c r="G322" t="str">
        <f>VLOOKUP($C322,Product_Dim!$A$2:$D$101,2,FALSE)</f>
        <v>Beauty</v>
      </c>
      <c r="H322">
        <v>1</v>
      </c>
      <c r="I322">
        <v>713.63</v>
      </c>
      <c r="J322">
        <v>0.28000000000000003</v>
      </c>
      <c r="K322" s="3">
        <v>513.81359999999995</v>
      </c>
      <c r="L322" t="s">
        <v>857</v>
      </c>
      <c r="M322" t="str">
        <f>VLOOKUP($E322,Customer_Dim!$A$2:$F$501,3,FALSE)</f>
        <v>Male</v>
      </c>
      <c r="N322" t="str">
        <f>VLOOKUP($E322,Customer_Dim!$A$2:$F$501,5,FALSE)</f>
        <v>USA</v>
      </c>
      <c r="O322" t="str">
        <f>VLOOKUP($E322,Customer_Dim!$A$2:$F$501,6,FALSE)</f>
        <v>Silver</v>
      </c>
      <c r="P322" t="str">
        <f>VLOOKUP($A322,Store_Dim!$A$2:$F$21,3,FALSE)</f>
        <v>SouthLake Michael</v>
      </c>
    </row>
    <row r="323" spans="1:16" x14ac:dyDescent="0.25">
      <c r="A323" t="s">
        <v>820</v>
      </c>
      <c r="B323" t="s">
        <v>2105</v>
      </c>
      <c r="C323" t="s">
        <v>672</v>
      </c>
      <c r="D323" s="2">
        <v>45480</v>
      </c>
      <c r="E323" t="s">
        <v>317</v>
      </c>
      <c r="F323" t="str">
        <f>VLOOKUP($C323,Product_Dim!$A$2:$D$101,3,FALSE)</f>
        <v>Byrd, Stewart and Valdez</v>
      </c>
      <c r="G323" t="str">
        <f>VLOOKUP($C323,Product_Dim!$A$2:$D$101,2,FALSE)</f>
        <v>Electronics</v>
      </c>
      <c r="H323">
        <v>2</v>
      </c>
      <c r="I323">
        <v>875.2</v>
      </c>
      <c r="J323">
        <v>0.19</v>
      </c>
      <c r="K323" s="3">
        <v>1417.8240000000001</v>
      </c>
      <c r="L323" t="s">
        <v>852</v>
      </c>
      <c r="M323" t="str">
        <f>VLOOKUP($E323,Customer_Dim!$A$2:$F$501,3,FALSE)</f>
        <v>Male</v>
      </c>
      <c r="N323" t="str">
        <f>VLOOKUP($E323,Customer_Dim!$A$2:$F$501,5,FALSE)</f>
        <v>USA</v>
      </c>
      <c r="O323" t="str">
        <f>VLOOKUP($E323,Customer_Dim!$A$2:$F$501,6,FALSE)</f>
        <v>Silver</v>
      </c>
      <c r="P323" t="str">
        <f>VLOOKUP($A323,Store_Dim!$A$2:$F$21,3,FALSE)</f>
        <v>SouthLake Michael</v>
      </c>
    </row>
    <row r="324" spans="1:16" x14ac:dyDescent="0.25">
      <c r="A324" t="s">
        <v>820</v>
      </c>
      <c r="B324" t="s">
        <v>1025</v>
      </c>
      <c r="C324" t="s">
        <v>674</v>
      </c>
      <c r="D324" s="2">
        <v>45795</v>
      </c>
      <c r="E324" t="s">
        <v>239</v>
      </c>
      <c r="F324" t="str">
        <f>VLOOKUP($C324,Product_Dim!$A$2:$D$101,3,FALSE)</f>
        <v>Sullivan and Sons</v>
      </c>
      <c r="G324" t="str">
        <f>VLOOKUP($C324,Product_Dim!$A$2:$D$101,2,FALSE)</f>
        <v>Beauty</v>
      </c>
      <c r="H324">
        <v>1</v>
      </c>
      <c r="I324">
        <v>325.08</v>
      </c>
      <c r="J324">
        <v>0.26</v>
      </c>
      <c r="K324" s="3">
        <v>240.5592</v>
      </c>
      <c r="L324" t="s">
        <v>854</v>
      </c>
      <c r="M324" t="str">
        <f>VLOOKUP($E324,Customer_Dim!$A$2:$F$501,3,FALSE)</f>
        <v>Male</v>
      </c>
      <c r="N324" t="str">
        <f>VLOOKUP($E324,Customer_Dim!$A$2:$F$501,5,FALSE)</f>
        <v>USA</v>
      </c>
      <c r="O324" t="str">
        <f>VLOOKUP($E324,Customer_Dim!$A$2:$F$501,6,FALSE)</f>
        <v>Platinum</v>
      </c>
      <c r="P324" t="str">
        <f>VLOOKUP($A324,Store_Dim!$A$2:$F$21,3,FALSE)</f>
        <v>SouthLake Michael</v>
      </c>
    </row>
    <row r="325" spans="1:16" hidden="1" x14ac:dyDescent="0.25">
      <c r="A325" t="s">
        <v>820</v>
      </c>
      <c r="B325" t="s">
        <v>2660</v>
      </c>
      <c r="C325" t="s">
        <v>674</v>
      </c>
      <c r="D325" s="2">
        <v>45474</v>
      </c>
      <c r="E325" t="s">
        <v>266</v>
      </c>
      <c r="F325" t="str">
        <f>VLOOKUP($C325,Product_Dim!$A$2:$D$101,3,FALSE)</f>
        <v>Sullivan and Sons</v>
      </c>
      <c r="G325" t="str">
        <f>VLOOKUP($C325,Product_Dim!$A$2:$D$101,2,FALSE)</f>
        <v>Beauty</v>
      </c>
      <c r="H325">
        <v>4</v>
      </c>
      <c r="I325">
        <v>450.3</v>
      </c>
      <c r="J325">
        <v>0.02</v>
      </c>
      <c r="K325" s="3">
        <v>1765.1759999999999</v>
      </c>
      <c r="L325" t="s">
        <v>852</v>
      </c>
      <c r="M325" t="str">
        <f>VLOOKUP($E325,Customer_Dim!$A$2:$F$501,3,FALSE)</f>
        <v>Female</v>
      </c>
      <c r="N325" t="str">
        <f>VLOOKUP($E325,Customer_Dim!$A$2:$F$501,5,FALSE)</f>
        <v>USA</v>
      </c>
      <c r="O325" t="str">
        <f>VLOOKUP($E325,Customer_Dim!$A$2:$F$501,6,FALSE)</f>
        <v>Bronze</v>
      </c>
      <c r="P325" t="str">
        <f>VLOOKUP($A325,Store_Dim!$A$2:$F$21,3,FALSE)</f>
        <v>SouthLake Michael</v>
      </c>
    </row>
    <row r="326" spans="1:16" x14ac:dyDescent="0.25">
      <c r="A326" t="s">
        <v>820</v>
      </c>
      <c r="B326" t="s">
        <v>909</v>
      </c>
      <c r="C326" t="s">
        <v>674</v>
      </c>
      <c r="D326" s="2">
        <v>45589</v>
      </c>
      <c r="E326" t="s">
        <v>483</v>
      </c>
      <c r="F326" t="str">
        <f>VLOOKUP($C326,Product_Dim!$A$2:$D$101,3,FALSE)</f>
        <v>Sullivan and Sons</v>
      </c>
      <c r="G326" t="str">
        <f>VLOOKUP($C326,Product_Dim!$A$2:$D$101,2,FALSE)</f>
        <v>Beauty</v>
      </c>
      <c r="H326">
        <v>2</v>
      </c>
      <c r="I326">
        <v>559.71</v>
      </c>
      <c r="J326">
        <v>0.3</v>
      </c>
      <c r="K326" s="3">
        <v>783.59400000000005</v>
      </c>
      <c r="L326" t="s">
        <v>857</v>
      </c>
      <c r="M326" t="str">
        <f>VLOOKUP($E326,Customer_Dim!$A$2:$F$501,3,FALSE)</f>
        <v>Male</v>
      </c>
      <c r="N326" t="str">
        <f>VLOOKUP($E326,Customer_Dim!$A$2:$F$501,5,FALSE)</f>
        <v>USA</v>
      </c>
      <c r="O326" t="str">
        <f>VLOOKUP($E326,Customer_Dim!$A$2:$F$501,6,FALSE)</f>
        <v>Platinum</v>
      </c>
      <c r="P326" t="str">
        <f>VLOOKUP($A326,Store_Dim!$A$2:$F$21,3,FALSE)</f>
        <v>SouthLake Michael</v>
      </c>
    </row>
    <row r="327" spans="1:16" x14ac:dyDescent="0.25">
      <c r="A327" t="s">
        <v>820</v>
      </c>
      <c r="B327" t="s">
        <v>1840</v>
      </c>
      <c r="C327" t="s">
        <v>678</v>
      </c>
      <c r="D327" s="2">
        <v>45429</v>
      </c>
      <c r="E327" t="s">
        <v>550</v>
      </c>
      <c r="F327" t="str">
        <f>VLOOKUP($C327,Product_Dim!$A$2:$D$101,3,FALSE)</f>
        <v>Bautista, Green and Hale</v>
      </c>
      <c r="G327" t="str">
        <f>VLOOKUP($C327,Product_Dim!$A$2:$D$101,2,FALSE)</f>
        <v>Electronics</v>
      </c>
      <c r="H327">
        <v>3</v>
      </c>
      <c r="I327">
        <v>461.02</v>
      </c>
      <c r="J327">
        <v>0.28999999999999998</v>
      </c>
      <c r="K327" s="3">
        <v>981.97259999999994</v>
      </c>
      <c r="L327" t="s">
        <v>854</v>
      </c>
      <c r="M327" t="str">
        <f>VLOOKUP($E327,Customer_Dim!$A$2:$F$501,3,FALSE)</f>
        <v>Male</v>
      </c>
      <c r="N327" t="str">
        <f>VLOOKUP($E327,Customer_Dim!$A$2:$F$501,5,FALSE)</f>
        <v>USA</v>
      </c>
      <c r="O327" t="str">
        <f>VLOOKUP($E327,Customer_Dim!$A$2:$F$501,6,FALSE)</f>
        <v>Gold</v>
      </c>
      <c r="P327" t="str">
        <f>VLOOKUP($A327,Store_Dim!$A$2:$F$21,3,FALSE)</f>
        <v>SouthLake Michael</v>
      </c>
    </row>
    <row r="328" spans="1:16" x14ac:dyDescent="0.25">
      <c r="A328" t="s">
        <v>820</v>
      </c>
      <c r="B328" t="s">
        <v>985</v>
      </c>
      <c r="C328" t="s">
        <v>678</v>
      </c>
      <c r="D328" s="2">
        <v>45444</v>
      </c>
      <c r="E328" t="s">
        <v>563</v>
      </c>
      <c r="F328" t="str">
        <f>VLOOKUP($C328,Product_Dim!$A$2:$D$101,3,FALSE)</f>
        <v>Bautista, Green and Hale</v>
      </c>
      <c r="G328" t="str">
        <f>VLOOKUP($C328,Product_Dim!$A$2:$D$101,2,FALSE)</f>
        <v>Electronics</v>
      </c>
      <c r="H328">
        <v>3</v>
      </c>
      <c r="I328">
        <v>298.35000000000002</v>
      </c>
      <c r="J328">
        <v>0.05</v>
      </c>
      <c r="K328" s="3">
        <v>850.29750000000001</v>
      </c>
      <c r="L328" t="s">
        <v>857</v>
      </c>
      <c r="M328" t="str">
        <f>VLOOKUP($E328,Customer_Dim!$A$2:$F$501,3,FALSE)</f>
        <v>Male</v>
      </c>
      <c r="N328" t="str">
        <f>VLOOKUP($E328,Customer_Dim!$A$2:$F$501,5,FALSE)</f>
        <v>USA</v>
      </c>
      <c r="O328" t="str">
        <f>VLOOKUP($E328,Customer_Dim!$A$2:$F$501,6,FALSE)</f>
        <v>Bronze</v>
      </c>
      <c r="P328" t="str">
        <f>VLOOKUP($A328,Store_Dim!$A$2:$F$21,3,FALSE)</f>
        <v>SouthLake Michael</v>
      </c>
    </row>
    <row r="329" spans="1:16" x14ac:dyDescent="0.25">
      <c r="A329" t="s">
        <v>820</v>
      </c>
      <c r="B329" t="s">
        <v>1985</v>
      </c>
      <c r="C329" t="s">
        <v>682</v>
      </c>
      <c r="D329" s="2">
        <v>45764</v>
      </c>
      <c r="E329" t="s">
        <v>226</v>
      </c>
      <c r="F329" t="str">
        <f>VLOOKUP($C329,Product_Dim!$A$2:$D$101,3,FALSE)</f>
        <v>Hamilton, Woods and Walker</v>
      </c>
      <c r="G329" t="str">
        <f>VLOOKUP($C329,Product_Dim!$A$2:$D$101,2,FALSE)</f>
        <v>Clothing</v>
      </c>
      <c r="H329">
        <v>3</v>
      </c>
      <c r="I329">
        <v>269.83999999999997</v>
      </c>
      <c r="J329">
        <v>0.05</v>
      </c>
      <c r="K329" s="3">
        <v>769.04399999999998</v>
      </c>
      <c r="L329" t="s">
        <v>854</v>
      </c>
      <c r="M329" t="str">
        <f>VLOOKUP($E329,Customer_Dim!$A$2:$F$501,3,FALSE)</f>
        <v>Male</v>
      </c>
      <c r="N329" t="str">
        <f>VLOOKUP($E329,Customer_Dim!$A$2:$F$501,5,FALSE)</f>
        <v>USA</v>
      </c>
      <c r="O329" t="str">
        <f>VLOOKUP($E329,Customer_Dim!$A$2:$F$501,6,FALSE)</f>
        <v>Silver</v>
      </c>
      <c r="P329" t="str">
        <f>VLOOKUP($A329,Store_Dim!$A$2:$F$21,3,FALSE)</f>
        <v>SouthLake Michael</v>
      </c>
    </row>
    <row r="330" spans="1:16" x14ac:dyDescent="0.25">
      <c r="A330" t="s">
        <v>820</v>
      </c>
      <c r="B330" t="s">
        <v>2547</v>
      </c>
      <c r="C330" t="s">
        <v>686</v>
      </c>
      <c r="D330" s="2">
        <v>45353</v>
      </c>
      <c r="E330" t="s">
        <v>101</v>
      </c>
      <c r="F330" t="str">
        <f>VLOOKUP($C330,Product_Dim!$A$2:$D$101,3,FALSE)</f>
        <v>Hatfield, Baird and Torres</v>
      </c>
      <c r="G330" t="str">
        <f>VLOOKUP($C330,Product_Dim!$A$2:$D$101,2,FALSE)</f>
        <v>Home</v>
      </c>
      <c r="H330">
        <v>4</v>
      </c>
      <c r="I330">
        <v>73.69</v>
      </c>
      <c r="J330">
        <v>0.08</v>
      </c>
      <c r="K330" s="3">
        <v>271.17919999999998</v>
      </c>
      <c r="L330" t="s">
        <v>852</v>
      </c>
      <c r="M330" t="str">
        <f>VLOOKUP($E330,Customer_Dim!$A$2:$F$501,3,FALSE)</f>
        <v>Male</v>
      </c>
      <c r="N330" t="str">
        <f>VLOOKUP($E330,Customer_Dim!$A$2:$F$501,5,FALSE)</f>
        <v>USA</v>
      </c>
      <c r="O330" t="str">
        <f>VLOOKUP($E330,Customer_Dim!$A$2:$F$501,6,FALSE)</f>
        <v>Platinum</v>
      </c>
      <c r="P330" t="str">
        <f>VLOOKUP($A330,Store_Dim!$A$2:$F$21,3,FALSE)</f>
        <v>SouthLake Michael</v>
      </c>
    </row>
    <row r="331" spans="1:16" hidden="1" x14ac:dyDescent="0.25">
      <c r="A331" t="s">
        <v>820</v>
      </c>
      <c r="B331" t="s">
        <v>2222</v>
      </c>
      <c r="C331" t="s">
        <v>694</v>
      </c>
      <c r="D331" s="2">
        <v>45432</v>
      </c>
      <c r="E331" t="s">
        <v>76</v>
      </c>
      <c r="F331" t="str">
        <f>VLOOKUP($C331,Product_Dim!$A$2:$D$101,3,FALSE)</f>
        <v>Cline-Mccarthy</v>
      </c>
      <c r="G331" t="str">
        <f>VLOOKUP($C331,Product_Dim!$A$2:$D$101,2,FALSE)</f>
        <v>Beauty</v>
      </c>
      <c r="H331">
        <v>2</v>
      </c>
      <c r="I331">
        <v>23.58</v>
      </c>
      <c r="J331">
        <v>0.02</v>
      </c>
      <c r="K331" s="3">
        <v>46.216799999999999</v>
      </c>
      <c r="L331" t="s">
        <v>854</v>
      </c>
      <c r="M331" t="str">
        <f>VLOOKUP($E331,Customer_Dim!$A$2:$F$501,3,FALSE)</f>
        <v>Female</v>
      </c>
      <c r="N331" t="str">
        <f>VLOOKUP($E331,Customer_Dim!$A$2:$F$501,5,FALSE)</f>
        <v>USA</v>
      </c>
      <c r="O331" t="str">
        <f>VLOOKUP($E331,Customer_Dim!$A$2:$F$501,6,FALSE)</f>
        <v>Gold</v>
      </c>
      <c r="P331" t="str">
        <f>VLOOKUP($A331,Store_Dim!$A$2:$F$21,3,FALSE)</f>
        <v>SouthLake Michael</v>
      </c>
    </row>
    <row r="332" spans="1:16" hidden="1" x14ac:dyDescent="0.25">
      <c r="A332" t="s">
        <v>820</v>
      </c>
      <c r="B332" t="s">
        <v>1594</v>
      </c>
      <c r="C332" t="s">
        <v>694</v>
      </c>
      <c r="D332" s="2">
        <v>45313</v>
      </c>
      <c r="E332" t="s">
        <v>154</v>
      </c>
      <c r="F332" t="str">
        <f>VLOOKUP($C332,Product_Dim!$A$2:$D$101,3,FALSE)</f>
        <v>Cline-Mccarthy</v>
      </c>
      <c r="G332" t="str">
        <f>VLOOKUP($C332,Product_Dim!$A$2:$D$101,2,FALSE)</f>
        <v>Beauty</v>
      </c>
      <c r="H332">
        <v>2</v>
      </c>
      <c r="I332">
        <v>81.16</v>
      </c>
      <c r="J332">
        <v>0.16</v>
      </c>
      <c r="K332" s="3">
        <v>136.34880000000001</v>
      </c>
      <c r="L332" t="s">
        <v>854</v>
      </c>
      <c r="M332" t="str">
        <f>VLOOKUP($E332,Customer_Dim!$A$2:$F$501,3,FALSE)</f>
        <v>Female</v>
      </c>
      <c r="N332" t="str">
        <f>VLOOKUP($E332,Customer_Dim!$A$2:$F$501,5,FALSE)</f>
        <v>USA</v>
      </c>
      <c r="O332" t="str">
        <f>VLOOKUP($E332,Customer_Dim!$A$2:$F$501,6,FALSE)</f>
        <v>Gold</v>
      </c>
      <c r="P332" t="str">
        <f>VLOOKUP($A332,Store_Dim!$A$2:$F$21,3,FALSE)</f>
        <v>SouthLake Michael</v>
      </c>
    </row>
    <row r="333" spans="1:16" x14ac:dyDescent="0.25">
      <c r="A333" t="s">
        <v>820</v>
      </c>
      <c r="B333" t="s">
        <v>2269</v>
      </c>
      <c r="C333" t="s">
        <v>694</v>
      </c>
      <c r="D333" s="2">
        <v>45755</v>
      </c>
      <c r="E333" t="s">
        <v>209</v>
      </c>
      <c r="F333" t="str">
        <f>VLOOKUP($C333,Product_Dim!$A$2:$D$101,3,FALSE)</f>
        <v>Cline-Mccarthy</v>
      </c>
      <c r="G333" t="str">
        <f>VLOOKUP($C333,Product_Dim!$A$2:$D$101,2,FALSE)</f>
        <v>Beauty</v>
      </c>
      <c r="H333">
        <v>4</v>
      </c>
      <c r="I333">
        <v>511.43</v>
      </c>
      <c r="J333">
        <v>0.18</v>
      </c>
      <c r="K333" s="3">
        <v>1677.4903999999999</v>
      </c>
      <c r="L333" t="s">
        <v>857</v>
      </c>
      <c r="M333" t="str">
        <f>VLOOKUP($E333,Customer_Dim!$A$2:$F$501,3,FALSE)</f>
        <v>Male</v>
      </c>
      <c r="N333" t="str">
        <f>VLOOKUP($E333,Customer_Dim!$A$2:$F$501,5,FALSE)</f>
        <v>USA</v>
      </c>
      <c r="O333" t="str">
        <f>VLOOKUP($E333,Customer_Dim!$A$2:$F$501,6,FALSE)</f>
        <v>Platinum</v>
      </c>
      <c r="P333" t="str">
        <f>VLOOKUP($A333,Store_Dim!$A$2:$F$21,3,FALSE)</f>
        <v>SouthLake Michael</v>
      </c>
    </row>
    <row r="334" spans="1:16" hidden="1" x14ac:dyDescent="0.25">
      <c r="A334" t="s">
        <v>820</v>
      </c>
      <c r="B334" t="s">
        <v>2801</v>
      </c>
      <c r="C334" t="s">
        <v>694</v>
      </c>
      <c r="D334" s="2">
        <v>45614</v>
      </c>
      <c r="E334" t="s">
        <v>295</v>
      </c>
      <c r="F334" t="str">
        <f>VLOOKUP($C334,Product_Dim!$A$2:$D$101,3,FALSE)</f>
        <v>Cline-Mccarthy</v>
      </c>
      <c r="G334" t="str">
        <f>VLOOKUP($C334,Product_Dim!$A$2:$D$101,2,FALSE)</f>
        <v>Beauty</v>
      </c>
      <c r="H334">
        <v>2</v>
      </c>
      <c r="I334">
        <v>410.63</v>
      </c>
      <c r="J334">
        <v>0.28000000000000003</v>
      </c>
      <c r="K334" s="3">
        <v>591.30719999999997</v>
      </c>
      <c r="L334" t="s">
        <v>857</v>
      </c>
      <c r="M334" t="str">
        <f>VLOOKUP($E334,Customer_Dim!$A$2:$F$501,3,FALSE)</f>
        <v>Female</v>
      </c>
      <c r="N334" t="str">
        <f>VLOOKUP($E334,Customer_Dim!$A$2:$F$501,5,FALSE)</f>
        <v>USA</v>
      </c>
      <c r="O334" t="str">
        <f>VLOOKUP($E334,Customer_Dim!$A$2:$F$501,6,FALSE)</f>
        <v>Bronze</v>
      </c>
      <c r="P334" t="str">
        <f>VLOOKUP($A334,Store_Dim!$A$2:$F$21,3,FALSE)</f>
        <v>SouthLake Michael</v>
      </c>
    </row>
    <row r="335" spans="1:16" x14ac:dyDescent="0.25">
      <c r="A335" t="s">
        <v>820</v>
      </c>
      <c r="B335" t="s">
        <v>2638</v>
      </c>
      <c r="C335" t="s">
        <v>694</v>
      </c>
      <c r="D335" s="2">
        <v>45293</v>
      </c>
      <c r="E335" t="s">
        <v>424</v>
      </c>
      <c r="F335" t="str">
        <f>VLOOKUP($C335,Product_Dim!$A$2:$D$101,3,FALSE)</f>
        <v>Cline-Mccarthy</v>
      </c>
      <c r="G335" t="str">
        <f>VLOOKUP($C335,Product_Dim!$A$2:$D$101,2,FALSE)</f>
        <v>Beauty</v>
      </c>
      <c r="H335">
        <v>2</v>
      </c>
      <c r="I335">
        <v>687.36</v>
      </c>
      <c r="J335">
        <v>7.0000000000000007E-2</v>
      </c>
      <c r="K335" s="3">
        <v>1278.4896000000001</v>
      </c>
      <c r="L335" t="s">
        <v>857</v>
      </c>
      <c r="M335" t="str">
        <f>VLOOKUP($E335,Customer_Dim!$A$2:$F$501,3,FALSE)</f>
        <v>Male</v>
      </c>
      <c r="N335" t="str">
        <f>VLOOKUP($E335,Customer_Dim!$A$2:$F$501,5,FALSE)</f>
        <v>USA</v>
      </c>
      <c r="O335" t="str">
        <f>VLOOKUP($E335,Customer_Dim!$A$2:$F$501,6,FALSE)</f>
        <v>Gold</v>
      </c>
      <c r="P335" t="str">
        <f>VLOOKUP($A335,Store_Dim!$A$2:$F$21,3,FALSE)</f>
        <v>SouthLake Michael</v>
      </c>
    </row>
    <row r="336" spans="1:16" hidden="1" x14ac:dyDescent="0.25">
      <c r="A336" t="s">
        <v>820</v>
      </c>
      <c r="B336" t="s">
        <v>2663</v>
      </c>
      <c r="C336" t="s">
        <v>696</v>
      </c>
      <c r="D336" s="2">
        <v>45546</v>
      </c>
      <c r="E336" t="s">
        <v>156</v>
      </c>
      <c r="F336" t="str">
        <f>VLOOKUP($C336,Product_Dim!$A$2:$D$101,3,FALSE)</f>
        <v>Gibson, Green and Lopez</v>
      </c>
      <c r="G336" t="str">
        <f>VLOOKUP($C336,Product_Dim!$A$2:$D$101,2,FALSE)</f>
        <v>Beauty</v>
      </c>
      <c r="H336">
        <v>1</v>
      </c>
      <c r="I336">
        <v>141.85</v>
      </c>
      <c r="J336">
        <v>0.06</v>
      </c>
      <c r="K336" s="3">
        <v>133.339</v>
      </c>
      <c r="L336" t="s">
        <v>854</v>
      </c>
      <c r="M336" t="str">
        <f>VLOOKUP($E336,Customer_Dim!$A$2:$F$501,3,FALSE)</f>
        <v>Female</v>
      </c>
      <c r="N336" t="str">
        <f>VLOOKUP($E336,Customer_Dim!$A$2:$F$501,5,FALSE)</f>
        <v>USA</v>
      </c>
      <c r="O336" t="str">
        <f>VLOOKUP($E336,Customer_Dim!$A$2:$F$501,6,FALSE)</f>
        <v>Platinum</v>
      </c>
      <c r="P336" t="str">
        <f>VLOOKUP($A336,Store_Dim!$A$2:$F$21,3,FALSE)</f>
        <v>SouthLake Michael</v>
      </c>
    </row>
    <row r="337" spans="1:16" x14ac:dyDescent="0.25">
      <c r="A337" t="s">
        <v>820</v>
      </c>
      <c r="B337" t="s">
        <v>2128</v>
      </c>
      <c r="C337" t="s">
        <v>696</v>
      </c>
      <c r="D337" s="2">
        <v>45217</v>
      </c>
      <c r="E337" t="s">
        <v>263</v>
      </c>
      <c r="F337" t="str">
        <f>VLOOKUP($C337,Product_Dim!$A$2:$D$101,3,FALSE)</f>
        <v>Gibson, Green and Lopez</v>
      </c>
      <c r="G337" t="str">
        <f>VLOOKUP($C337,Product_Dim!$A$2:$D$101,2,FALSE)</f>
        <v>Beauty</v>
      </c>
      <c r="H337">
        <v>3</v>
      </c>
      <c r="I337">
        <v>257.11</v>
      </c>
      <c r="J337">
        <v>0.26</v>
      </c>
      <c r="K337" s="3">
        <v>570.78420000000006</v>
      </c>
      <c r="L337" t="s">
        <v>857</v>
      </c>
      <c r="M337" t="str">
        <f>VLOOKUP($E337,Customer_Dim!$A$2:$F$501,3,FALSE)</f>
        <v>Male</v>
      </c>
      <c r="N337" t="str">
        <f>VLOOKUP($E337,Customer_Dim!$A$2:$F$501,5,FALSE)</f>
        <v>USA</v>
      </c>
      <c r="O337" t="str">
        <f>VLOOKUP($E337,Customer_Dim!$A$2:$F$501,6,FALSE)</f>
        <v>Bronze</v>
      </c>
      <c r="P337" t="str">
        <f>VLOOKUP($A337,Store_Dim!$A$2:$F$21,3,FALSE)</f>
        <v>SouthLake Michael</v>
      </c>
    </row>
    <row r="338" spans="1:16" x14ac:dyDescent="0.25">
      <c r="A338" t="s">
        <v>820</v>
      </c>
      <c r="B338" t="s">
        <v>2687</v>
      </c>
      <c r="C338" t="s">
        <v>696</v>
      </c>
      <c r="D338" s="2">
        <v>45721</v>
      </c>
      <c r="E338" t="s">
        <v>347</v>
      </c>
      <c r="F338" t="str">
        <f>VLOOKUP($C338,Product_Dim!$A$2:$D$101,3,FALSE)</f>
        <v>Gibson, Green and Lopez</v>
      </c>
      <c r="G338" t="str">
        <f>VLOOKUP($C338,Product_Dim!$A$2:$D$101,2,FALSE)</f>
        <v>Beauty</v>
      </c>
      <c r="H338">
        <v>4</v>
      </c>
      <c r="I338">
        <v>861.55</v>
      </c>
      <c r="J338">
        <v>0.12</v>
      </c>
      <c r="K338" s="3">
        <v>3032.6559999999999</v>
      </c>
      <c r="L338" t="s">
        <v>852</v>
      </c>
      <c r="M338" t="str">
        <f>VLOOKUP($E338,Customer_Dim!$A$2:$F$501,3,FALSE)</f>
        <v>Male</v>
      </c>
      <c r="N338" t="str">
        <f>VLOOKUP($E338,Customer_Dim!$A$2:$F$501,5,FALSE)</f>
        <v>USA</v>
      </c>
      <c r="O338" t="str">
        <f>VLOOKUP($E338,Customer_Dim!$A$2:$F$501,6,FALSE)</f>
        <v>Bronze</v>
      </c>
      <c r="P338" t="str">
        <f>VLOOKUP($A338,Store_Dim!$A$2:$F$21,3,FALSE)</f>
        <v>SouthLake Michael</v>
      </c>
    </row>
    <row r="339" spans="1:16" x14ac:dyDescent="0.25">
      <c r="A339" t="s">
        <v>820</v>
      </c>
      <c r="B339" t="s">
        <v>2852</v>
      </c>
      <c r="C339" t="s">
        <v>698</v>
      </c>
      <c r="D339" s="2">
        <v>45607</v>
      </c>
      <c r="E339" t="s">
        <v>98</v>
      </c>
      <c r="F339" t="str">
        <f>VLOOKUP($C339,Product_Dim!$A$2:$D$101,3,FALSE)</f>
        <v>Lopez LLC</v>
      </c>
      <c r="G339" t="str">
        <f>VLOOKUP($C339,Product_Dim!$A$2:$D$101,2,FALSE)</f>
        <v>Sports</v>
      </c>
      <c r="H339">
        <v>3</v>
      </c>
      <c r="I339">
        <v>945.37</v>
      </c>
      <c r="J339">
        <v>0.05</v>
      </c>
      <c r="K339" s="3">
        <v>2694.3045000000002</v>
      </c>
      <c r="L339" t="s">
        <v>852</v>
      </c>
      <c r="M339" t="str">
        <f>VLOOKUP($E339,Customer_Dim!$A$2:$F$501,3,FALSE)</f>
        <v>Male</v>
      </c>
      <c r="N339" t="str">
        <f>VLOOKUP($E339,Customer_Dim!$A$2:$F$501,5,FALSE)</f>
        <v>USA</v>
      </c>
      <c r="O339" t="str">
        <f>VLOOKUP($E339,Customer_Dim!$A$2:$F$501,6,FALSE)</f>
        <v>Bronze</v>
      </c>
      <c r="P339" t="str">
        <f>VLOOKUP($A339,Store_Dim!$A$2:$F$21,3,FALSE)</f>
        <v>SouthLake Michael</v>
      </c>
    </row>
    <row r="340" spans="1:16" x14ac:dyDescent="0.25">
      <c r="A340" t="s">
        <v>820</v>
      </c>
      <c r="B340" t="s">
        <v>2805</v>
      </c>
      <c r="C340" t="s">
        <v>700</v>
      </c>
      <c r="D340" s="2">
        <v>45702</v>
      </c>
      <c r="E340" t="s">
        <v>101</v>
      </c>
      <c r="F340" t="str">
        <f>VLOOKUP($C340,Product_Dim!$A$2:$D$101,3,FALSE)</f>
        <v>Murray, Gould and Ware</v>
      </c>
      <c r="G340" t="str">
        <f>VLOOKUP($C340,Product_Dim!$A$2:$D$101,2,FALSE)</f>
        <v>Electronics</v>
      </c>
      <c r="H340">
        <v>2</v>
      </c>
      <c r="I340">
        <v>527.91</v>
      </c>
      <c r="J340">
        <v>0.02</v>
      </c>
      <c r="K340" s="3">
        <v>1034.7036000000001</v>
      </c>
      <c r="L340" t="s">
        <v>852</v>
      </c>
      <c r="M340" t="str">
        <f>VLOOKUP($E340,Customer_Dim!$A$2:$F$501,3,FALSE)</f>
        <v>Male</v>
      </c>
      <c r="N340" t="str">
        <f>VLOOKUP($E340,Customer_Dim!$A$2:$F$501,5,FALSE)</f>
        <v>USA</v>
      </c>
      <c r="O340" t="str">
        <f>VLOOKUP($E340,Customer_Dim!$A$2:$F$501,6,FALSE)</f>
        <v>Platinum</v>
      </c>
      <c r="P340" t="str">
        <f>VLOOKUP($A340,Store_Dim!$A$2:$F$21,3,FALSE)</f>
        <v>SouthLake Michael</v>
      </c>
    </row>
    <row r="341" spans="1:16" x14ac:dyDescent="0.25">
      <c r="A341" t="s">
        <v>820</v>
      </c>
      <c r="B341" t="s">
        <v>2272</v>
      </c>
      <c r="C341" t="s">
        <v>700</v>
      </c>
      <c r="D341" s="2">
        <v>45557</v>
      </c>
      <c r="E341" t="s">
        <v>131</v>
      </c>
      <c r="F341" t="str">
        <f>VLOOKUP($C341,Product_Dim!$A$2:$D$101,3,FALSE)</f>
        <v>Murray, Gould and Ware</v>
      </c>
      <c r="G341" t="str">
        <f>VLOOKUP($C341,Product_Dim!$A$2:$D$101,2,FALSE)</f>
        <v>Electronics</v>
      </c>
      <c r="H341">
        <v>4</v>
      </c>
      <c r="I341">
        <v>964</v>
      </c>
      <c r="J341">
        <v>0.14000000000000001</v>
      </c>
      <c r="K341" s="3">
        <v>3316.16</v>
      </c>
      <c r="L341" t="s">
        <v>854</v>
      </c>
      <c r="M341" t="str">
        <f>VLOOKUP($E341,Customer_Dim!$A$2:$F$501,3,FALSE)</f>
        <v>Male</v>
      </c>
      <c r="N341" t="str">
        <f>VLOOKUP($E341,Customer_Dim!$A$2:$F$501,5,FALSE)</f>
        <v>USA</v>
      </c>
      <c r="O341" t="str">
        <f>VLOOKUP($E341,Customer_Dim!$A$2:$F$501,6,FALSE)</f>
        <v>Gold</v>
      </c>
      <c r="P341" t="str">
        <f>VLOOKUP($A341,Store_Dim!$A$2:$F$21,3,FALSE)</f>
        <v>SouthLake Michael</v>
      </c>
    </row>
    <row r="342" spans="1:16" x14ac:dyDescent="0.25">
      <c r="A342" t="s">
        <v>820</v>
      </c>
      <c r="B342" t="s">
        <v>2734</v>
      </c>
      <c r="C342" t="s">
        <v>702</v>
      </c>
      <c r="D342" s="2">
        <v>45482</v>
      </c>
      <c r="E342" t="s">
        <v>184</v>
      </c>
      <c r="F342" t="str">
        <f>VLOOKUP($C342,Product_Dim!$A$2:$D$101,3,FALSE)</f>
        <v>Anderson-Riley</v>
      </c>
      <c r="G342" t="str">
        <f>VLOOKUP($C342,Product_Dim!$A$2:$D$101,2,FALSE)</f>
        <v>Beauty</v>
      </c>
      <c r="H342">
        <v>1</v>
      </c>
      <c r="I342">
        <v>503.95</v>
      </c>
      <c r="J342">
        <v>0.24</v>
      </c>
      <c r="K342" s="3">
        <v>383.00200000000001</v>
      </c>
      <c r="L342" t="s">
        <v>854</v>
      </c>
      <c r="M342" t="str">
        <f>VLOOKUP($E342,Customer_Dim!$A$2:$F$501,3,FALSE)</f>
        <v>Male</v>
      </c>
      <c r="N342" t="str">
        <f>VLOOKUP($E342,Customer_Dim!$A$2:$F$501,5,FALSE)</f>
        <v>USA</v>
      </c>
      <c r="O342" t="str">
        <f>VLOOKUP($E342,Customer_Dim!$A$2:$F$501,6,FALSE)</f>
        <v>Platinum</v>
      </c>
      <c r="P342" t="str">
        <f>VLOOKUP($A342,Store_Dim!$A$2:$F$21,3,FALSE)</f>
        <v>SouthLake Michael</v>
      </c>
    </row>
    <row r="343" spans="1:16" x14ac:dyDescent="0.25">
      <c r="A343" t="s">
        <v>820</v>
      </c>
      <c r="B343" t="s">
        <v>2110</v>
      </c>
      <c r="C343" t="s">
        <v>702</v>
      </c>
      <c r="D343" s="2">
        <v>45671</v>
      </c>
      <c r="E343" t="s">
        <v>517</v>
      </c>
      <c r="F343" t="str">
        <f>VLOOKUP($C343,Product_Dim!$A$2:$D$101,3,FALSE)</f>
        <v>Anderson-Riley</v>
      </c>
      <c r="G343" t="str">
        <f>VLOOKUP($C343,Product_Dim!$A$2:$D$101,2,FALSE)</f>
        <v>Beauty</v>
      </c>
      <c r="H343">
        <v>4</v>
      </c>
      <c r="I343">
        <v>592.67999999999995</v>
      </c>
      <c r="J343">
        <v>0.03</v>
      </c>
      <c r="K343" s="3">
        <v>2299.5983999999999</v>
      </c>
      <c r="L343" t="s">
        <v>852</v>
      </c>
      <c r="M343" t="str">
        <f>VLOOKUP($E343,Customer_Dim!$A$2:$F$501,3,FALSE)</f>
        <v>Male</v>
      </c>
      <c r="N343" t="str">
        <f>VLOOKUP($E343,Customer_Dim!$A$2:$F$501,5,FALSE)</f>
        <v>USA</v>
      </c>
      <c r="O343" t="str">
        <f>VLOOKUP($E343,Customer_Dim!$A$2:$F$501,6,FALSE)</f>
        <v>Bronze</v>
      </c>
      <c r="P343" t="str">
        <f>VLOOKUP($A343,Store_Dim!$A$2:$F$21,3,FALSE)</f>
        <v>SouthLake Michael</v>
      </c>
    </row>
    <row r="344" spans="1:16" x14ac:dyDescent="0.25">
      <c r="A344" t="s">
        <v>820</v>
      </c>
      <c r="B344" t="s">
        <v>2601</v>
      </c>
      <c r="C344" t="s">
        <v>704</v>
      </c>
      <c r="D344" s="2">
        <v>45792</v>
      </c>
      <c r="E344" t="s">
        <v>84</v>
      </c>
      <c r="F344" t="str">
        <f>VLOOKUP($C344,Product_Dim!$A$2:$D$101,3,FALSE)</f>
        <v>Zhang Inc</v>
      </c>
      <c r="G344" t="str">
        <f>VLOOKUP($C344,Product_Dim!$A$2:$D$101,2,FALSE)</f>
        <v>Beauty</v>
      </c>
      <c r="H344">
        <v>3</v>
      </c>
      <c r="I344">
        <v>773.86</v>
      </c>
      <c r="J344">
        <v>0.22</v>
      </c>
      <c r="K344" s="3">
        <v>1810.8324</v>
      </c>
      <c r="L344" t="s">
        <v>852</v>
      </c>
      <c r="M344" t="str">
        <f>VLOOKUP($E344,Customer_Dim!$A$2:$F$501,3,FALSE)</f>
        <v>Male</v>
      </c>
      <c r="N344" t="str">
        <f>VLOOKUP($E344,Customer_Dim!$A$2:$F$501,5,FALSE)</f>
        <v>USA</v>
      </c>
      <c r="O344" t="str">
        <f>VLOOKUP($E344,Customer_Dim!$A$2:$F$501,6,FALSE)</f>
        <v>Platinum</v>
      </c>
      <c r="P344" t="str">
        <f>VLOOKUP($A344,Store_Dim!$A$2:$F$21,3,FALSE)</f>
        <v>SouthLake Michael</v>
      </c>
    </row>
    <row r="345" spans="1:16" x14ac:dyDescent="0.25">
      <c r="A345" t="s">
        <v>820</v>
      </c>
      <c r="B345" t="s">
        <v>1097</v>
      </c>
      <c r="C345" t="s">
        <v>706</v>
      </c>
      <c r="D345" s="2">
        <v>45480</v>
      </c>
      <c r="E345" t="s">
        <v>431</v>
      </c>
      <c r="F345" t="str">
        <f>VLOOKUP($C345,Product_Dim!$A$2:$D$101,3,FALSE)</f>
        <v>Montgomery, Benton and Miller</v>
      </c>
      <c r="G345" t="str">
        <f>VLOOKUP($C345,Product_Dim!$A$2:$D$101,2,FALSE)</f>
        <v>Sports</v>
      </c>
      <c r="H345">
        <v>2</v>
      </c>
      <c r="I345">
        <v>703.95</v>
      </c>
      <c r="J345">
        <v>0.03</v>
      </c>
      <c r="K345" s="3">
        <v>1365.663</v>
      </c>
      <c r="L345" t="s">
        <v>852</v>
      </c>
      <c r="M345" t="str">
        <f>VLOOKUP($E345,Customer_Dim!$A$2:$F$501,3,FALSE)</f>
        <v>Male</v>
      </c>
      <c r="N345" t="str">
        <f>VLOOKUP($E345,Customer_Dim!$A$2:$F$501,5,FALSE)</f>
        <v>USA</v>
      </c>
      <c r="O345" t="str">
        <f>VLOOKUP($E345,Customer_Dim!$A$2:$F$501,6,FALSE)</f>
        <v>Bronze</v>
      </c>
      <c r="P345" t="str">
        <f>VLOOKUP($A345,Store_Dim!$A$2:$F$21,3,FALSE)</f>
        <v>SouthLake Michael</v>
      </c>
    </row>
    <row r="346" spans="1:16" x14ac:dyDescent="0.25">
      <c r="A346" t="s">
        <v>820</v>
      </c>
      <c r="B346" t="s">
        <v>2609</v>
      </c>
      <c r="C346" t="s">
        <v>708</v>
      </c>
      <c r="D346" s="2">
        <v>45898</v>
      </c>
      <c r="E346" t="s">
        <v>296</v>
      </c>
      <c r="F346" t="str">
        <f>VLOOKUP($C346,Product_Dim!$A$2:$D$101,3,FALSE)</f>
        <v>Torres, Spencer and Potter</v>
      </c>
      <c r="G346" t="str">
        <f>VLOOKUP($C346,Product_Dim!$A$2:$D$101,2,FALSE)</f>
        <v>Beauty</v>
      </c>
      <c r="H346">
        <v>1</v>
      </c>
      <c r="I346">
        <v>891.79</v>
      </c>
      <c r="J346">
        <v>0.03</v>
      </c>
      <c r="K346" s="3">
        <v>865.03629999999998</v>
      </c>
      <c r="L346" t="s">
        <v>852</v>
      </c>
      <c r="M346" t="str">
        <f>VLOOKUP($E346,Customer_Dim!$A$2:$F$501,3,FALSE)</f>
        <v>Male</v>
      </c>
      <c r="N346" t="str">
        <f>VLOOKUP($E346,Customer_Dim!$A$2:$F$501,5,FALSE)</f>
        <v>USA</v>
      </c>
      <c r="O346" t="str">
        <f>VLOOKUP($E346,Customer_Dim!$A$2:$F$501,6,FALSE)</f>
        <v>Bronze</v>
      </c>
      <c r="P346" t="str">
        <f>VLOOKUP($A346,Store_Dim!$A$2:$F$21,3,FALSE)</f>
        <v>SouthLake Michael</v>
      </c>
    </row>
    <row r="347" spans="1:16" hidden="1" x14ac:dyDescent="0.25">
      <c r="A347" t="s">
        <v>820</v>
      </c>
      <c r="B347" t="s">
        <v>2656</v>
      </c>
      <c r="C347" t="s">
        <v>710</v>
      </c>
      <c r="D347" s="2">
        <v>45427</v>
      </c>
      <c r="E347" t="s">
        <v>39</v>
      </c>
      <c r="F347" t="str">
        <f>VLOOKUP($C347,Product_Dim!$A$2:$D$101,3,FALSE)</f>
        <v>Flores-Davis</v>
      </c>
      <c r="G347" t="str">
        <f>VLOOKUP($C347,Product_Dim!$A$2:$D$101,2,FALSE)</f>
        <v>Electronics</v>
      </c>
      <c r="H347">
        <v>4</v>
      </c>
      <c r="I347">
        <v>645.71</v>
      </c>
      <c r="J347">
        <v>0.1</v>
      </c>
      <c r="K347" s="3">
        <v>2324.556</v>
      </c>
      <c r="L347" t="s">
        <v>854</v>
      </c>
      <c r="M347" t="str">
        <f>VLOOKUP($E347,Customer_Dim!$A$2:$F$501,3,FALSE)</f>
        <v>Female</v>
      </c>
      <c r="N347" t="str">
        <f>VLOOKUP($E347,Customer_Dim!$A$2:$F$501,5,FALSE)</f>
        <v>USA</v>
      </c>
      <c r="O347" t="str">
        <f>VLOOKUP($E347,Customer_Dim!$A$2:$F$501,6,FALSE)</f>
        <v>Silver</v>
      </c>
      <c r="P347" t="str">
        <f>VLOOKUP($A347,Store_Dim!$A$2:$F$21,3,FALSE)</f>
        <v>SouthLake Michael</v>
      </c>
    </row>
    <row r="348" spans="1:16" x14ac:dyDescent="0.25">
      <c r="A348" t="s">
        <v>820</v>
      </c>
      <c r="B348" t="s">
        <v>2821</v>
      </c>
      <c r="C348" t="s">
        <v>710</v>
      </c>
      <c r="D348" s="2">
        <v>45794</v>
      </c>
      <c r="E348" t="s">
        <v>68</v>
      </c>
      <c r="F348" t="str">
        <f>VLOOKUP($C348,Product_Dim!$A$2:$D$101,3,FALSE)</f>
        <v>Flores-Davis</v>
      </c>
      <c r="G348" t="str">
        <f>VLOOKUP($C348,Product_Dim!$A$2:$D$101,2,FALSE)</f>
        <v>Electronics</v>
      </c>
      <c r="H348">
        <v>2</v>
      </c>
      <c r="I348">
        <v>924.73</v>
      </c>
      <c r="J348">
        <v>0.28999999999999998</v>
      </c>
      <c r="K348" s="3">
        <v>1313.1166000000001</v>
      </c>
      <c r="L348" t="s">
        <v>854</v>
      </c>
      <c r="M348" t="str">
        <f>VLOOKUP($E348,Customer_Dim!$A$2:$F$501,3,FALSE)</f>
        <v>Male</v>
      </c>
      <c r="N348" t="str">
        <f>VLOOKUP($E348,Customer_Dim!$A$2:$F$501,5,FALSE)</f>
        <v>USA</v>
      </c>
      <c r="O348" t="str">
        <f>VLOOKUP($E348,Customer_Dim!$A$2:$F$501,6,FALSE)</f>
        <v>Silver</v>
      </c>
      <c r="P348" t="str">
        <f>VLOOKUP($A348,Store_Dim!$A$2:$F$21,3,FALSE)</f>
        <v>SouthLake Michael</v>
      </c>
    </row>
    <row r="349" spans="1:16" hidden="1" x14ac:dyDescent="0.25">
      <c r="A349" t="s">
        <v>820</v>
      </c>
      <c r="B349" t="s">
        <v>1704</v>
      </c>
      <c r="C349" t="s">
        <v>712</v>
      </c>
      <c r="D349" s="2">
        <v>45678</v>
      </c>
      <c r="E349" t="s">
        <v>167</v>
      </c>
      <c r="F349" t="str">
        <f>VLOOKUP($C349,Product_Dim!$A$2:$D$101,3,FALSE)</f>
        <v>Wolfe, Ross and Hester</v>
      </c>
      <c r="G349" t="str">
        <f>VLOOKUP($C349,Product_Dim!$A$2:$D$101,2,FALSE)</f>
        <v>Home</v>
      </c>
      <c r="H349">
        <v>1</v>
      </c>
      <c r="I349">
        <v>935.78</v>
      </c>
      <c r="J349">
        <v>0.03</v>
      </c>
      <c r="K349" s="3">
        <v>907.70659999999998</v>
      </c>
      <c r="L349" t="s">
        <v>854</v>
      </c>
      <c r="M349" t="str">
        <f>VLOOKUP($E349,Customer_Dim!$A$2:$F$501,3,FALSE)</f>
        <v>Female</v>
      </c>
      <c r="N349" t="str">
        <f>VLOOKUP($E349,Customer_Dim!$A$2:$F$501,5,FALSE)</f>
        <v>USA</v>
      </c>
      <c r="O349" t="str">
        <f>VLOOKUP($E349,Customer_Dim!$A$2:$F$501,6,FALSE)</f>
        <v>Gold</v>
      </c>
      <c r="P349" t="str">
        <f>VLOOKUP($A349,Store_Dim!$A$2:$F$21,3,FALSE)</f>
        <v>SouthLake Michael</v>
      </c>
    </row>
    <row r="350" spans="1:16" hidden="1" x14ac:dyDescent="0.25">
      <c r="A350" t="s">
        <v>820</v>
      </c>
      <c r="B350" t="s">
        <v>2464</v>
      </c>
      <c r="C350" t="s">
        <v>714</v>
      </c>
      <c r="D350" s="2">
        <v>45320</v>
      </c>
      <c r="E350" t="s">
        <v>262</v>
      </c>
      <c r="F350" t="str">
        <f>VLOOKUP($C350,Product_Dim!$A$2:$D$101,3,FALSE)</f>
        <v>Fitzpatrick Ltd</v>
      </c>
      <c r="G350" t="str">
        <f>VLOOKUP($C350,Product_Dim!$A$2:$D$101,2,FALSE)</f>
        <v>Clothing</v>
      </c>
      <c r="H350">
        <v>2</v>
      </c>
      <c r="I350">
        <v>895.92</v>
      </c>
      <c r="J350">
        <v>0.15</v>
      </c>
      <c r="K350" s="3">
        <v>1523.0640000000001</v>
      </c>
      <c r="L350" t="s">
        <v>852</v>
      </c>
      <c r="M350" t="str">
        <f>VLOOKUP($E350,Customer_Dim!$A$2:$F$501,3,FALSE)</f>
        <v>Female</v>
      </c>
      <c r="N350" t="str">
        <f>VLOOKUP($E350,Customer_Dim!$A$2:$F$501,5,FALSE)</f>
        <v>USA</v>
      </c>
      <c r="O350" t="str">
        <f>VLOOKUP($E350,Customer_Dim!$A$2:$F$501,6,FALSE)</f>
        <v>Platinum</v>
      </c>
      <c r="P350" t="str">
        <f>VLOOKUP($A350,Store_Dim!$A$2:$F$21,3,FALSE)</f>
        <v>SouthLake Michael</v>
      </c>
    </row>
    <row r="351" spans="1:16" x14ac:dyDescent="0.25">
      <c r="A351" t="s">
        <v>820</v>
      </c>
      <c r="B351" t="s">
        <v>2206</v>
      </c>
      <c r="C351" t="s">
        <v>714</v>
      </c>
      <c r="D351" s="2">
        <v>45267</v>
      </c>
      <c r="E351" t="s">
        <v>533</v>
      </c>
      <c r="F351" t="str">
        <f>VLOOKUP($C351,Product_Dim!$A$2:$D$101,3,FALSE)</f>
        <v>Fitzpatrick Ltd</v>
      </c>
      <c r="G351" t="str">
        <f>VLOOKUP($C351,Product_Dim!$A$2:$D$101,2,FALSE)</f>
        <v>Clothing</v>
      </c>
      <c r="H351">
        <v>4</v>
      </c>
      <c r="I351">
        <v>136.4</v>
      </c>
      <c r="J351">
        <v>0.04</v>
      </c>
      <c r="K351" s="3">
        <v>523.77599999999995</v>
      </c>
      <c r="L351" t="s">
        <v>857</v>
      </c>
      <c r="M351" t="str">
        <f>VLOOKUP($E351,Customer_Dim!$A$2:$F$501,3,FALSE)</f>
        <v>Male</v>
      </c>
      <c r="N351" t="str">
        <f>VLOOKUP($E351,Customer_Dim!$A$2:$F$501,5,FALSE)</f>
        <v>USA</v>
      </c>
      <c r="O351" t="str">
        <f>VLOOKUP($E351,Customer_Dim!$A$2:$F$501,6,FALSE)</f>
        <v>Silver</v>
      </c>
      <c r="P351" t="str">
        <f>VLOOKUP($A351,Store_Dim!$A$2:$F$21,3,FALSE)</f>
        <v>SouthLake Michael</v>
      </c>
    </row>
    <row r="352" spans="1:16" x14ac:dyDescent="0.25">
      <c r="A352" t="s">
        <v>820</v>
      </c>
      <c r="B352" t="s">
        <v>1605</v>
      </c>
      <c r="C352" t="s">
        <v>720</v>
      </c>
      <c r="D352" s="2">
        <v>45740</v>
      </c>
      <c r="E352" t="s">
        <v>397</v>
      </c>
      <c r="F352" t="str">
        <f>VLOOKUP($C352,Product_Dim!$A$2:$D$101,3,FALSE)</f>
        <v>Davis PLC</v>
      </c>
      <c r="G352" t="str">
        <f>VLOOKUP($C352,Product_Dim!$A$2:$D$101,2,FALSE)</f>
        <v>Sports</v>
      </c>
      <c r="H352">
        <v>2</v>
      </c>
      <c r="I352">
        <v>838.59</v>
      </c>
      <c r="J352">
        <v>0.18</v>
      </c>
      <c r="K352" s="3">
        <v>1375.2876000000001</v>
      </c>
      <c r="L352" t="s">
        <v>857</v>
      </c>
      <c r="M352" t="str">
        <f>VLOOKUP($E352,Customer_Dim!$A$2:$F$501,3,FALSE)</f>
        <v>Male</v>
      </c>
      <c r="N352" t="str">
        <f>VLOOKUP($E352,Customer_Dim!$A$2:$F$501,5,FALSE)</f>
        <v>USA</v>
      </c>
      <c r="O352" t="str">
        <f>VLOOKUP($E352,Customer_Dim!$A$2:$F$501,6,FALSE)</f>
        <v>Platinum</v>
      </c>
      <c r="P352" t="str">
        <f>VLOOKUP($A352,Store_Dim!$A$2:$F$21,3,FALSE)</f>
        <v>SouthLake Michael</v>
      </c>
    </row>
    <row r="353" spans="1:16" hidden="1" x14ac:dyDescent="0.25">
      <c r="A353" t="s">
        <v>820</v>
      </c>
      <c r="B353" t="s">
        <v>2406</v>
      </c>
      <c r="C353" t="s">
        <v>722</v>
      </c>
      <c r="D353" s="2">
        <v>45447</v>
      </c>
      <c r="E353" t="s">
        <v>28</v>
      </c>
      <c r="F353" t="str">
        <f>VLOOKUP($C353,Product_Dim!$A$2:$D$101,3,FALSE)</f>
        <v>French Ltd</v>
      </c>
      <c r="G353" t="str">
        <f>VLOOKUP($C353,Product_Dim!$A$2:$D$101,2,FALSE)</f>
        <v>Sports</v>
      </c>
      <c r="H353">
        <v>4</v>
      </c>
      <c r="I353">
        <v>871.2</v>
      </c>
      <c r="J353">
        <v>0.28999999999999998</v>
      </c>
      <c r="K353" s="3">
        <v>2474.2080000000001</v>
      </c>
      <c r="L353" t="s">
        <v>852</v>
      </c>
      <c r="M353" t="str">
        <f>VLOOKUP($E353,Customer_Dim!$A$2:$F$501,3,FALSE)</f>
        <v>Female</v>
      </c>
      <c r="N353" t="str">
        <f>VLOOKUP($E353,Customer_Dim!$A$2:$F$501,5,FALSE)</f>
        <v>USA</v>
      </c>
      <c r="O353" t="str">
        <f>VLOOKUP($E353,Customer_Dim!$A$2:$F$501,6,FALSE)</f>
        <v>Bronze</v>
      </c>
      <c r="P353" t="str">
        <f>VLOOKUP($A353,Store_Dim!$A$2:$F$21,3,FALSE)</f>
        <v>SouthLake Michael</v>
      </c>
    </row>
    <row r="354" spans="1:16" hidden="1" x14ac:dyDescent="0.25">
      <c r="A354" t="s">
        <v>820</v>
      </c>
      <c r="B354" t="s">
        <v>1806</v>
      </c>
      <c r="C354" t="s">
        <v>722</v>
      </c>
      <c r="D354" s="2">
        <v>45663</v>
      </c>
      <c r="E354" t="s">
        <v>346</v>
      </c>
      <c r="F354" t="str">
        <f>VLOOKUP($C354,Product_Dim!$A$2:$D$101,3,FALSE)</f>
        <v>French Ltd</v>
      </c>
      <c r="G354" t="str">
        <f>VLOOKUP($C354,Product_Dim!$A$2:$D$101,2,FALSE)</f>
        <v>Sports</v>
      </c>
      <c r="H354">
        <v>3</v>
      </c>
      <c r="I354">
        <v>488.37</v>
      </c>
      <c r="J354">
        <v>0.27</v>
      </c>
      <c r="K354" s="3">
        <v>1069.5302999999999</v>
      </c>
      <c r="L354" t="s">
        <v>857</v>
      </c>
      <c r="M354" t="str">
        <f>VLOOKUP($E354,Customer_Dim!$A$2:$F$501,3,FALSE)</f>
        <v>Female</v>
      </c>
      <c r="N354" t="str">
        <f>VLOOKUP($E354,Customer_Dim!$A$2:$F$501,5,FALSE)</f>
        <v>USA</v>
      </c>
      <c r="O354" t="str">
        <f>VLOOKUP($E354,Customer_Dim!$A$2:$F$501,6,FALSE)</f>
        <v>Bronze</v>
      </c>
      <c r="P354" t="str">
        <f>VLOOKUP($A354,Store_Dim!$A$2:$F$21,3,FALSE)</f>
        <v>SouthLake Michael</v>
      </c>
    </row>
    <row r="355" spans="1:16" hidden="1" x14ac:dyDescent="0.25">
      <c r="A355" t="s">
        <v>820</v>
      </c>
      <c r="B355" t="s">
        <v>1155</v>
      </c>
      <c r="C355" t="s">
        <v>724</v>
      </c>
      <c r="D355" s="2">
        <v>45596</v>
      </c>
      <c r="E355" t="s">
        <v>65</v>
      </c>
      <c r="F355" t="str">
        <f>VLOOKUP($C355,Product_Dim!$A$2:$D$101,3,FALSE)</f>
        <v>Bruce-Bowen</v>
      </c>
      <c r="G355" t="str">
        <f>VLOOKUP($C355,Product_Dim!$A$2:$D$101,2,FALSE)</f>
        <v>Electronics</v>
      </c>
      <c r="H355">
        <v>3</v>
      </c>
      <c r="I355">
        <v>803.76</v>
      </c>
      <c r="J355">
        <v>0.19</v>
      </c>
      <c r="K355" s="3">
        <v>1953.1368</v>
      </c>
      <c r="L355" t="s">
        <v>857</v>
      </c>
      <c r="M355" t="str">
        <f>VLOOKUP($E355,Customer_Dim!$A$2:$F$501,3,FALSE)</f>
        <v>Female</v>
      </c>
      <c r="N355" t="str">
        <f>VLOOKUP($E355,Customer_Dim!$A$2:$F$501,5,FALSE)</f>
        <v>USA</v>
      </c>
      <c r="O355" t="str">
        <f>VLOOKUP($E355,Customer_Dim!$A$2:$F$501,6,FALSE)</f>
        <v>Platinum</v>
      </c>
      <c r="P355" t="str">
        <f>VLOOKUP($A355,Store_Dim!$A$2:$F$21,3,FALSE)</f>
        <v>SouthLake Michael</v>
      </c>
    </row>
    <row r="356" spans="1:16" hidden="1" x14ac:dyDescent="0.25">
      <c r="A356" t="s">
        <v>820</v>
      </c>
      <c r="B356" t="s">
        <v>958</v>
      </c>
      <c r="C356" t="s">
        <v>748</v>
      </c>
      <c r="D356" s="2">
        <v>45330</v>
      </c>
      <c r="E356" t="s">
        <v>66</v>
      </c>
      <c r="F356" t="str">
        <f>VLOOKUP($C356,Product_Dim!$A$2:$D$101,3,FALSE)</f>
        <v>Taylor, Dodson and Johnston</v>
      </c>
      <c r="G356" t="str">
        <f>VLOOKUP($C356,Product_Dim!$A$2:$D$101,2,FALSE)</f>
        <v>Home</v>
      </c>
      <c r="H356">
        <v>2</v>
      </c>
      <c r="I356">
        <v>879.63</v>
      </c>
      <c r="J356">
        <v>7.0000000000000007E-2</v>
      </c>
      <c r="K356" s="3">
        <v>1636.1117999999999</v>
      </c>
      <c r="L356" t="s">
        <v>857</v>
      </c>
      <c r="M356" t="str">
        <f>VLOOKUP($E356,Customer_Dim!$A$2:$F$501,3,FALSE)</f>
        <v>Female</v>
      </c>
      <c r="N356" t="str">
        <f>VLOOKUP($E356,Customer_Dim!$A$2:$F$501,5,FALSE)</f>
        <v>USA</v>
      </c>
      <c r="O356" t="str">
        <f>VLOOKUP($E356,Customer_Dim!$A$2:$F$501,6,FALSE)</f>
        <v>Silver</v>
      </c>
      <c r="P356" t="str">
        <f>VLOOKUP($A356,Store_Dim!$A$2:$F$21,3,FALSE)</f>
        <v>SouthLake Michael</v>
      </c>
    </row>
    <row r="357" spans="1:16" x14ac:dyDescent="0.25">
      <c r="A357" t="s">
        <v>820</v>
      </c>
      <c r="B357" t="s">
        <v>2824</v>
      </c>
      <c r="C357" t="s">
        <v>748</v>
      </c>
      <c r="D357" s="2">
        <v>45563</v>
      </c>
      <c r="E357" t="s">
        <v>550</v>
      </c>
      <c r="F357" t="str">
        <f>VLOOKUP($C357,Product_Dim!$A$2:$D$101,3,FALSE)</f>
        <v>Taylor, Dodson and Johnston</v>
      </c>
      <c r="G357" t="str">
        <f>VLOOKUP($C357,Product_Dim!$A$2:$D$101,2,FALSE)</f>
        <v>Home</v>
      </c>
      <c r="H357">
        <v>2</v>
      </c>
      <c r="I357">
        <v>494.35</v>
      </c>
      <c r="J357">
        <v>0.1</v>
      </c>
      <c r="K357" s="3">
        <v>889.83</v>
      </c>
      <c r="L357" t="s">
        <v>852</v>
      </c>
      <c r="M357" t="str">
        <f>VLOOKUP($E357,Customer_Dim!$A$2:$F$501,3,FALSE)</f>
        <v>Male</v>
      </c>
      <c r="N357" t="str">
        <f>VLOOKUP($E357,Customer_Dim!$A$2:$F$501,5,FALSE)</f>
        <v>USA</v>
      </c>
      <c r="O357" t="str">
        <f>VLOOKUP($E357,Customer_Dim!$A$2:$F$501,6,FALSE)</f>
        <v>Gold</v>
      </c>
      <c r="P357" t="str">
        <f>VLOOKUP($A357,Store_Dim!$A$2:$F$21,3,FALSE)</f>
        <v>SouthLake Michael</v>
      </c>
    </row>
    <row r="358" spans="1:16" hidden="1" x14ac:dyDescent="0.25">
      <c r="A358" t="s">
        <v>820</v>
      </c>
      <c r="B358" t="s">
        <v>2058</v>
      </c>
      <c r="C358" t="s">
        <v>750</v>
      </c>
      <c r="D358" s="2">
        <v>45575</v>
      </c>
      <c r="E358" t="s">
        <v>409</v>
      </c>
      <c r="F358" t="str">
        <f>VLOOKUP($C358,Product_Dim!$A$2:$D$101,3,FALSE)</f>
        <v>Aguilar, Horton and Lewis</v>
      </c>
      <c r="G358" t="str">
        <f>VLOOKUP($C358,Product_Dim!$A$2:$D$101,2,FALSE)</f>
        <v>Home</v>
      </c>
      <c r="H358">
        <v>4</v>
      </c>
      <c r="I358">
        <v>565.51</v>
      </c>
      <c r="J358">
        <v>0.16</v>
      </c>
      <c r="K358" s="3">
        <v>1900.1135999999999</v>
      </c>
      <c r="L358" t="s">
        <v>854</v>
      </c>
      <c r="M358" t="str">
        <f>VLOOKUP($E358,Customer_Dim!$A$2:$F$501,3,FALSE)</f>
        <v>Female</v>
      </c>
      <c r="N358" t="str">
        <f>VLOOKUP($E358,Customer_Dim!$A$2:$F$501,5,FALSE)</f>
        <v>USA</v>
      </c>
      <c r="O358" t="str">
        <f>VLOOKUP($E358,Customer_Dim!$A$2:$F$501,6,FALSE)</f>
        <v>Bronze</v>
      </c>
      <c r="P358" t="str">
        <f>VLOOKUP($A358,Store_Dim!$A$2:$F$21,3,FALSE)</f>
        <v>SouthLake Michael</v>
      </c>
    </row>
    <row r="359" spans="1:16" hidden="1" x14ac:dyDescent="0.25">
      <c r="A359" t="s">
        <v>820</v>
      </c>
      <c r="B359" t="s">
        <v>2148</v>
      </c>
      <c r="C359" t="s">
        <v>754</v>
      </c>
      <c r="D359" s="2">
        <v>45388</v>
      </c>
      <c r="E359" t="s">
        <v>298</v>
      </c>
      <c r="F359" t="str">
        <f>VLOOKUP($C359,Product_Dim!$A$2:$D$101,3,FALSE)</f>
        <v>Taylor-Elliott</v>
      </c>
      <c r="G359" t="str">
        <f>VLOOKUP($C359,Product_Dim!$A$2:$D$101,2,FALSE)</f>
        <v>Beauty</v>
      </c>
      <c r="H359">
        <v>3</v>
      </c>
      <c r="I359">
        <v>539.44000000000005</v>
      </c>
      <c r="J359">
        <v>0.05</v>
      </c>
      <c r="K359" s="3">
        <v>1537.404</v>
      </c>
      <c r="L359" t="s">
        <v>857</v>
      </c>
      <c r="M359" t="str">
        <f>VLOOKUP($E359,Customer_Dim!$A$2:$F$501,3,FALSE)</f>
        <v>Female</v>
      </c>
      <c r="N359" t="str">
        <f>VLOOKUP($E359,Customer_Dim!$A$2:$F$501,5,FALSE)</f>
        <v>USA</v>
      </c>
      <c r="O359" t="str">
        <f>VLOOKUP($E359,Customer_Dim!$A$2:$F$501,6,FALSE)</f>
        <v>Platinum</v>
      </c>
      <c r="P359" t="str">
        <f>VLOOKUP($A359,Store_Dim!$A$2:$F$21,3,FALSE)</f>
        <v>SouthLake Michael</v>
      </c>
    </row>
    <row r="360" spans="1:16" x14ac:dyDescent="0.25">
      <c r="A360" t="s">
        <v>820</v>
      </c>
      <c r="B360" t="s">
        <v>913</v>
      </c>
      <c r="C360" t="s">
        <v>754</v>
      </c>
      <c r="D360" s="2">
        <v>45257</v>
      </c>
      <c r="E360" t="s">
        <v>434</v>
      </c>
      <c r="F360" t="str">
        <f>VLOOKUP($C360,Product_Dim!$A$2:$D$101,3,FALSE)</f>
        <v>Taylor-Elliott</v>
      </c>
      <c r="G360" t="str">
        <f>VLOOKUP($C360,Product_Dim!$A$2:$D$101,2,FALSE)</f>
        <v>Beauty</v>
      </c>
      <c r="H360">
        <v>1</v>
      </c>
      <c r="I360">
        <v>996.33</v>
      </c>
      <c r="J360">
        <v>0.23</v>
      </c>
      <c r="K360" s="3">
        <v>767.17410000000007</v>
      </c>
      <c r="L360" t="s">
        <v>854</v>
      </c>
      <c r="M360" t="str">
        <f>VLOOKUP($E360,Customer_Dim!$A$2:$F$501,3,FALSE)</f>
        <v>Male</v>
      </c>
      <c r="N360" t="str">
        <f>VLOOKUP($E360,Customer_Dim!$A$2:$F$501,5,FALSE)</f>
        <v>USA</v>
      </c>
      <c r="O360" t="str">
        <f>VLOOKUP($E360,Customer_Dim!$A$2:$F$501,6,FALSE)</f>
        <v>Bronze</v>
      </c>
      <c r="P360" t="str">
        <f>VLOOKUP($A360,Store_Dim!$A$2:$F$21,3,FALSE)</f>
        <v>SouthLake Michael</v>
      </c>
    </row>
    <row r="361" spans="1:16" hidden="1" x14ac:dyDescent="0.25">
      <c r="A361" t="s">
        <v>820</v>
      </c>
      <c r="B361" t="s">
        <v>2249</v>
      </c>
      <c r="C361" t="s">
        <v>756</v>
      </c>
      <c r="D361" s="2">
        <v>45343</v>
      </c>
      <c r="E361" t="s">
        <v>345</v>
      </c>
      <c r="F361" t="str">
        <f>VLOOKUP($C361,Product_Dim!$A$2:$D$101,3,FALSE)</f>
        <v>Sharp, Taylor and Rodriguez</v>
      </c>
      <c r="G361" t="str">
        <f>VLOOKUP($C361,Product_Dim!$A$2:$D$101,2,FALSE)</f>
        <v>Electronics</v>
      </c>
      <c r="H361">
        <v>1</v>
      </c>
      <c r="I361">
        <v>413.65</v>
      </c>
      <c r="J361">
        <v>0.1</v>
      </c>
      <c r="K361" s="3">
        <v>372.28500000000003</v>
      </c>
      <c r="L361" t="s">
        <v>857</v>
      </c>
      <c r="M361" t="str">
        <f>VLOOKUP($E361,Customer_Dim!$A$2:$F$501,3,FALSE)</f>
        <v>Female</v>
      </c>
      <c r="N361" t="str">
        <f>VLOOKUP($E361,Customer_Dim!$A$2:$F$501,5,FALSE)</f>
        <v>USA</v>
      </c>
      <c r="O361" t="str">
        <f>VLOOKUP($E361,Customer_Dim!$A$2:$F$501,6,FALSE)</f>
        <v>Platinum</v>
      </c>
      <c r="P361" t="str">
        <f>VLOOKUP($A361,Store_Dim!$A$2:$F$21,3,FALSE)</f>
        <v>SouthLake Michael</v>
      </c>
    </row>
    <row r="362" spans="1:16" hidden="1" x14ac:dyDescent="0.25">
      <c r="A362" t="s">
        <v>820</v>
      </c>
      <c r="B362" t="s">
        <v>1315</v>
      </c>
      <c r="C362" t="s">
        <v>758</v>
      </c>
      <c r="D362" s="2">
        <v>45270</v>
      </c>
      <c r="E362" t="s">
        <v>193</v>
      </c>
      <c r="F362" t="str">
        <f>VLOOKUP($C362,Product_Dim!$A$2:$D$101,3,FALSE)</f>
        <v>Smith-Charles</v>
      </c>
      <c r="G362" t="str">
        <f>VLOOKUP($C362,Product_Dim!$A$2:$D$101,2,FALSE)</f>
        <v>Clothing</v>
      </c>
      <c r="H362">
        <v>4</v>
      </c>
      <c r="I362">
        <v>202.46</v>
      </c>
      <c r="J362">
        <v>0.24</v>
      </c>
      <c r="K362" s="3">
        <v>615.47840000000008</v>
      </c>
      <c r="L362" t="s">
        <v>852</v>
      </c>
      <c r="M362" t="str">
        <f>VLOOKUP($E362,Customer_Dim!$A$2:$F$501,3,FALSE)</f>
        <v>Female</v>
      </c>
      <c r="N362" t="str">
        <f>VLOOKUP($E362,Customer_Dim!$A$2:$F$501,5,FALSE)</f>
        <v>USA</v>
      </c>
      <c r="O362" t="str">
        <f>VLOOKUP($E362,Customer_Dim!$A$2:$F$501,6,FALSE)</f>
        <v>Silver</v>
      </c>
      <c r="P362" t="str">
        <f>VLOOKUP($A362,Store_Dim!$A$2:$F$21,3,FALSE)</f>
        <v>SouthLake Michael</v>
      </c>
    </row>
    <row r="363" spans="1:16" x14ac:dyDescent="0.25">
      <c r="A363" t="s">
        <v>820</v>
      </c>
      <c r="B363" t="s">
        <v>1406</v>
      </c>
      <c r="C363" t="s">
        <v>760</v>
      </c>
      <c r="D363" s="2">
        <v>45940</v>
      </c>
      <c r="E363" t="s">
        <v>63</v>
      </c>
      <c r="F363" t="str">
        <f>VLOOKUP($C363,Product_Dim!$A$2:$D$101,3,FALSE)</f>
        <v>Green, Powell and Palmer</v>
      </c>
      <c r="G363" t="str">
        <f>VLOOKUP($C363,Product_Dim!$A$2:$D$101,2,FALSE)</f>
        <v>Home</v>
      </c>
      <c r="H363">
        <v>3</v>
      </c>
      <c r="I363">
        <v>862.18</v>
      </c>
      <c r="J363">
        <v>0.22</v>
      </c>
      <c r="K363" s="3">
        <v>2017.5011999999999</v>
      </c>
      <c r="L363" t="s">
        <v>854</v>
      </c>
      <c r="M363" t="str">
        <f>VLOOKUP($E363,Customer_Dim!$A$2:$F$501,3,FALSE)</f>
        <v>Male</v>
      </c>
      <c r="N363" t="str">
        <f>VLOOKUP($E363,Customer_Dim!$A$2:$F$501,5,FALSE)</f>
        <v>USA</v>
      </c>
      <c r="O363" t="str">
        <f>VLOOKUP($E363,Customer_Dim!$A$2:$F$501,6,FALSE)</f>
        <v>UNKNOWN</v>
      </c>
      <c r="P363" t="str">
        <f>VLOOKUP($A363,Store_Dim!$A$2:$F$21,3,FALSE)</f>
        <v>SouthLake Michael</v>
      </c>
    </row>
    <row r="364" spans="1:16" hidden="1" x14ac:dyDescent="0.25">
      <c r="A364" t="s">
        <v>820</v>
      </c>
      <c r="B364" t="s">
        <v>1653</v>
      </c>
      <c r="C364" t="s">
        <v>760</v>
      </c>
      <c r="D364" s="2">
        <v>45213</v>
      </c>
      <c r="E364" t="s">
        <v>301</v>
      </c>
      <c r="F364" t="str">
        <f>VLOOKUP($C364,Product_Dim!$A$2:$D$101,3,FALSE)</f>
        <v>Green, Powell and Palmer</v>
      </c>
      <c r="G364" t="str">
        <f>VLOOKUP($C364,Product_Dim!$A$2:$D$101,2,FALSE)</f>
        <v>Home</v>
      </c>
      <c r="H364">
        <v>4</v>
      </c>
      <c r="I364">
        <v>23.57</v>
      </c>
      <c r="J364">
        <v>0.1</v>
      </c>
      <c r="K364" s="3">
        <v>84.852000000000004</v>
      </c>
      <c r="L364" t="s">
        <v>852</v>
      </c>
      <c r="M364" t="str">
        <f>VLOOKUP($E364,Customer_Dim!$A$2:$F$501,3,FALSE)</f>
        <v>Female</v>
      </c>
      <c r="N364" t="str">
        <f>VLOOKUP($E364,Customer_Dim!$A$2:$F$501,5,FALSE)</f>
        <v>USA</v>
      </c>
      <c r="O364" t="str">
        <f>VLOOKUP($E364,Customer_Dim!$A$2:$F$501,6,FALSE)</f>
        <v>Bronze</v>
      </c>
      <c r="P364" t="str">
        <f>VLOOKUP($A364,Store_Dim!$A$2:$F$21,3,FALSE)</f>
        <v>SouthLake Michael</v>
      </c>
    </row>
    <row r="365" spans="1:16" x14ac:dyDescent="0.25">
      <c r="A365" t="s">
        <v>820</v>
      </c>
      <c r="B365" t="s">
        <v>1900</v>
      </c>
      <c r="C365" t="s">
        <v>760</v>
      </c>
      <c r="D365" s="2">
        <v>45806</v>
      </c>
      <c r="E365" t="s">
        <v>330</v>
      </c>
      <c r="F365" t="str">
        <f>VLOOKUP($C365,Product_Dim!$A$2:$D$101,3,FALSE)</f>
        <v>Green, Powell and Palmer</v>
      </c>
      <c r="G365" t="str">
        <f>VLOOKUP($C365,Product_Dim!$A$2:$D$101,2,FALSE)</f>
        <v>Home</v>
      </c>
      <c r="H365">
        <v>1</v>
      </c>
      <c r="I365">
        <v>209.39</v>
      </c>
      <c r="J365">
        <v>0.28000000000000003</v>
      </c>
      <c r="K365" s="3">
        <v>150.76079999999999</v>
      </c>
      <c r="L365" t="s">
        <v>854</v>
      </c>
      <c r="M365" t="str">
        <f>VLOOKUP($E365,Customer_Dim!$A$2:$F$501,3,FALSE)</f>
        <v>Male</v>
      </c>
      <c r="N365" t="str">
        <f>VLOOKUP($E365,Customer_Dim!$A$2:$F$501,5,FALSE)</f>
        <v>USA</v>
      </c>
      <c r="O365" t="str">
        <f>VLOOKUP($E365,Customer_Dim!$A$2:$F$501,6,FALSE)</f>
        <v>Gold</v>
      </c>
      <c r="P365" t="str">
        <f>VLOOKUP($A365,Store_Dim!$A$2:$F$21,3,FALSE)</f>
        <v>SouthLake Michael</v>
      </c>
    </row>
    <row r="366" spans="1:16" hidden="1" x14ac:dyDescent="0.25">
      <c r="A366" t="s">
        <v>820</v>
      </c>
      <c r="B366" t="s">
        <v>1471</v>
      </c>
      <c r="C366" t="s">
        <v>764</v>
      </c>
      <c r="D366" s="2">
        <v>45534</v>
      </c>
      <c r="E366" t="s">
        <v>66</v>
      </c>
      <c r="F366" t="str">
        <f>VLOOKUP($C366,Product_Dim!$A$2:$D$101,3,FALSE)</f>
        <v>Hoffman-Williams</v>
      </c>
      <c r="G366" t="str">
        <f>VLOOKUP($C366,Product_Dim!$A$2:$D$101,2,FALSE)</f>
        <v>Beauty</v>
      </c>
      <c r="H366">
        <v>3</v>
      </c>
      <c r="I366">
        <v>265.89</v>
      </c>
      <c r="J366">
        <v>0.08</v>
      </c>
      <c r="K366" s="3">
        <v>733.85640000000001</v>
      </c>
      <c r="L366" t="s">
        <v>857</v>
      </c>
      <c r="M366" t="str">
        <f>VLOOKUP($E366,Customer_Dim!$A$2:$F$501,3,FALSE)</f>
        <v>Female</v>
      </c>
      <c r="N366" t="str">
        <f>VLOOKUP($E366,Customer_Dim!$A$2:$F$501,5,FALSE)</f>
        <v>USA</v>
      </c>
      <c r="O366" t="str">
        <f>VLOOKUP($E366,Customer_Dim!$A$2:$F$501,6,FALSE)</f>
        <v>Silver</v>
      </c>
      <c r="P366" t="str">
        <f>VLOOKUP($A366,Store_Dim!$A$2:$F$21,3,FALSE)</f>
        <v>SouthLake Michael</v>
      </c>
    </row>
    <row r="367" spans="1:16" hidden="1" x14ac:dyDescent="0.25">
      <c r="A367" t="s">
        <v>820</v>
      </c>
      <c r="B367" t="s">
        <v>2339</v>
      </c>
      <c r="C367" t="s">
        <v>764</v>
      </c>
      <c r="D367" s="2">
        <v>45569</v>
      </c>
      <c r="E367" t="s">
        <v>325</v>
      </c>
      <c r="F367" t="str">
        <f>VLOOKUP($C367,Product_Dim!$A$2:$D$101,3,FALSE)</f>
        <v>Hoffman-Williams</v>
      </c>
      <c r="G367" t="str">
        <f>VLOOKUP($C367,Product_Dim!$A$2:$D$101,2,FALSE)</f>
        <v>Beauty</v>
      </c>
      <c r="H367">
        <v>1</v>
      </c>
      <c r="I367">
        <v>861.5</v>
      </c>
      <c r="J367">
        <v>0.05</v>
      </c>
      <c r="K367" s="3">
        <v>818.42499999999995</v>
      </c>
      <c r="L367" t="s">
        <v>857</v>
      </c>
      <c r="M367" t="str">
        <f>VLOOKUP($E367,Customer_Dim!$A$2:$F$501,3,FALSE)</f>
        <v>Female</v>
      </c>
      <c r="N367" t="str">
        <f>VLOOKUP($E367,Customer_Dim!$A$2:$F$501,5,FALSE)</f>
        <v>USA</v>
      </c>
      <c r="O367" t="str">
        <f>VLOOKUP($E367,Customer_Dim!$A$2:$F$501,6,FALSE)</f>
        <v>Silver</v>
      </c>
      <c r="P367" t="str">
        <f>VLOOKUP($A367,Store_Dim!$A$2:$F$21,3,FALSE)</f>
        <v>SouthLake Michael</v>
      </c>
    </row>
    <row r="368" spans="1:16" x14ac:dyDescent="0.25">
      <c r="A368" t="s">
        <v>820</v>
      </c>
      <c r="B368" t="s">
        <v>2176</v>
      </c>
      <c r="C368" t="s">
        <v>764</v>
      </c>
      <c r="D368" s="2">
        <v>45335</v>
      </c>
      <c r="E368" t="s">
        <v>371</v>
      </c>
      <c r="F368" t="str">
        <f>VLOOKUP($C368,Product_Dim!$A$2:$D$101,3,FALSE)</f>
        <v>Hoffman-Williams</v>
      </c>
      <c r="G368" t="str">
        <f>VLOOKUP($C368,Product_Dim!$A$2:$D$101,2,FALSE)</f>
        <v>Beauty</v>
      </c>
      <c r="H368">
        <v>3</v>
      </c>
      <c r="I368">
        <v>206.84</v>
      </c>
      <c r="J368">
        <v>0.19</v>
      </c>
      <c r="K368" s="3">
        <v>502.62119999999999</v>
      </c>
      <c r="L368" t="s">
        <v>854</v>
      </c>
      <c r="M368" t="str">
        <f>VLOOKUP($E368,Customer_Dim!$A$2:$F$501,3,FALSE)</f>
        <v>Male</v>
      </c>
      <c r="N368" t="str">
        <f>VLOOKUP($E368,Customer_Dim!$A$2:$F$501,5,FALSE)</f>
        <v>USA</v>
      </c>
      <c r="O368" t="str">
        <f>VLOOKUP($E368,Customer_Dim!$A$2:$F$501,6,FALSE)</f>
        <v>Silver</v>
      </c>
      <c r="P368" t="str">
        <f>VLOOKUP($A368,Store_Dim!$A$2:$F$21,3,FALSE)</f>
        <v>SouthLake Michael</v>
      </c>
    </row>
    <row r="369" spans="1:16" hidden="1" x14ac:dyDescent="0.25">
      <c r="A369" t="s">
        <v>820</v>
      </c>
      <c r="B369" t="s">
        <v>2049</v>
      </c>
      <c r="C369" t="s">
        <v>764</v>
      </c>
      <c r="D369" s="2">
        <v>45684</v>
      </c>
      <c r="E369" t="s">
        <v>558</v>
      </c>
      <c r="F369" t="str">
        <f>VLOOKUP($C369,Product_Dim!$A$2:$D$101,3,FALSE)</f>
        <v>Hoffman-Williams</v>
      </c>
      <c r="G369" t="str">
        <f>VLOOKUP($C369,Product_Dim!$A$2:$D$101,2,FALSE)</f>
        <v>Beauty</v>
      </c>
      <c r="H369">
        <v>3</v>
      </c>
      <c r="I369">
        <v>845.67</v>
      </c>
      <c r="J369">
        <v>0.12</v>
      </c>
      <c r="K369" s="3">
        <v>2232.5688</v>
      </c>
      <c r="L369" t="s">
        <v>857</v>
      </c>
      <c r="M369" t="str">
        <f>VLOOKUP($E369,Customer_Dim!$A$2:$F$501,3,FALSE)</f>
        <v>Female</v>
      </c>
      <c r="N369" t="str">
        <f>VLOOKUP($E369,Customer_Dim!$A$2:$F$501,5,FALSE)</f>
        <v>USA</v>
      </c>
      <c r="O369" t="str">
        <f>VLOOKUP($E369,Customer_Dim!$A$2:$F$501,6,FALSE)</f>
        <v>Gold</v>
      </c>
      <c r="P369" t="str">
        <f>VLOOKUP($A369,Store_Dim!$A$2:$F$21,3,FALSE)</f>
        <v>SouthLake Michael</v>
      </c>
    </row>
    <row r="370" spans="1:16" x14ac:dyDescent="0.25">
      <c r="A370" t="s">
        <v>820</v>
      </c>
      <c r="B370" t="s">
        <v>2334</v>
      </c>
      <c r="C370" t="s">
        <v>770</v>
      </c>
      <c r="D370" s="2">
        <v>45309</v>
      </c>
      <c r="E370" t="s">
        <v>368</v>
      </c>
      <c r="F370" t="str">
        <f>VLOOKUP($C370,Product_Dim!$A$2:$D$101,3,FALSE)</f>
        <v>Khan LLC</v>
      </c>
      <c r="G370" t="str">
        <f>VLOOKUP($C370,Product_Dim!$A$2:$D$101,2,FALSE)</f>
        <v>Sports</v>
      </c>
      <c r="H370">
        <v>2</v>
      </c>
      <c r="I370">
        <v>181.42</v>
      </c>
      <c r="J370">
        <v>0.08</v>
      </c>
      <c r="K370" s="3">
        <v>333.81279999999998</v>
      </c>
      <c r="L370" t="s">
        <v>854</v>
      </c>
      <c r="M370" t="str">
        <f>VLOOKUP($E370,Customer_Dim!$A$2:$F$501,3,FALSE)</f>
        <v>Male</v>
      </c>
      <c r="N370" t="str">
        <f>VLOOKUP($E370,Customer_Dim!$A$2:$F$501,5,FALSE)</f>
        <v>USA</v>
      </c>
      <c r="O370" t="str">
        <f>VLOOKUP($E370,Customer_Dim!$A$2:$F$501,6,FALSE)</f>
        <v>Gold</v>
      </c>
      <c r="P370" t="str">
        <f>VLOOKUP($A370,Store_Dim!$A$2:$F$21,3,FALSE)</f>
        <v>SouthLake Michael</v>
      </c>
    </row>
    <row r="371" spans="1:16" hidden="1" x14ac:dyDescent="0.25">
      <c r="A371" t="s">
        <v>820</v>
      </c>
      <c r="B371" t="s">
        <v>2186</v>
      </c>
      <c r="C371" t="s">
        <v>772</v>
      </c>
      <c r="D371" s="2">
        <v>45673</v>
      </c>
      <c r="E371" t="s">
        <v>105</v>
      </c>
      <c r="F371" t="str">
        <f>VLOOKUP($C371,Product_Dim!$A$2:$D$101,3,FALSE)</f>
        <v>Flores-King</v>
      </c>
      <c r="G371" t="str">
        <f>VLOOKUP($C371,Product_Dim!$A$2:$D$101,2,FALSE)</f>
        <v>Electronics</v>
      </c>
      <c r="H371">
        <v>4</v>
      </c>
      <c r="I371">
        <v>862.67</v>
      </c>
      <c r="J371">
        <v>0.2</v>
      </c>
      <c r="K371" s="3">
        <v>2760.5439999999999</v>
      </c>
      <c r="L371" t="s">
        <v>854</v>
      </c>
      <c r="M371" t="str">
        <f>VLOOKUP($E371,Customer_Dim!$A$2:$F$501,3,FALSE)</f>
        <v>Female</v>
      </c>
      <c r="N371" t="str">
        <f>VLOOKUP($E371,Customer_Dim!$A$2:$F$501,5,FALSE)</f>
        <v>USA</v>
      </c>
      <c r="O371" t="str">
        <f>VLOOKUP($E371,Customer_Dim!$A$2:$F$501,6,FALSE)</f>
        <v>Platinum</v>
      </c>
      <c r="P371" t="str">
        <f>VLOOKUP($A371,Store_Dim!$A$2:$F$21,3,FALSE)</f>
        <v>SouthLake Michael</v>
      </c>
    </row>
    <row r="372" spans="1:16" hidden="1" x14ac:dyDescent="0.25">
      <c r="A372" t="s">
        <v>820</v>
      </c>
      <c r="B372" t="s">
        <v>1215</v>
      </c>
      <c r="C372" t="s">
        <v>772</v>
      </c>
      <c r="D372" s="2">
        <v>45763</v>
      </c>
      <c r="E372" t="s">
        <v>164</v>
      </c>
      <c r="F372" t="str">
        <f>VLOOKUP($C372,Product_Dim!$A$2:$D$101,3,FALSE)</f>
        <v>Flores-King</v>
      </c>
      <c r="G372" t="str">
        <f>VLOOKUP($C372,Product_Dim!$A$2:$D$101,2,FALSE)</f>
        <v>Electronics</v>
      </c>
      <c r="H372">
        <v>1</v>
      </c>
      <c r="I372">
        <v>645.48</v>
      </c>
      <c r="J372">
        <v>0.26</v>
      </c>
      <c r="K372" s="3">
        <v>477.65519999999998</v>
      </c>
      <c r="L372" t="s">
        <v>857</v>
      </c>
      <c r="M372" t="str">
        <f>VLOOKUP($E372,Customer_Dim!$A$2:$F$501,3,FALSE)</f>
        <v>Female</v>
      </c>
      <c r="N372" t="str">
        <f>VLOOKUP($E372,Customer_Dim!$A$2:$F$501,5,FALSE)</f>
        <v>USA</v>
      </c>
      <c r="O372" t="str">
        <f>VLOOKUP($E372,Customer_Dim!$A$2:$F$501,6,FALSE)</f>
        <v>Bronze</v>
      </c>
      <c r="P372" t="str">
        <f>VLOOKUP($A372,Store_Dim!$A$2:$F$21,3,FALSE)</f>
        <v>SouthLake Michael</v>
      </c>
    </row>
    <row r="373" spans="1:16" hidden="1" x14ac:dyDescent="0.25">
      <c r="A373" t="s">
        <v>820</v>
      </c>
      <c r="B373" t="s">
        <v>2354</v>
      </c>
      <c r="C373" t="s">
        <v>774</v>
      </c>
      <c r="D373" s="2">
        <v>45618</v>
      </c>
      <c r="E373" t="s">
        <v>174</v>
      </c>
      <c r="F373" t="str">
        <f>VLOOKUP($C373,Product_Dim!$A$2:$D$101,3,FALSE)</f>
        <v>Campbell Ltd</v>
      </c>
      <c r="G373" t="str">
        <f>VLOOKUP($C373,Product_Dim!$A$2:$D$101,2,FALSE)</f>
        <v>Home</v>
      </c>
      <c r="H373">
        <v>1</v>
      </c>
      <c r="I373">
        <v>736.54</v>
      </c>
      <c r="J373">
        <v>0.16</v>
      </c>
      <c r="K373" s="3">
        <v>618.69359999999995</v>
      </c>
      <c r="L373" t="s">
        <v>854</v>
      </c>
      <c r="M373" t="str">
        <f>VLOOKUP($E373,Customer_Dim!$A$2:$F$501,3,FALSE)</f>
        <v>Female</v>
      </c>
      <c r="N373" t="str">
        <f>VLOOKUP($E373,Customer_Dim!$A$2:$F$501,5,FALSE)</f>
        <v>USA</v>
      </c>
      <c r="O373" t="str">
        <f>VLOOKUP($E373,Customer_Dim!$A$2:$F$501,6,FALSE)</f>
        <v>Silver</v>
      </c>
      <c r="P373" t="str">
        <f>VLOOKUP($A373,Store_Dim!$A$2:$F$21,3,FALSE)</f>
        <v>SouthLake Michael</v>
      </c>
    </row>
    <row r="374" spans="1:16" x14ac:dyDescent="0.25">
      <c r="A374" t="s">
        <v>822</v>
      </c>
      <c r="B374" t="s">
        <v>2754</v>
      </c>
      <c r="C374" t="s">
        <v>574</v>
      </c>
      <c r="D374" s="2">
        <v>45329</v>
      </c>
      <c r="E374" t="s">
        <v>359</v>
      </c>
      <c r="F374" t="str">
        <f>VLOOKUP($C374,Product_Dim!$A$2:$D$101,3,FALSE)</f>
        <v>Terry-Moore</v>
      </c>
      <c r="G374" t="str">
        <f>VLOOKUP($C374,Product_Dim!$A$2:$D$101,2,FALSE)</f>
        <v>Clothing</v>
      </c>
      <c r="H374">
        <v>2</v>
      </c>
      <c r="I374">
        <v>237.59</v>
      </c>
      <c r="J374">
        <v>0.12</v>
      </c>
      <c r="K374" s="3">
        <v>418.15839999999997</v>
      </c>
      <c r="L374" t="s">
        <v>852</v>
      </c>
      <c r="M374" t="str">
        <f>VLOOKUP($E374,Customer_Dim!$A$2:$F$501,3,FALSE)</f>
        <v>Male</v>
      </c>
      <c r="N374" t="str">
        <f>VLOOKUP($E374,Customer_Dim!$A$2:$F$501,5,FALSE)</f>
        <v>USA</v>
      </c>
      <c r="O374" t="str">
        <f>VLOOKUP($E374,Customer_Dim!$A$2:$F$501,6,FALSE)</f>
        <v>Silver</v>
      </c>
      <c r="P374" t="str">
        <f>VLOOKUP($A374,Store_Dim!$A$2:$F$21,3,FALSE)</f>
        <v>NorthSabrinatown</v>
      </c>
    </row>
    <row r="375" spans="1:16" hidden="1" x14ac:dyDescent="0.25">
      <c r="A375" t="s">
        <v>822</v>
      </c>
      <c r="B375" t="s">
        <v>1691</v>
      </c>
      <c r="C375" t="s">
        <v>596</v>
      </c>
      <c r="D375" s="2">
        <v>45336</v>
      </c>
      <c r="E375" t="s">
        <v>138</v>
      </c>
      <c r="F375" t="str">
        <f>VLOOKUP($C375,Product_Dim!$A$2:$D$101,3,FALSE)</f>
        <v>Hamilton Group</v>
      </c>
      <c r="G375" t="str">
        <f>VLOOKUP($C375,Product_Dim!$A$2:$D$101,2,FALSE)</f>
        <v>Home</v>
      </c>
      <c r="H375">
        <v>3</v>
      </c>
      <c r="I375">
        <v>240.27</v>
      </c>
      <c r="J375">
        <v>0.15</v>
      </c>
      <c r="K375" s="3">
        <v>612.68850000000009</v>
      </c>
      <c r="L375" t="s">
        <v>854</v>
      </c>
      <c r="M375" t="str">
        <f>VLOOKUP($E375,Customer_Dim!$A$2:$F$501,3,FALSE)</f>
        <v>Female</v>
      </c>
      <c r="N375" t="str">
        <f>VLOOKUP($E375,Customer_Dim!$A$2:$F$501,5,FALSE)</f>
        <v>USA</v>
      </c>
      <c r="O375" t="str">
        <f>VLOOKUP($E375,Customer_Dim!$A$2:$F$501,6,FALSE)</f>
        <v>Platinum</v>
      </c>
      <c r="P375" t="str">
        <f>VLOOKUP($A375,Store_Dim!$A$2:$F$21,3,FALSE)</f>
        <v>NorthSabrinatown</v>
      </c>
    </row>
    <row r="376" spans="1:16" hidden="1" x14ac:dyDescent="0.25">
      <c r="A376" t="s">
        <v>822</v>
      </c>
      <c r="B376" t="s">
        <v>2330</v>
      </c>
      <c r="C376" t="s">
        <v>596</v>
      </c>
      <c r="D376" s="2">
        <v>45567</v>
      </c>
      <c r="E376" t="s">
        <v>197</v>
      </c>
      <c r="F376" t="str">
        <f>VLOOKUP($C376,Product_Dim!$A$2:$D$101,3,FALSE)</f>
        <v>Hamilton Group</v>
      </c>
      <c r="G376" t="str">
        <f>VLOOKUP($C376,Product_Dim!$A$2:$D$101,2,FALSE)</f>
        <v>Home</v>
      </c>
      <c r="H376">
        <v>4</v>
      </c>
      <c r="I376">
        <v>228.98</v>
      </c>
      <c r="J376">
        <v>0.22</v>
      </c>
      <c r="K376" s="3">
        <v>714.41759999999999</v>
      </c>
      <c r="L376" t="s">
        <v>854</v>
      </c>
      <c r="M376" t="str">
        <f>VLOOKUP($E376,Customer_Dim!$A$2:$F$501,3,FALSE)</f>
        <v>Female</v>
      </c>
      <c r="N376" t="str">
        <f>VLOOKUP($E376,Customer_Dim!$A$2:$F$501,5,FALSE)</f>
        <v>USA</v>
      </c>
      <c r="O376" t="str">
        <f>VLOOKUP($E376,Customer_Dim!$A$2:$F$501,6,FALSE)</f>
        <v>Bronze</v>
      </c>
      <c r="P376" t="str">
        <f>VLOOKUP($A376,Store_Dim!$A$2:$F$21,3,FALSE)</f>
        <v>NorthSabrinatown</v>
      </c>
    </row>
    <row r="377" spans="1:16" hidden="1" x14ac:dyDescent="0.25">
      <c r="A377" t="s">
        <v>822</v>
      </c>
      <c r="B377" t="s">
        <v>2608</v>
      </c>
      <c r="C377" t="s">
        <v>598</v>
      </c>
      <c r="D377" s="2">
        <v>45797</v>
      </c>
      <c r="E377" t="s">
        <v>237</v>
      </c>
      <c r="F377" t="str">
        <f>VLOOKUP($C377,Product_Dim!$A$2:$D$101,3,FALSE)</f>
        <v>Gibson, Hobbs and Weaver</v>
      </c>
      <c r="G377" t="str">
        <f>VLOOKUP($C377,Product_Dim!$A$2:$D$101,2,FALSE)</f>
        <v>Electronics</v>
      </c>
      <c r="H377">
        <v>1</v>
      </c>
      <c r="I377">
        <v>470.18</v>
      </c>
      <c r="J377">
        <v>0.19</v>
      </c>
      <c r="K377" s="3">
        <v>380.84580000000011</v>
      </c>
      <c r="L377" t="s">
        <v>854</v>
      </c>
      <c r="M377" t="str">
        <f>VLOOKUP($E377,Customer_Dim!$A$2:$F$501,3,FALSE)</f>
        <v>Female</v>
      </c>
      <c r="N377" t="str">
        <f>VLOOKUP($E377,Customer_Dim!$A$2:$F$501,5,FALSE)</f>
        <v>usa</v>
      </c>
      <c r="O377" t="str">
        <f>VLOOKUP($E377,Customer_Dim!$A$2:$F$501,6,FALSE)</f>
        <v>Platinum</v>
      </c>
      <c r="P377" t="str">
        <f>VLOOKUP($A377,Store_Dim!$A$2:$F$21,3,FALSE)</f>
        <v>NorthSabrinatown</v>
      </c>
    </row>
    <row r="378" spans="1:16" hidden="1" x14ac:dyDescent="0.25">
      <c r="A378" t="s">
        <v>822</v>
      </c>
      <c r="B378" t="s">
        <v>2827</v>
      </c>
      <c r="C378" t="s">
        <v>604</v>
      </c>
      <c r="D378" s="2">
        <v>45256</v>
      </c>
      <c r="E378" t="s">
        <v>219</v>
      </c>
      <c r="F378" t="str">
        <f>VLOOKUP($C378,Product_Dim!$A$2:$D$101,3,FALSE)</f>
        <v>Luna, Anderson and Bowman</v>
      </c>
      <c r="G378" t="str">
        <f>VLOOKUP($C378,Product_Dim!$A$2:$D$101,2,FALSE)</f>
        <v>Home</v>
      </c>
      <c r="H378">
        <v>1</v>
      </c>
      <c r="I378">
        <v>68.209999999999994</v>
      </c>
      <c r="J378">
        <v>0.05</v>
      </c>
      <c r="K378" s="3">
        <v>64.799499999999995</v>
      </c>
      <c r="L378" t="s">
        <v>854</v>
      </c>
      <c r="M378" t="str">
        <f>VLOOKUP($E378,Customer_Dim!$A$2:$F$501,3,FALSE)</f>
        <v>Female</v>
      </c>
      <c r="N378" t="str">
        <f>VLOOKUP($E378,Customer_Dim!$A$2:$F$501,5,FALSE)</f>
        <v>USA</v>
      </c>
      <c r="O378" t="str">
        <f>VLOOKUP($E378,Customer_Dim!$A$2:$F$501,6,FALSE)</f>
        <v>Gold</v>
      </c>
      <c r="P378" t="str">
        <f>VLOOKUP($A378,Store_Dim!$A$2:$F$21,3,FALSE)</f>
        <v>NorthSabrinatown</v>
      </c>
    </row>
    <row r="379" spans="1:16" hidden="1" x14ac:dyDescent="0.25">
      <c r="A379" t="s">
        <v>822</v>
      </c>
      <c r="B379" t="s">
        <v>2496</v>
      </c>
      <c r="C379" t="s">
        <v>604</v>
      </c>
      <c r="D379" s="2">
        <v>45301</v>
      </c>
      <c r="E379" t="s">
        <v>375</v>
      </c>
      <c r="F379" t="str">
        <f>VLOOKUP($C379,Product_Dim!$A$2:$D$101,3,FALSE)</f>
        <v>Luna, Anderson and Bowman</v>
      </c>
      <c r="G379" t="str">
        <f>VLOOKUP($C379,Product_Dim!$A$2:$D$101,2,FALSE)</f>
        <v>Home</v>
      </c>
      <c r="H379">
        <v>2</v>
      </c>
      <c r="I379">
        <v>403.2</v>
      </c>
      <c r="J379">
        <v>0.21</v>
      </c>
      <c r="K379" s="3">
        <v>637.05600000000004</v>
      </c>
      <c r="L379" t="s">
        <v>854</v>
      </c>
      <c r="M379" t="str">
        <f>VLOOKUP($E379,Customer_Dim!$A$2:$F$501,3,FALSE)</f>
        <v>Female</v>
      </c>
      <c r="N379" t="str">
        <f>VLOOKUP($E379,Customer_Dim!$A$2:$F$501,5,FALSE)</f>
        <v>USA</v>
      </c>
      <c r="O379" t="str">
        <f>VLOOKUP($E379,Customer_Dim!$A$2:$F$501,6,FALSE)</f>
        <v>Gold</v>
      </c>
      <c r="P379" t="str">
        <f>VLOOKUP($A379,Store_Dim!$A$2:$F$21,3,FALSE)</f>
        <v>NorthSabrinatown</v>
      </c>
    </row>
    <row r="380" spans="1:16" hidden="1" x14ac:dyDescent="0.25">
      <c r="A380" t="s">
        <v>822</v>
      </c>
      <c r="B380" t="s">
        <v>2393</v>
      </c>
      <c r="C380" t="s">
        <v>606</v>
      </c>
      <c r="D380" s="2">
        <v>45775</v>
      </c>
      <c r="E380" t="s">
        <v>125</v>
      </c>
      <c r="F380" t="str">
        <f>VLOOKUP($C380,Product_Dim!$A$2:$D$101,3,FALSE)</f>
        <v>Thomas LLC</v>
      </c>
      <c r="G380" t="str">
        <f>VLOOKUP($C380,Product_Dim!$A$2:$D$101,2,FALSE)</f>
        <v>Electronics</v>
      </c>
      <c r="H380">
        <v>4</v>
      </c>
      <c r="I380">
        <v>935.98</v>
      </c>
      <c r="J380">
        <v>0.11</v>
      </c>
      <c r="K380" s="3">
        <v>3332.0888</v>
      </c>
      <c r="L380" t="s">
        <v>854</v>
      </c>
      <c r="M380" t="str">
        <f>VLOOKUP($E380,Customer_Dim!$A$2:$F$501,3,FALSE)</f>
        <v>Female</v>
      </c>
      <c r="N380" t="str">
        <f>VLOOKUP($E380,Customer_Dim!$A$2:$F$501,5,FALSE)</f>
        <v>USA</v>
      </c>
      <c r="O380" t="str">
        <f>VLOOKUP($E380,Customer_Dim!$A$2:$F$501,6,FALSE)</f>
        <v>Gold</v>
      </c>
      <c r="P380" t="str">
        <f>VLOOKUP($A380,Store_Dim!$A$2:$F$21,3,FALSE)</f>
        <v>NorthSabrinatown</v>
      </c>
    </row>
    <row r="381" spans="1:16" x14ac:dyDescent="0.25">
      <c r="A381" t="s">
        <v>822</v>
      </c>
      <c r="B381" t="s">
        <v>2347</v>
      </c>
      <c r="C381" t="s">
        <v>610</v>
      </c>
      <c r="D381" s="2">
        <v>45292</v>
      </c>
      <c r="E381" t="s">
        <v>166</v>
      </c>
      <c r="F381" t="str">
        <f>VLOOKUP($C381,Product_Dim!$A$2:$D$101,3,FALSE)</f>
        <v>Ford, Murphy and Wilson</v>
      </c>
      <c r="G381" t="str">
        <f>VLOOKUP($C381,Product_Dim!$A$2:$D$101,2,FALSE)</f>
        <v>Sports</v>
      </c>
      <c r="H381">
        <v>2</v>
      </c>
      <c r="I381">
        <v>428.55</v>
      </c>
      <c r="J381">
        <v>0</v>
      </c>
      <c r="K381" s="3">
        <v>857.1</v>
      </c>
      <c r="L381" t="s">
        <v>854</v>
      </c>
      <c r="M381" t="str">
        <f>VLOOKUP($E381,Customer_Dim!$A$2:$F$501,3,FALSE)</f>
        <v>Male</v>
      </c>
      <c r="N381" t="str">
        <f>VLOOKUP($E381,Customer_Dim!$A$2:$F$501,5,FALSE)</f>
        <v>USA</v>
      </c>
      <c r="O381" t="str">
        <f>VLOOKUP($E381,Customer_Dim!$A$2:$F$501,6,FALSE)</f>
        <v>Silver</v>
      </c>
      <c r="P381" t="str">
        <f>VLOOKUP($A381,Store_Dim!$A$2:$F$21,3,FALSE)</f>
        <v>NorthSabrinatown</v>
      </c>
    </row>
    <row r="382" spans="1:16" hidden="1" x14ac:dyDescent="0.25">
      <c r="A382" t="s">
        <v>822</v>
      </c>
      <c r="B382" t="s">
        <v>2235</v>
      </c>
      <c r="C382" t="s">
        <v>612</v>
      </c>
      <c r="D382" s="2">
        <v>45409</v>
      </c>
      <c r="E382" t="s">
        <v>104</v>
      </c>
      <c r="F382" t="str">
        <f>VLOOKUP($C382,Product_Dim!$A$2:$D$101,3,FALSE)</f>
        <v>Guerra-Hendrix</v>
      </c>
      <c r="G382" t="str">
        <f>VLOOKUP($C382,Product_Dim!$A$2:$D$101,2,FALSE)</f>
        <v>Clothing</v>
      </c>
      <c r="H382">
        <v>4</v>
      </c>
      <c r="I382">
        <v>455.49</v>
      </c>
      <c r="J382">
        <v>0.17</v>
      </c>
      <c r="K382" s="3">
        <v>1512.2267999999999</v>
      </c>
      <c r="L382" t="s">
        <v>852</v>
      </c>
      <c r="M382" t="str">
        <f>VLOOKUP($E382,Customer_Dim!$A$2:$F$501,3,FALSE)</f>
        <v>Female</v>
      </c>
      <c r="N382" t="str">
        <f>VLOOKUP($E382,Customer_Dim!$A$2:$F$501,5,FALSE)</f>
        <v>USA</v>
      </c>
      <c r="O382" t="str">
        <f>VLOOKUP($E382,Customer_Dim!$A$2:$F$501,6,FALSE)</f>
        <v>Gold</v>
      </c>
      <c r="P382" t="str">
        <f>VLOOKUP($A382,Store_Dim!$A$2:$F$21,3,FALSE)</f>
        <v>NorthSabrinatown</v>
      </c>
    </row>
    <row r="383" spans="1:16" hidden="1" x14ac:dyDescent="0.25">
      <c r="A383" t="s">
        <v>822</v>
      </c>
      <c r="B383" t="s">
        <v>2041</v>
      </c>
      <c r="C383" t="s">
        <v>612</v>
      </c>
      <c r="D383" s="2">
        <v>45602</v>
      </c>
      <c r="E383" t="s">
        <v>438</v>
      </c>
      <c r="F383" t="str">
        <f>VLOOKUP($C383,Product_Dim!$A$2:$D$101,3,FALSE)</f>
        <v>Guerra-Hendrix</v>
      </c>
      <c r="G383" t="str">
        <f>VLOOKUP($C383,Product_Dim!$A$2:$D$101,2,FALSE)</f>
        <v>Clothing</v>
      </c>
      <c r="H383">
        <v>3</v>
      </c>
      <c r="I383">
        <v>99.77</v>
      </c>
      <c r="J383">
        <v>0.01</v>
      </c>
      <c r="K383" s="3">
        <v>296.31689999999998</v>
      </c>
      <c r="L383" t="s">
        <v>854</v>
      </c>
      <c r="M383" t="str">
        <f>VLOOKUP($E383,Customer_Dim!$A$2:$F$501,3,FALSE)</f>
        <v>Female</v>
      </c>
      <c r="N383" t="str">
        <f>VLOOKUP($E383,Customer_Dim!$A$2:$F$501,5,FALSE)</f>
        <v>USA</v>
      </c>
      <c r="O383" t="str">
        <f>VLOOKUP($E383,Customer_Dim!$A$2:$F$501,6,FALSE)</f>
        <v>Platinum</v>
      </c>
      <c r="P383" t="str">
        <f>VLOOKUP($A383,Store_Dim!$A$2:$F$21,3,FALSE)</f>
        <v>NorthSabrinatown</v>
      </c>
    </row>
    <row r="384" spans="1:16" x14ac:dyDescent="0.25">
      <c r="A384" t="s">
        <v>822</v>
      </c>
      <c r="B384" t="s">
        <v>2733</v>
      </c>
      <c r="C384" t="s">
        <v>577</v>
      </c>
      <c r="D384" s="2">
        <v>45534</v>
      </c>
      <c r="E384" t="s">
        <v>565</v>
      </c>
      <c r="F384" t="str">
        <f>VLOOKUP($C384,Product_Dim!$A$2:$D$101,3,FALSE)</f>
        <v>Sims Inc</v>
      </c>
      <c r="G384" t="str">
        <f>VLOOKUP($C384,Product_Dim!$A$2:$D$101,2,FALSE)</f>
        <v>Clothing</v>
      </c>
      <c r="H384">
        <v>3</v>
      </c>
      <c r="I384">
        <v>24.29</v>
      </c>
      <c r="J384">
        <v>0.12</v>
      </c>
      <c r="K384" s="3">
        <v>64.125600000000006</v>
      </c>
      <c r="L384" t="s">
        <v>854</v>
      </c>
      <c r="M384" t="str">
        <f>VLOOKUP($E384,Customer_Dim!$A$2:$F$501,3,FALSE)</f>
        <v>Male</v>
      </c>
      <c r="N384" t="str">
        <f>VLOOKUP($E384,Customer_Dim!$A$2:$F$501,5,FALSE)</f>
        <v>USA</v>
      </c>
      <c r="O384" t="str">
        <f>VLOOKUP($E384,Customer_Dim!$A$2:$F$501,6,FALSE)</f>
        <v>Silver</v>
      </c>
      <c r="P384" t="str">
        <f>VLOOKUP($A384,Store_Dim!$A$2:$F$21,3,FALSE)</f>
        <v>NorthSabrinatown</v>
      </c>
    </row>
    <row r="385" spans="1:16" x14ac:dyDescent="0.25">
      <c r="A385" t="s">
        <v>822</v>
      </c>
      <c r="B385" t="s">
        <v>2431</v>
      </c>
      <c r="C385" t="s">
        <v>616</v>
      </c>
      <c r="D385" s="2">
        <v>45851</v>
      </c>
      <c r="E385" t="s">
        <v>163</v>
      </c>
      <c r="F385" t="str">
        <f>VLOOKUP($C385,Product_Dim!$A$2:$D$101,3,FALSE)</f>
        <v>Soto-Ellis</v>
      </c>
      <c r="G385" t="str">
        <f>VLOOKUP($C385,Product_Dim!$A$2:$D$101,2,FALSE)</f>
        <v>Sports</v>
      </c>
      <c r="H385">
        <v>4</v>
      </c>
      <c r="I385">
        <v>659.17</v>
      </c>
      <c r="J385">
        <v>0.12</v>
      </c>
      <c r="K385" s="3">
        <v>2320.2784000000001</v>
      </c>
      <c r="L385" t="s">
        <v>852</v>
      </c>
      <c r="M385" t="str">
        <f>VLOOKUP($E385,Customer_Dim!$A$2:$F$501,3,FALSE)</f>
        <v>Male</v>
      </c>
      <c r="N385" t="str">
        <f>VLOOKUP($E385,Customer_Dim!$A$2:$F$501,5,FALSE)</f>
        <v>USA</v>
      </c>
      <c r="O385" t="str">
        <f>VLOOKUP($E385,Customer_Dim!$A$2:$F$501,6,FALSE)</f>
        <v>Gold</v>
      </c>
      <c r="P385" t="str">
        <f>VLOOKUP($A385,Store_Dim!$A$2:$F$21,3,FALSE)</f>
        <v>NorthSabrinatown</v>
      </c>
    </row>
    <row r="386" spans="1:16" hidden="1" x14ac:dyDescent="0.25">
      <c r="A386" t="s">
        <v>822</v>
      </c>
      <c r="B386" t="s">
        <v>1950</v>
      </c>
      <c r="C386" t="s">
        <v>616</v>
      </c>
      <c r="D386" s="2">
        <v>45695</v>
      </c>
      <c r="E386" t="s">
        <v>333</v>
      </c>
      <c r="F386" t="str">
        <f>VLOOKUP($C386,Product_Dim!$A$2:$D$101,3,FALSE)</f>
        <v>Soto-Ellis</v>
      </c>
      <c r="G386" t="str">
        <f>VLOOKUP($C386,Product_Dim!$A$2:$D$101,2,FALSE)</f>
        <v>Sports</v>
      </c>
      <c r="H386">
        <v>1</v>
      </c>
      <c r="I386">
        <v>99.35</v>
      </c>
      <c r="J386">
        <v>0.08</v>
      </c>
      <c r="K386" s="3">
        <v>91.402000000000001</v>
      </c>
      <c r="L386" t="s">
        <v>857</v>
      </c>
      <c r="M386" t="str">
        <f>VLOOKUP($E386,Customer_Dim!$A$2:$F$501,3,FALSE)</f>
        <v>Female</v>
      </c>
      <c r="N386" t="str">
        <f>VLOOKUP($E386,Customer_Dim!$A$2:$F$501,5,FALSE)</f>
        <v>USA</v>
      </c>
      <c r="O386" t="str">
        <f>VLOOKUP($E386,Customer_Dim!$A$2:$F$501,6,FALSE)</f>
        <v>Bronze</v>
      </c>
      <c r="P386" t="str">
        <f>VLOOKUP($A386,Store_Dim!$A$2:$F$21,3,FALSE)</f>
        <v>NorthSabrinatown</v>
      </c>
    </row>
    <row r="387" spans="1:16" x14ac:dyDescent="0.25">
      <c r="A387" t="s">
        <v>822</v>
      </c>
      <c r="B387" t="s">
        <v>2657</v>
      </c>
      <c r="C387" t="s">
        <v>618</v>
      </c>
      <c r="D387" s="2">
        <v>45736</v>
      </c>
      <c r="E387" t="s">
        <v>72</v>
      </c>
      <c r="F387" t="str">
        <f>VLOOKUP($C387,Product_Dim!$A$2:$D$101,3,FALSE)</f>
        <v>Gardner-Montes</v>
      </c>
      <c r="G387" t="str">
        <f>VLOOKUP($C387,Product_Dim!$A$2:$D$101,2,FALSE)</f>
        <v>Home</v>
      </c>
      <c r="H387">
        <v>3</v>
      </c>
      <c r="I387">
        <v>587.12</v>
      </c>
      <c r="J387">
        <v>0.3</v>
      </c>
      <c r="K387" s="3">
        <v>1232.952</v>
      </c>
      <c r="L387" t="s">
        <v>852</v>
      </c>
      <c r="M387" t="str">
        <f>VLOOKUP($E387,Customer_Dim!$A$2:$F$501,3,FALSE)</f>
        <v>Male</v>
      </c>
      <c r="N387" t="str">
        <f>VLOOKUP($E387,Customer_Dim!$A$2:$F$501,5,FALSE)</f>
        <v>USA</v>
      </c>
      <c r="O387" t="str">
        <f>VLOOKUP($E387,Customer_Dim!$A$2:$F$501,6,FALSE)</f>
        <v>Platinum</v>
      </c>
      <c r="P387" t="str">
        <f>VLOOKUP($A387,Store_Dim!$A$2:$F$21,3,FALSE)</f>
        <v>NorthSabrinatown</v>
      </c>
    </row>
    <row r="388" spans="1:16" hidden="1" x14ac:dyDescent="0.25">
      <c r="A388" t="s">
        <v>822</v>
      </c>
      <c r="B388" t="s">
        <v>2375</v>
      </c>
      <c r="C388" t="s">
        <v>618</v>
      </c>
      <c r="D388" s="2">
        <v>45344</v>
      </c>
      <c r="E388" t="s">
        <v>103</v>
      </c>
      <c r="F388" t="str">
        <f>VLOOKUP($C388,Product_Dim!$A$2:$D$101,3,FALSE)</f>
        <v>Gardner-Montes</v>
      </c>
      <c r="G388" t="str">
        <f>VLOOKUP($C388,Product_Dim!$A$2:$D$101,2,FALSE)</f>
        <v>Home</v>
      </c>
      <c r="H388">
        <v>1</v>
      </c>
      <c r="I388">
        <v>440.48</v>
      </c>
      <c r="J388">
        <v>0.11</v>
      </c>
      <c r="K388" s="3">
        <v>392.02720000000011</v>
      </c>
      <c r="L388" t="s">
        <v>857</v>
      </c>
      <c r="M388" t="str">
        <f>VLOOKUP($E388,Customer_Dim!$A$2:$F$501,3,FALSE)</f>
        <v>Female</v>
      </c>
      <c r="N388" t="str">
        <f>VLOOKUP($E388,Customer_Dim!$A$2:$F$501,5,FALSE)</f>
        <v>USA</v>
      </c>
      <c r="O388" t="str">
        <f>VLOOKUP($E388,Customer_Dim!$A$2:$F$501,6,FALSE)</f>
        <v>Bronze</v>
      </c>
      <c r="P388" t="str">
        <f>VLOOKUP($A388,Store_Dim!$A$2:$F$21,3,FALSE)</f>
        <v>NorthSabrinatown</v>
      </c>
    </row>
    <row r="389" spans="1:16" x14ac:dyDescent="0.25">
      <c r="A389" t="s">
        <v>822</v>
      </c>
      <c r="B389" t="s">
        <v>2847</v>
      </c>
      <c r="C389" t="s">
        <v>618</v>
      </c>
      <c r="D389" s="2">
        <v>45274</v>
      </c>
      <c r="E389" t="s">
        <v>539</v>
      </c>
      <c r="F389" t="str">
        <f>VLOOKUP($C389,Product_Dim!$A$2:$D$101,3,FALSE)</f>
        <v>Gardner-Montes</v>
      </c>
      <c r="G389" t="str">
        <f>VLOOKUP($C389,Product_Dim!$A$2:$D$101,2,FALSE)</f>
        <v>Home</v>
      </c>
      <c r="H389">
        <v>3</v>
      </c>
      <c r="I389">
        <v>984.12</v>
      </c>
      <c r="J389">
        <v>0.27</v>
      </c>
      <c r="K389" s="3">
        <v>2155.2228</v>
      </c>
      <c r="L389" t="s">
        <v>852</v>
      </c>
      <c r="M389" t="str">
        <f>VLOOKUP($E389,Customer_Dim!$A$2:$F$501,3,FALSE)</f>
        <v>Male</v>
      </c>
      <c r="N389" t="str">
        <f>VLOOKUP($E389,Customer_Dim!$A$2:$F$501,5,FALSE)</f>
        <v>USA</v>
      </c>
      <c r="O389" t="str">
        <f>VLOOKUP($E389,Customer_Dim!$A$2:$F$501,6,FALSE)</f>
        <v>Silver</v>
      </c>
      <c r="P389" t="str">
        <f>VLOOKUP($A389,Store_Dim!$A$2:$F$21,3,FALSE)</f>
        <v>NorthSabrinatown</v>
      </c>
    </row>
    <row r="390" spans="1:16" x14ac:dyDescent="0.25">
      <c r="A390" t="s">
        <v>822</v>
      </c>
      <c r="B390" t="s">
        <v>1845</v>
      </c>
      <c r="C390" t="s">
        <v>620</v>
      </c>
      <c r="D390" s="2">
        <v>45432</v>
      </c>
      <c r="E390" t="s">
        <v>386</v>
      </c>
      <c r="F390" t="str">
        <f>VLOOKUP($C390,Product_Dim!$A$2:$D$101,3,FALSE)</f>
        <v>Flores, Pineda and Rodriguez</v>
      </c>
      <c r="G390" t="str">
        <f>VLOOKUP($C390,Product_Dim!$A$2:$D$101,2,FALSE)</f>
        <v>Sports</v>
      </c>
      <c r="H390">
        <v>1</v>
      </c>
      <c r="I390">
        <v>904.92</v>
      </c>
      <c r="J390">
        <v>0.13</v>
      </c>
      <c r="K390" s="3">
        <v>787.28039999999999</v>
      </c>
      <c r="L390" t="s">
        <v>852</v>
      </c>
      <c r="M390" t="str">
        <f>VLOOKUP($E390,Customer_Dim!$A$2:$F$501,3,FALSE)</f>
        <v>Male</v>
      </c>
      <c r="N390" t="str">
        <f>VLOOKUP($E390,Customer_Dim!$A$2:$F$501,5,FALSE)</f>
        <v>USA</v>
      </c>
      <c r="O390" t="str">
        <f>VLOOKUP($E390,Customer_Dim!$A$2:$F$501,6,FALSE)</f>
        <v>Platinum</v>
      </c>
      <c r="P390" t="str">
        <f>VLOOKUP($A390,Store_Dim!$A$2:$F$21,3,FALSE)</f>
        <v>NorthSabrinatown</v>
      </c>
    </row>
    <row r="391" spans="1:16" x14ac:dyDescent="0.25">
      <c r="A391" t="s">
        <v>822</v>
      </c>
      <c r="B391" t="s">
        <v>1509</v>
      </c>
      <c r="C391" t="s">
        <v>620</v>
      </c>
      <c r="D391" s="2">
        <v>45388</v>
      </c>
      <c r="E391" t="s">
        <v>546</v>
      </c>
      <c r="F391" t="str">
        <f>VLOOKUP($C391,Product_Dim!$A$2:$D$101,3,FALSE)</f>
        <v>Flores, Pineda and Rodriguez</v>
      </c>
      <c r="G391" t="str">
        <f>VLOOKUP($C391,Product_Dim!$A$2:$D$101,2,FALSE)</f>
        <v>Sports</v>
      </c>
      <c r="H391">
        <v>4</v>
      </c>
      <c r="I391">
        <v>411.68</v>
      </c>
      <c r="J391">
        <v>0.06</v>
      </c>
      <c r="K391" s="3">
        <v>1547.9168</v>
      </c>
      <c r="L391" t="s">
        <v>854</v>
      </c>
      <c r="M391" t="str">
        <f>VLOOKUP($E391,Customer_Dim!$A$2:$F$501,3,FALSE)</f>
        <v>Male</v>
      </c>
      <c r="N391" t="str">
        <f>VLOOKUP($E391,Customer_Dim!$A$2:$F$501,5,FALSE)</f>
        <v>USA</v>
      </c>
      <c r="O391" t="str">
        <f>VLOOKUP($E391,Customer_Dim!$A$2:$F$501,6,FALSE)</f>
        <v>Bronze</v>
      </c>
      <c r="P391" t="str">
        <f>VLOOKUP($A391,Store_Dim!$A$2:$F$21,3,FALSE)</f>
        <v>NorthSabrinatown</v>
      </c>
    </row>
    <row r="392" spans="1:16" hidden="1" x14ac:dyDescent="0.25">
      <c r="A392" t="s">
        <v>822</v>
      </c>
      <c r="B392" t="s">
        <v>2640</v>
      </c>
      <c r="C392" t="s">
        <v>624</v>
      </c>
      <c r="D392" s="2">
        <v>45359</v>
      </c>
      <c r="E392" t="s">
        <v>244</v>
      </c>
      <c r="F392" t="str">
        <f>VLOOKUP($C392,Product_Dim!$A$2:$D$101,3,FALSE)</f>
        <v>Cook Ltd</v>
      </c>
      <c r="G392" t="str">
        <f>VLOOKUP($C392,Product_Dim!$A$2:$D$101,2,FALSE)</f>
        <v>Sports</v>
      </c>
      <c r="H392">
        <v>2</v>
      </c>
      <c r="I392">
        <v>722.06</v>
      </c>
      <c r="J392">
        <v>7.0000000000000007E-2</v>
      </c>
      <c r="K392" s="3">
        <v>1343.0316</v>
      </c>
      <c r="L392" t="s">
        <v>852</v>
      </c>
      <c r="M392" t="str">
        <f>VLOOKUP($E392,Customer_Dim!$A$2:$F$501,3,FALSE)</f>
        <v>Female</v>
      </c>
      <c r="N392" t="str">
        <f>VLOOKUP($E392,Customer_Dim!$A$2:$F$501,5,FALSE)</f>
        <v>USA</v>
      </c>
      <c r="O392" t="str">
        <f>VLOOKUP($E392,Customer_Dim!$A$2:$F$501,6,FALSE)</f>
        <v>Silver</v>
      </c>
      <c r="P392" t="str">
        <f>VLOOKUP($A392,Store_Dim!$A$2:$F$21,3,FALSE)</f>
        <v>NorthSabrinatown</v>
      </c>
    </row>
    <row r="393" spans="1:16" hidden="1" x14ac:dyDescent="0.25">
      <c r="A393" t="s">
        <v>822</v>
      </c>
      <c r="B393" t="s">
        <v>2519</v>
      </c>
      <c r="C393" t="s">
        <v>624</v>
      </c>
      <c r="D393" s="2">
        <v>45293</v>
      </c>
      <c r="E393" t="s">
        <v>370</v>
      </c>
      <c r="F393" t="str">
        <f>VLOOKUP($C393,Product_Dim!$A$2:$D$101,3,FALSE)</f>
        <v>Cook Ltd</v>
      </c>
      <c r="G393" t="str">
        <f>VLOOKUP($C393,Product_Dim!$A$2:$D$101,2,FALSE)</f>
        <v>Sports</v>
      </c>
      <c r="H393">
        <v>3</v>
      </c>
      <c r="I393">
        <v>304.67</v>
      </c>
      <c r="J393">
        <v>0.11</v>
      </c>
      <c r="K393" s="3">
        <v>813.46889999999996</v>
      </c>
      <c r="L393" t="s">
        <v>852</v>
      </c>
      <c r="M393" t="str">
        <f>VLOOKUP($E393,Customer_Dim!$A$2:$F$501,3,FALSE)</f>
        <v>Female</v>
      </c>
      <c r="N393" t="str">
        <f>VLOOKUP($E393,Customer_Dim!$A$2:$F$501,5,FALSE)</f>
        <v>USA</v>
      </c>
      <c r="O393" t="str">
        <f>VLOOKUP($E393,Customer_Dim!$A$2:$F$501,6,FALSE)</f>
        <v>Platinum</v>
      </c>
      <c r="P393" t="str">
        <f>VLOOKUP($A393,Store_Dim!$A$2:$F$21,3,FALSE)</f>
        <v>NorthSabrinatown</v>
      </c>
    </row>
    <row r="394" spans="1:16" x14ac:dyDescent="0.25">
      <c r="A394" t="s">
        <v>822</v>
      </c>
      <c r="B394" t="s">
        <v>1207</v>
      </c>
      <c r="C394" t="s">
        <v>626</v>
      </c>
      <c r="D394" s="2">
        <v>45501</v>
      </c>
      <c r="E394" t="s">
        <v>166</v>
      </c>
      <c r="F394" t="str">
        <f>VLOOKUP($C394,Product_Dim!$A$2:$D$101,3,FALSE)</f>
        <v>Brown and Sons</v>
      </c>
      <c r="G394" t="str">
        <f>VLOOKUP($C394,Product_Dim!$A$2:$D$101,2,FALSE)</f>
        <v>Clothing</v>
      </c>
      <c r="H394">
        <v>4</v>
      </c>
      <c r="I394">
        <v>175.91</v>
      </c>
      <c r="J394">
        <v>0.13</v>
      </c>
      <c r="K394" s="3">
        <v>612.16679999999997</v>
      </c>
      <c r="L394" t="s">
        <v>854</v>
      </c>
      <c r="M394" t="str">
        <f>VLOOKUP($E394,Customer_Dim!$A$2:$F$501,3,FALSE)</f>
        <v>Male</v>
      </c>
      <c r="N394" t="str">
        <f>VLOOKUP($E394,Customer_Dim!$A$2:$F$501,5,FALSE)</f>
        <v>USA</v>
      </c>
      <c r="O394" t="str">
        <f>VLOOKUP($E394,Customer_Dim!$A$2:$F$501,6,FALSE)</f>
        <v>Silver</v>
      </c>
      <c r="P394" t="str">
        <f>VLOOKUP($A394,Store_Dim!$A$2:$F$21,3,FALSE)</f>
        <v>NorthSabrinatown</v>
      </c>
    </row>
    <row r="395" spans="1:16" hidden="1" x14ac:dyDescent="0.25">
      <c r="A395" t="s">
        <v>822</v>
      </c>
      <c r="B395" t="s">
        <v>1352</v>
      </c>
      <c r="C395" t="s">
        <v>626</v>
      </c>
      <c r="D395" s="2">
        <v>45280</v>
      </c>
      <c r="E395" t="s">
        <v>210</v>
      </c>
      <c r="F395" t="str">
        <f>VLOOKUP($C395,Product_Dim!$A$2:$D$101,3,FALSE)</f>
        <v>Brown and Sons</v>
      </c>
      <c r="G395" t="str">
        <f>VLOOKUP($C395,Product_Dim!$A$2:$D$101,2,FALSE)</f>
        <v>Clothing</v>
      </c>
      <c r="H395">
        <v>2</v>
      </c>
      <c r="I395">
        <v>583.51</v>
      </c>
      <c r="J395">
        <v>0.2</v>
      </c>
      <c r="K395" s="3">
        <v>933.61599999999999</v>
      </c>
      <c r="L395" t="s">
        <v>857</v>
      </c>
      <c r="M395" t="str">
        <f>VLOOKUP($E395,Customer_Dim!$A$2:$F$501,3,FALSE)</f>
        <v>Female</v>
      </c>
      <c r="N395" t="str">
        <f>VLOOKUP($E395,Customer_Dim!$A$2:$F$501,5,FALSE)</f>
        <v>USA</v>
      </c>
      <c r="O395" t="str">
        <f>VLOOKUP($E395,Customer_Dim!$A$2:$F$501,6,FALSE)</f>
        <v>Gold</v>
      </c>
      <c r="P395" t="str">
        <f>VLOOKUP($A395,Store_Dim!$A$2:$F$21,3,FALSE)</f>
        <v>NorthSabrinatown</v>
      </c>
    </row>
    <row r="396" spans="1:16" x14ac:dyDescent="0.25">
      <c r="A396" t="s">
        <v>822</v>
      </c>
      <c r="B396" t="s">
        <v>1445</v>
      </c>
      <c r="C396" t="s">
        <v>640</v>
      </c>
      <c r="D396" s="2">
        <v>45318</v>
      </c>
      <c r="E396" t="s">
        <v>107</v>
      </c>
      <c r="F396" t="str">
        <f>VLOOKUP($C396,Product_Dim!$A$2:$D$101,3,FALSE)</f>
        <v>Griffin Ltd</v>
      </c>
      <c r="G396" t="str">
        <f>VLOOKUP($C396,Product_Dim!$A$2:$D$101,2,FALSE)</f>
        <v>Beauty</v>
      </c>
      <c r="H396">
        <v>3</v>
      </c>
      <c r="I396">
        <v>622.72</v>
      </c>
      <c r="J396">
        <v>0.04</v>
      </c>
      <c r="K396" s="3">
        <v>1793.4336000000001</v>
      </c>
      <c r="L396" t="s">
        <v>852</v>
      </c>
      <c r="M396" t="str">
        <f>VLOOKUP($E396,Customer_Dim!$A$2:$F$501,3,FALSE)</f>
        <v>Male</v>
      </c>
      <c r="N396" t="str">
        <f>VLOOKUP($E396,Customer_Dim!$A$2:$F$501,5,FALSE)</f>
        <v>USA</v>
      </c>
      <c r="O396" t="str">
        <f>VLOOKUP($E396,Customer_Dim!$A$2:$F$501,6,FALSE)</f>
        <v>Platinum</v>
      </c>
      <c r="P396" t="str">
        <f>VLOOKUP($A396,Store_Dim!$A$2:$F$21,3,FALSE)</f>
        <v>NorthSabrinatown</v>
      </c>
    </row>
    <row r="397" spans="1:16" hidden="1" x14ac:dyDescent="0.25">
      <c r="A397" t="s">
        <v>822</v>
      </c>
      <c r="B397" t="s">
        <v>2288</v>
      </c>
      <c r="C397" t="s">
        <v>640</v>
      </c>
      <c r="D397" s="2">
        <v>45472</v>
      </c>
      <c r="E397" t="s">
        <v>309</v>
      </c>
      <c r="F397" t="str">
        <f>VLOOKUP($C397,Product_Dim!$A$2:$D$101,3,FALSE)</f>
        <v>Griffin Ltd</v>
      </c>
      <c r="G397" t="str">
        <f>VLOOKUP($C397,Product_Dim!$A$2:$D$101,2,FALSE)</f>
        <v>Beauty</v>
      </c>
      <c r="H397">
        <v>4</v>
      </c>
      <c r="I397">
        <v>303.56</v>
      </c>
      <c r="J397">
        <v>0.2</v>
      </c>
      <c r="K397" s="3">
        <v>971.39200000000005</v>
      </c>
      <c r="L397" t="s">
        <v>857</v>
      </c>
      <c r="M397" t="str">
        <f>VLOOKUP($E397,Customer_Dim!$A$2:$F$501,3,FALSE)</f>
        <v>Female</v>
      </c>
      <c r="N397" t="str">
        <f>VLOOKUP($E397,Customer_Dim!$A$2:$F$501,5,FALSE)</f>
        <v>USA</v>
      </c>
      <c r="O397" t="str">
        <f>VLOOKUP($E397,Customer_Dim!$A$2:$F$501,6,FALSE)</f>
        <v>Gold</v>
      </c>
      <c r="P397" t="str">
        <f>VLOOKUP($A397,Store_Dim!$A$2:$F$21,3,FALSE)</f>
        <v>NorthSabrinatown</v>
      </c>
    </row>
    <row r="398" spans="1:16" hidden="1" x14ac:dyDescent="0.25">
      <c r="A398" t="s">
        <v>822</v>
      </c>
      <c r="B398" t="s">
        <v>2088</v>
      </c>
      <c r="C398" t="s">
        <v>644</v>
      </c>
      <c r="D398" s="2">
        <v>45526</v>
      </c>
      <c r="E398" t="s">
        <v>451</v>
      </c>
      <c r="F398" t="str">
        <f>VLOOKUP($C398,Product_Dim!$A$2:$D$101,3,FALSE)</f>
        <v>Lucero LLC</v>
      </c>
      <c r="G398" t="str">
        <f>VLOOKUP($C398,Product_Dim!$A$2:$D$101,2,FALSE)</f>
        <v>Electronics</v>
      </c>
      <c r="H398">
        <v>4</v>
      </c>
      <c r="I398">
        <v>94.13</v>
      </c>
      <c r="J398">
        <v>0.04</v>
      </c>
      <c r="K398" s="3">
        <v>361.45920000000001</v>
      </c>
      <c r="L398" t="s">
        <v>857</v>
      </c>
      <c r="M398" t="str">
        <f>VLOOKUP($E398,Customer_Dim!$A$2:$F$501,3,FALSE)</f>
        <v>Female</v>
      </c>
      <c r="N398" t="str">
        <f>VLOOKUP($E398,Customer_Dim!$A$2:$F$501,5,FALSE)</f>
        <v>USA</v>
      </c>
      <c r="O398" t="str">
        <f>VLOOKUP($E398,Customer_Dim!$A$2:$F$501,6,FALSE)</f>
        <v>Bronze</v>
      </c>
      <c r="P398" t="str">
        <f>VLOOKUP($A398,Store_Dim!$A$2:$F$21,3,FALSE)</f>
        <v>NorthSabrinatown</v>
      </c>
    </row>
    <row r="399" spans="1:16" hidden="1" x14ac:dyDescent="0.25">
      <c r="A399" t="s">
        <v>822</v>
      </c>
      <c r="B399" t="s">
        <v>980</v>
      </c>
      <c r="C399" t="s">
        <v>646</v>
      </c>
      <c r="D399" s="2">
        <v>45884</v>
      </c>
      <c r="E399" t="s">
        <v>195</v>
      </c>
      <c r="F399" t="str">
        <f>VLOOKUP($C399,Product_Dim!$A$2:$D$101,3,FALSE)</f>
        <v>Jones LLC</v>
      </c>
      <c r="G399" t="str">
        <f>VLOOKUP($C399,Product_Dim!$A$2:$D$101,2,FALSE)</f>
        <v>Home</v>
      </c>
      <c r="H399">
        <v>1</v>
      </c>
      <c r="I399">
        <v>996.48</v>
      </c>
      <c r="J399">
        <v>7.0000000000000007E-2</v>
      </c>
      <c r="K399" s="3">
        <v>926.7263999999999</v>
      </c>
      <c r="L399" t="s">
        <v>857</v>
      </c>
      <c r="M399" t="str">
        <f>VLOOKUP($E399,Customer_Dim!$A$2:$F$501,3,FALSE)</f>
        <v>Female</v>
      </c>
      <c r="N399" t="str">
        <f>VLOOKUP($E399,Customer_Dim!$A$2:$F$501,5,FALSE)</f>
        <v>USA</v>
      </c>
      <c r="O399" t="str">
        <f>VLOOKUP($E399,Customer_Dim!$A$2:$F$501,6,FALSE)</f>
        <v>Bronze</v>
      </c>
      <c r="P399" t="str">
        <f>VLOOKUP($A399,Store_Dim!$A$2:$F$21,3,FALSE)</f>
        <v>NorthSabrinatown</v>
      </c>
    </row>
    <row r="400" spans="1:16" x14ac:dyDescent="0.25">
      <c r="A400" t="s">
        <v>822</v>
      </c>
      <c r="B400" t="s">
        <v>2779</v>
      </c>
      <c r="C400" t="s">
        <v>646</v>
      </c>
      <c r="D400" s="2">
        <v>45880</v>
      </c>
      <c r="E400" t="s">
        <v>427</v>
      </c>
      <c r="F400" t="str">
        <f>VLOOKUP($C400,Product_Dim!$A$2:$D$101,3,FALSE)</f>
        <v>Jones LLC</v>
      </c>
      <c r="G400" t="str">
        <f>VLOOKUP($C400,Product_Dim!$A$2:$D$101,2,FALSE)</f>
        <v>Home</v>
      </c>
      <c r="H400">
        <v>2</v>
      </c>
      <c r="I400">
        <v>338.81</v>
      </c>
      <c r="J400">
        <v>7.0000000000000007E-2</v>
      </c>
      <c r="K400" s="3">
        <v>630.1866</v>
      </c>
      <c r="L400" t="s">
        <v>857</v>
      </c>
      <c r="M400" t="str">
        <f>VLOOKUP($E400,Customer_Dim!$A$2:$F$501,3,FALSE)</f>
        <v>Male</v>
      </c>
      <c r="N400" t="str">
        <f>VLOOKUP($E400,Customer_Dim!$A$2:$F$501,5,FALSE)</f>
        <v>USA</v>
      </c>
      <c r="O400" t="str">
        <f>VLOOKUP($E400,Customer_Dim!$A$2:$F$501,6,FALSE)</f>
        <v>Platinum</v>
      </c>
      <c r="P400" t="str">
        <f>VLOOKUP($A400,Store_Dim!$A$2:$F$21,3,FALSE)</f>
        <v>NorthSabrinatown</v>
      </c>
    </row>
    <row r="401" spans="1:16" hidden="1" x14ac:dyDescent="0.25">
      <c r="A401" t="s">
        <v>822</v>
      </c>
      <c r="B401" t="s">
        <v>1908</v>
      </c>
      <c r="C401" t="s">
        <v>646</v>
      </c>
      <c r="D401" s="2">
        <v>45850</v>
      </c>
      <c r="E401" t="s">
        <v>504</v>
      </c>
      <c r="F401" t="str">
        <f>VLOOKUP($C401,Product_Dim!$A$2:$D$101,3,FALSE)</f>
        <v>Jones LLC</v>
      </c>
      <c r="G401" t="str">
        <f>VLOOKUP($C401,Product_Dim!$A$2:$D$101,2,FALSE)</f>
        <v>Home</v>
      </c>
      <c r="H401">
        <v>3</v>
      </c>
      <c r="I401">
        <v>471.31</v>
      </c>
      <c r="J401">
        <v>0</v>
      </c>
      <c r="K401" s="3">
        <v>1413.93</v>
      </c>
      <c r="L401" t="s">
        <v>854</v>
      </c>
      <c r="M401" t="str">
        <f>VLOOKUP($E401,Customer_Dim!$A$2:$F$501,3,FALSE)</f>
        <v>Female</v>
      </c>
      <c r="N401" t="str">
        <f>VLOOKUP($E401,Customer_Dim!$A$2:$F$501,5,FALSE)</f>
        <v>USA</v>
      </c>
      <c r="O401" t="str">
        <f>VLOOKUP($E401,Customer_Dim!$A$2:$F$501,6,FALSE)</f>
        <v>Platinum</v>
      </c>
      <c r="P401" t="str">
        <f>VLOOKUP($A401,Store_Dim!$A$2:$F$21,3,FALSE)</f>
        <v>NorthSabrinatown</v>
      </c>
    </row>
    <row r="402" spans="1:16" hidden="1" x14ac:dyDescent="0.25">
      <c r="A402" t="s">
        <v>822</v>
      </c>
      <c r="B402" t="s">
        <v>1290</v>
      </c>
      <c r="C402" t="s">
        <v>650</v>
      </c>
      <c r="D402" s="2">
        <v>45555</v>
      </c>
      <c r="E402" t="s">
        <v>100</v>
      </c>
      <c r="F402" t="str">
        <f>VLOOKUP($C402,Product_Dim!$A$2:$D$101,3,FALSE)</f>
        <v>Hogan-Lee</v>
      </c>
      <c r="G402" t="str">
        <f>VLOOKUP($C402,Product_Dim!$A$2:$D$101,2,FALSE)</f>
        <v>Clothing</v>
      </c>
      <c r="H402">
        <v>4</v>
      </c>
      <c r="I402">
        <v>747.56</v>
      </c>
      <c r="J402">
        <v>0.09</v>
      </c>
      <c r="K402" s="3">
        <v>2721.1183999999998</v>
      </c>
      <c r="L402" t="s">
        <v>857</v>
      </c>
      <c r="M402" t="str">
        <f>VLOOKUP($E402,Customer_Dim!$A$2:$F$501,3,FALSE)</f>
        <v>Female</v>
      </c>
      <c r="N402" t="str">
        <f>VLOOKUP($E402,Customer_Dim!$A$2:$F$501,5,FALSE)</f>
        <v>USA</v>
      </c>
      <c r="O402" t="str">
        <f>VLOOKUP($E402,Customer_Dim!$A$2:$F$501,6,FALSE)</f>
        <v>Gold</v>
      </c>
      <c r="P402" t="str">
        <f>VLOOKUP($A402,Store_Dim!$A$2:$F$21,3,FALSE)</f>
        <v>NorthSabrinatown</v>
      </c>
    </row>
    <row r="403" spans="1:16" hidden="1" x14ac:dyDescent="0.25">
      <c r="A403" t="s">
        <v>822</v>
      </c>
      <c r="B403" t="s">
        <v>2411</v>
      </c>
      <c r="C403" t="s">
        <v>650</v>
      </c>
      <c r="D403" s="2">
        <v>45524</v>
      </c>
      <c r="E403" t="s">
        <v>379</v>
      </c>
      <c r="F403" t="str">
        <f>VLOOKUP($C403,Product_Dim!$A$2:$D$101,3,FALSE)</f>
        <v>Hogan-Lee</v>
      </c>
      <c r="G403" t="str">
        <f>VLOOKUP($C403,Product_Dim!$A$2:$D$101,2,FALSE)</f>
        <v>Clothing</v>
      </c>
      <c r="H403">
        <v>4</v>
      </c>
      <c r="I403">
        <v>332.97</v>
      </c>
      <c r="J403">
        <v>0.28000000000000003</v>
      </c>
      <c r="K403" s="3">
        <v>958.95360000000005</v>
      </c>
      <c r="L403" t="s">
        <v>852</v>
      </c>
      <c r="M403" t="str">
        <f>VLOOKUP($E403,Customer_Dim!$A$2:$F$501,3,FALSE)</f>
        <v>Female</v>
      </c>
      <c r="N403" t="str">
        <f>VLOOKUP($E403,Customer_Dim!$A$2:$F$501,5,FALSE)</f>
        <v>USA</v>
      </c>
      <c r="O403" t="str">
        <f>VLOOKUP($E403,Customer_Dim!$A$2:$F$501,6,FALSE)</f>
        <v>Silver</v>
      </c>
      <c r="P403" t="str">
        <f>VLOOKUP($A403,Store_Dim!$A$2:$F$21,3,FALSE)</f>
        <v>NorthSabrinatown</v>
      </c>
    </row>
    <row r="404" spans="1:16" hidden="1" x14ac:dyDescent="0.25">
      <c r="A404" t="s">
        <v>822</v>
      </c>
      <c r="B404" t="s">
        <v>1159</v>
      </c>
      <c r="C404" t="s">
        <v>652</v>
      </c>
      <c r="D404" s="2">
        <v>45431</v>
      </c>
      <c r="E404" t="s">
        <v>276</v>
      </c>
      <c r="F404" t="str">
        <f>VLOOKUP($C404,Product_Dim!$A$2:$D$101,3,FALSE)</f>
        <v>Sims-Smith</v>
      </c>
      <c r="G404" t="str">
        <f>VLOOKUP($C404,Product_Dim!$A$2:$D$101,2,FALSE)</f>
        <v>Sports</v>
      </c>
      <c r="H404">
        <v>4</v>
      </c>
      <c r="I404">
        <v>619.74</v>
      </c>
      <c r="J404">
        <v>0.13</v>
      </c>
      <c r="K404" s="3">
        <v>2156.6952000000001</v>
      </c>
      <c r="L404" t="s">
        <v>857</v>
      </c>
      <c r="M404" t="str">
        <f>VLOOKUP($E404,Customer_Dim!$A$2:$F$501,3,FALSE)</f>
        <v>Female</v>
      </c>
      <c r="N404" t="str">
        <f>VLOOKUP($E404,Customer_Dim!$A$2:$F$501,5,FALSE)</f>
        <v>USA</v>
      </c>
      <c r="O404" t="str">
        <f>VLOOKUP($E404,Customer_Dim!$A$2:$F$501,6,FALSE)</f>
        <v>Silver</v>
      </c>
      <c r="P404" t="str">
        <f>VLOOKUP($A404,Store_Dim!$A$2:$F$21,3,FALSE)</f>
        <v>NorthSabrinatown</v>
      </c>
    </row>
    <row r="405" spans="1:16" x14ac:dyDescent="0.25">
      <c r="A405" t="s">
        <v>822</v>
      </c>
      <c r="B405" t="s">
        <v>2531</v>
      </c>
      <c r="C405" t="s">
        <v>652</v>
      </c>
      <c r="D405" s="2">
        <v>45759</v>
      </c>
      <c r="E405" t="s">
        <v>410</v>
      </c>
      <c r="F405" t="str">
        <f>VLOOKUP($C405,Product_Dim!$A$2:$D$101,3,FALSE)</f>
        <v>Sims-Smith</v>
      </c>
      <c r="G405" t="str">
        <f>VLOOKUP($C405,Product_Dim!$A$2:$D$101,2,FALSE)</f>
        <v>Sports</v>
      </c>
      <c r="H405">
        <v>1</v>
      </c>
      <c r="I405">
        <v>21.14</v>
      </c>
      <c r="J405">
        <v>0.06</v>
      </c>
      <c r="K405" s="3">
        <v>19.871600000000001</v>
      </c>
      <c r="L405" t="s">
        <v>857</v>
      </c>
      <c r="M405" t="str">
        <f>VLOOKUP($E405,Customer_Dim!$A$2:$F$501,3,FALSE)</f>
        <v>Male</v>
      </c>
      <c r="N405" t="str">
        <f>VLOOKUP($E405,Customer_Dim!$A$2:$F$501,5,FALSE)</f>
        <v>USA</v>
      </c>
      <c r="O405" t="str">
        <f>VLOOKUP($E405,Customer_Dim!$A$2:$F$501,6,FALSE)</f>
        <v>Bronze</v>
      </c>
      <c r="P405" t="str">
        <f>VLOOKUP($A405,Store_Dim!$A$2:$F$21,3,FALSE)</f>
        <v>NorthSabrinatown</v>
      </c>
    </row>
    <row r="406" spans="1:16" x14ac:dyDescent="0.25">
      <c r="A406" t="s">
        <v>822</v>
      </c>
      <c r="B406" t="s">
        <v>2524</v>
      </c>
      <c r="C406" t="s">
        <v>652</v>
      </c>
      <c r="D406" s="2">
        <v>45385</v>
      </c>
      <c r="E406" t="s">
        <v>545</v>
      </c>
      <c r="F406" t="str">
        <f>VLOOKUP($C406,Product_Dim!$A$2:$D$101,3,FALSE)</f>
        <v>Sims-Smith</v>
      </c>
      <c r="G406" t="str">
        <f>VLOOKUP($C406,Product_Dim!$A$2:$D$101,2,FALSE)</f>
        <v>Sports</v>
      </c>
      <c r="H406">
        <v>2</v>
      </c>
      <c r="I406">
        <v>960.81</v>
      </c>
      <c r="J406">
        <v>0.28000000000000003</v>
      </c>
      <c r="K406" s="3">
        <v>1383.5663999999999</v>
      </c>
      <c r="L406" t="s">
        <v>854</v>
      </c>
      <c r="M406" t="str">
        <f>VLOOKUP($E406,Customer_Dim!$A$2:$F$501,3,FALSE)</f>
        <v>Male</v>
      </c>
      <c r="N406" t="str">
        <f>VLOOKUP($E406,Customer_Dim!$A$2:$F$501,5,FALSE)</f>
        <v>USA</v>
      </c>
      <c r="O406" t="str">
        <f>VLOOKUP($E406,Customer_Dim!$A$2:$F$501,6,FALSE)</f>
        <v>Gold</v>
      </c>
      <c r="P406" t="str">
        <f>VLOOKUP($A406,Store_Dim!$A$2:$F$21,3,FALSE)</f>
        <v>NorthSabrinatown</v>
      </c>
    </row>
    <row r="407" spans="1:16" x14ac:dyDescent="0.25">
      <c r="A407" t="s">
        <v>822</v>
      </c>
      <c r="B407" t="s">
        <v>1265</v>
      </c>
      <c r="C407" t="s">
        <v>654</v>
      </c>
      <c r="D407" s="2">
        <v>45823</v>
      </c>
      <c r="E407" t="s">
        <v>86</v>
      </c>
      <c r="F407" t="str">
        <f>VLOOKUP($C407,Product_Dim!$A$2:$D$101,3,FALSE)</f>
        <v>Cummings and Sons</v>
      </c>
      <c r="G407" t="str">
        <f>VLOOKUP($C407,Product_Dim!$A$2:$D$101,2,FALSE)</f>
        <v>Electronics</v>
      </c>
      <c r="H407">
        <v>1</v>
      </c>
      <c r="I407">
        <v>770.87</v>
      </c>
      <c r="J407">
        <v>0.1</v>
      </c>
      <c r="K407" s="3">
        <v>693.78300000000002</v>
      </c>
      <c r="L407" t="s">
        <v>857</v>
      </c>
      <c r="M407" t="str">
        <f>VLOOKUP($E407,Customer_Dim!$A$2:$F$501,3,FALSE)</f>
        <v>Male</v>
      </c>
      <c r="N407" t="str">
        <f>VLOOKUP($E407,Customer_Dim!$A$2:$F$501,5,FALSE)</f>
        <v>USA</v>
      </c>
      <c r="O407" t="str">
        <f>VLOOKUP($E407,Customer_Dim!$A$2:$F$501,6,FALSE)</f>
        <v>Gold</v>
      </c>
      <c r="P407" t="str">
        <f>VLOOKUP($A407,Store_Dim!$A$2:$F$21,3,FALSE)</f>
        <v>NorthSabrinatown</v>
      </c>
    </row>
    <row r="408" spans="1:16" hidden="1" x14ac:dyDescent="0.25">
      <c r="A408" t="s">
        <v>822</v>
      </c>
      <c r="B408" t="s">
        <v>2502</v>
      </c>
      <c r="C408" t="s">
        <v>654</v>
      </c>
      <c r="D408" s="2">
        <v>45606</v>
      </c>
      <c r="E408" t="s">
        <v>284</v>
      </c>
      <c r="F408" t="str">
        <f>VLOOKUP($C408,Product_Dim!$A$2:$D$101,3,FALSE)</f>
        <v>Cummings and Sons</v>
      </c>
      <c r="G408" t="str">
        <f>VLOOKUP($C408,Product_Dim!$A$2:$D$101,2,FALSE)</f>
        <v>Electronics</v>
      </c>
      <c r="H408">
        <v>4</v>
      </c>
      <c r="I408">
        <v>721.54</v>
      </c>
      <c r="J408">
        <v>0.21</v>
      </c>
      <c r="K408" s="3">
        <v>2280.0664000000002</v>
      </c>
      <c r="L408" t="s">
        <v>852</v>
      </c>
      <c r="M408" t="str">
        <f>VLOOKUP($E408,Customer_Dim!$A$2:$F$501,3,FALSE)</f>
        <v>Female</v>
      </c>
      <c r="N408" t="str">
        <f>VLOOKUP($E408,Customer_Dim!$A$2:$F$501,5,FALSE)</f>
        <v>USA</v>
      </c>
      <c r="O408" t="str">
        <f>VLOOKUP($E408,Customer_Dim!$A$2:$F$501,6,FALSE)</f>
        <v>Gold</v>
      </c>
      <c r="P408" t="str">
        <f>VLOOKUP($A408,Store_Dim!$A$2:$F$21,3,FALSE)</f>
        <v>NorthSabrinatown</v>
      </c>
    </row>
    <row r="409" spans="1:16" x14ac:dyDescent="0.25">
      <c r="A409" t="s">
        <v>822</v>
      </c>
      <c r="B409" t="s">
        <v>1034</v>
      </c>
      <c r="C409" t="s">
        <v>654</v>
      </c>
      <c r="D409" s="2">
        <v>45235</v>
      </c>
      <c r="E409" t="s">
        <v>545</v>
      </c>
      <c r="F409" t="str">
        <f>VLOOKUP($C409,Product_Dim!$A$2:$D$101,3,FALSE)</f>
        <v>Cummings and Sons</v>
      </c>
      <c r="G409" t="str">
        <f>VLOOKUP($C409,Product_Dim!$A$2:$D$101,2,FALSE)</f>
        <v>Electronics</v>
      </c>
      <c r="H409">
        <v>3</v>
      </c>
      <c r="I409">
        <v>954.29</v>
      </c>
      <c r="J409">
        <v>0.27</v>
      </c>
      <c r="K409" s="3">
        <v>2089.8951000000002</v>
      </c>
      <c r="L409" t="s">
        <v>852</v>
      </c>
      <c r="M409" t="str">
        <f>VLOOKUP($E409,Customer_Dim!$A$2:$F$501,3,FALSE)</f>
        <v>Male</v>
      </c>
      <c r="N409" t="str">
        <f>VLOOKUP($E409,Customer_Dim!$A$2:$F$501,5,FALSE)</f>
        <v>USA</v>
      </c>
      <c r="O409" t="str">
        <f>VLOOKUP($E409,Customer_Dim!$A$2:$F$501,6,FALSE)</f>
        <v>Gold</v>
      </c>
      <c r="P409" t="str">
        <f>VLOOKUP($A409,Store_Dim!$A$2:$F$21,3,FALSE)</f>
        <v>NorthSabrinatown</v>
      </c>
    </row>
    <row r="410" spans="1:16" hidden="1" x14ac:dyDescent="0.25">
      <c r="A410" t="s">
        <v>822</v>
      </c>
      <c r="B410" t="s">
        <v>1763</v>
      </c>
      <c r="C410" t="s">
        <v>581</v>
      </c>
      <c r="D410" s="2">
        <v>45477</v>
      </c>
      <c r="E410" t="s">
        <v>531</v>
      </c>
      <c r="F410" t="str">
        <f>VLOOKUP($C410,Product_Dim!$A$2:$D$101,3,FALSE)</f>
        <v>Gonzales-Davis</v>
      </c>
      <c r="G410" t="str">
        <f>VLOOKUP($C410,Product_Dim!$A$2:$D$101,2,FALSE)</f>
        <v>Clothing</v>
      </c>
      <c r="H410">
        <v>1</v>
      </c>
      <c r="I410">
        <v>221.7</v>
      </c>
      <c r="J410">
        <v>0.04</v>
      </c>
      <c r="K410" s="3">
        <v>212.83199999999999</v>
      </c>
      <c r="L410" t="s">
        <v>852</v>
      </c>
      <c r="M410" t="str">
        <f>VLOOKUP($E410,Customer_Dim!$A$2:$F$501,3,FALSE)</f>
        <v>Female</v>
      </c>
      <c r="N410" t="str">
        <f>VLOOKUP($E410,Customer_Dim!$A$2:$F$501,5,FALSE)</f>
        <v>USA</v>
      </c>
      <c r="O410" t="str">
        <f>VLOOKUP($E410,Customer_Dim!$A$2:$F$501,6,FALSE)</f>
        <v>Platinum</v>
      </c>
      <c r="P410" t="str">
        <f>VLOOKUP($A410,Store_Dim!$A$2:$F$21,3,FALSE)</f>
        <v>NorthSabrinatown</v>
      </c>
    </row>
    <row r="411" spans="1:16" hidden="1" x14ac:dyDescent="0.25">
      <c r="A411" t="s">
        <v>822</v>
      </c>
      <c r="B411" t="s">
        <v>1635</v>
      </c>
      <c r="C411" t="s">
        <v>656</v>
      </c>
      <c r="D411" s="2">
        <v>45433</v>
      </c>
      <c r="E411" t="s">
        <v>562</v>
      </c>
      <c r="F411" t="str">
        <f>VLOOKUP($C411,Product_Dim!$A$2:$D$101,3,FALSE)</f>
        <v>Taylor-Hart</v>
      </c>
      <c r="G411" t="str">
        <f>VLOOKUP($C411,Product_Dim!$A$2:$D$101,2,FALSE)</f>
        <v>Electronics</v>
      </c>
      <c r="H411">
        <v>4</v>
      </c>
      <c r="I411">
        <v>95.06</v>
      </c>
      <c r="J411">
        <v>0.03</v>
      </c>
      <c r="K411" s="3">
        <v>368.83280000000002</v>
      </c>
      <c r="L411" t="s">
        <v>852</v>
      </c>
      <c r="M411" t="str">
        <f>VLOOKUP($E411,Customer_Dim!$A$2:$F$501,3,FALSE)</f>
        <v>Female</v>
      </c>
      <c r="N411" t="str">
        <f>VLOOKUP($E411,Customer_Dim!$A$2:$F$501,5,FALSE)</f>
        <v>USA</v>
      </c>
      <c r="O411" t="str">
        <f>VLOOKUP($E411,Customer_Dim!$A$2:$F$501,6,FALSE)</f>
        <v>Bronze</v>
      </c>
      <c r="P411" t="str">
        <f>VLOOKUP($A411,Store_Dim!$A$2:$F$21,3,FALSE)</f>
        <v>NorthSabrinatown</v>
      </c>
    </row>
    <row r="412" spans="1:16" hidden="1" x14ac:dyDescent="0.25">
      <c r="A412" t="s">
        <v>822</v>
      </c>
      <c r="B412" t="s">
        <v>2353</v>
      </c>
      <c r="C412" t="s">
        <v>658</v>
      </c>
      <c r="D412" s="2">
        <v>45590</v>
      </c>
      <c r="E412" t="s">
        <v>531</v>
      </c>
      <c r="F412" t="str">
        <f>VLOOKUP($C412,Product_Dim!$A$2:$D$101,3,FALSE)</f>
        <v>Carroll, Long and Mendoza</v>
      </c>
      <c r="G412" t="str">
        <f>VLOOKUP($C412,Product_Dim!$A$2:$D$101,2,FALSE)</f>
        <v>Sports</v>
      </c>
      <c r="H412">
        <v>2</v>
      </c>
      <c r="I412">
        <v>581.19000000000005</v>
      </c>
      <c r="J412">
        <v>7.0000000000000007E-2</v>
      </c>
      <c r="K412" s="3">
        <v>1081.0134</v>
      </c>
      <c r="L412" t="s">
        <v>857</v>
      </c>
      <c r="M412" t="str">
        <f>VLOOKUP($E412,Customer_Dim!$A$2:$F$501,3,FALSE)</f>
        <v>Female</v>
      </c>
      <c r="N412" t="str">
        <f>VLOOKUP($E412,Customer_Dim!$A$2:$F$501,5,FALSE)</f>
        <v>USA</v>
      </c>
      <c r="O412" t="str">
        <f>VLOOKUP($E412,Customer_Dim!$A$2:$F$501,6,FALSE)</f>
        <v>Platinum</v>
      </c>
      <c r="P412" t="str">
        <f>VLOOKUP($A412,Store_Dim!$A$2:$F$21,3,FALSE)</f>
        <v>NorthSabrinatown</v>
      </c>
    </row>
    <row r="413" spans="1:16" hidden="1" x14ac:dyDescent="0.25">
      <c r="A413" t="s">
        <v>822</v>
      </c>
      <c r="B413" t="s">
        <v>2631</v>
      </c>
      <c r="C413" t="s">
        <v>660</v>
      </c>
      <c r="D413" s="2">
        <v>45831</v>
      </c>
      <c r="E413" t="s">
        <v>232</v>
      </c>
      <c r="F413" t="str">
        <f>VLOOKUP($C413,Product_Dim!$A$2:$D$101,3,FALSE)</f>
        <v>Holmes LLC</v>
      </c>
      <c r="G413" t="str">
        <f>VLOOKUP($C413,Product_Dim!$A$2:$D$101,2,FALSE)</f>
        <v>Electronics</v>
      </c>
      <c r="H413">
        <v>3</v>
      </c>
      <c r="I413">
        <v>605.83000000000004</v>
      </c>
      <c r="J413">
        <v>0.28000000000000003</v>
      </c>
      <c r="K413" s="3">
        <v>1308.5927999999999</v>
      </c>
      <c r="L413" t="s">
        <v>857</v>
      </c>
      <c r="M413" t="str">
        <f>VLOOKUP($E413,Customer_Dim!$A$2:$F$501,3,FALSE)</f>
        <v>Female</v>
      </c>
      <c r="N413" t="str">
        <f>VLOOKUP($E413,Customer_Dim!$A$2:$F$501,5,FALSE)</f>
        <v>USA</v>
      </c>
      <c r="O413" t="str">
        <f>VLOOKUP($E413,Customer_Dim!$A$2:$F$501,6,FALSE)</f>
        <v>Platinum</v>
      </c>
      <c r="P413" t="str">
        <f>VLOOKUP($A413,Store_Dim!$A$2:$F$21,3,FALSE)</f>
        <v>NorthSabrinatown</v>
      </c>
    </row>
    <row r="414" spans="1:16" x14ac:dyDescent="0.25">
      <c r="A414" t="s">
        <v>822</v>
      </c>
      <c r="B414" t="s">
        <v>898</v>
      </c>
      <c r="C414" t="s">
        <v>662</v>
      </c>
      <c r="D414" s="2">
        <v>45538</v>
      </c>
      <c r="E414" t="s">
        <v>268</v>
      </c>
      <c r="F414" t="str">
        <f>VLOOKUP($C414,Product_Dim!$A$2:$D$101,3,FALSE)</f>
        <v>Robinson Inc</v>
      </c>
      <c r="G414" t="str">
        <f>VLOOKUP($C414,Product_Dim!$A$2:$D$101,2,FALSE)</f>
        <v>Electronics</v>
      </c>
      <c r="H414">
        <v>2</v>
      </c>
      <c r="I414">
        <v>209.32</v>
      </c>
      <c r="J414">
        <v>0.23</v>
      </c>
      <c r="K414" s="3">
        <v>322.3528</v>
      </c>
      <c r="L414" t="s">
        <v>857</v>
      </c>
      <c r="M414" t="str">
        <f>VLOOKUP($E414,Customer_Dim!$A$2:$F$501,3,FALSE)</f>
        <v>Male</v>
      </c>
      <c r="N414" t="str">
        <f>VLOOKUP($E414,Customer_Dim!$A$2:$F$501,5,FALSE)</f>
        <v>USA</v>
      </c>
      <c r="O414" t="str">
        <f>VLOOKUP($E414,Customer_Dim!$A$2:$F$501,6,FALSE)</f>
        <v>Platinum</v>
      </c>
      <c r="P414" t="str">
        <f>VLOOKUP($A414,Store_Dim!$A$2:$F$21,3,FALSE)</f>
        <v>NorthSabrinatown</v>
      </c>
    </row>
    <row r="415" spans="1:16" x14ac:dyDescent="0.25">
      <c r="A415" t="s">
        <v>822</v>
      </c>
      <c r="B415" t="s">
        <v>2232</v>
      </c>
      <c r="C415" t="s">
        <v>670</v>
      </c>
      <c r="D415" s="2">
        <v>45656</v>
      </c>
      <c r="E415" t="s">
        <v>115</v>
      </c>
      <c r="F415" t="str">
        <f>VLOOKUP($C415,Product_Dim!$A$2:$D$101,3,FALSE)</f>
        <v>Cook Inc</v>
      </c>
      <c r="G415" t="str">
        <f>VLOOKUP($C415,Product_Dim!$A$2:$D$101,2,FALSE)</f>
        <v>Beauty</v>
      </c>
      <c r="H415">
        <v>2</v>
      </c>
      <c r="I415">
        <v>591.33000000000004</v>
      </c>
      <c r="J415">
        <v>0.24</v>
      </c>
      <c r="K415" s="3">
        <v>898.8216000000001</v>
      </c>
      <c r="L415" t="s">
        <v>852</v>
      </c>
      <c r="M415" t="str">
        <f>VLOOKUP($E415,Customer_Dim!$A$2:$F$501,3,FALSE)</f>
        <v>Male</v>
      </c>
      <c r="N415" t="str">
        <f>VLOOKUP($E415,Customer_Dim!$A$2:$F$501,5,FALSE)</f>
        <v>USA</v>
      </c>
      <c r="O415" t="str">
        <f>VLOOKUP($E415,Customer_Dim!$A$2:$F$501,6,FALSE)</f>
        <v>Gold</v>
      </c>
      <c r="P415" t="str">
        <f>VLOOKUP($A415,Store_Dim!$A$2:$F$21,3,FALSE)</f>
        <v>NorthSabrinatown</v>
      </c>
    </row>
    <row r="416" spans="1:16" hidden="1" x14ac:dyDescent="0.25">
      <c r="A416" t="s">
        <v>822</v>
      </c>
      <c r="B416" t="s">
        <v>986</v>
      </c>
      <c r="C416" t="s">
        <v>672</v>
      </c>
      <c r="D416" s="2">
        <v>45662</v>
      </c>
      <c r="E416" t="s">
        <v>228</v>
      </c>
      <c r="F416" t="str">
        <f>VLOOKUP($C416,Product_Dim!$A$2:$D$101,3,FALSE)</f>
        <v>Byrd, Stewart and Valdez</v>
      </c>
      <c r="G416" t="str">
        <f>VLOOKUP($C416,Product_Dim!$A$2:$D$101,2,FALSE)</f>
        <v>Electronics</v>
      </c>
      <c r="H416">
        <v>4</v>
      </c>
      <c r="I416">
        <v>950.04</v>
      </c>
      <c r="J416">
        <v>0.13</v>
      </c>
      <c r="K416" s="3">
        <v>3306.1392000000001</v>
      </c>
      <c r="L416" t="s">
        <v>854</v>
      </c>
      <c r="M416" t="str">
        <f>VLOOKUP($E416,Customer_Dim!$A$2:$F$501,3,FALSE)</f>
        <v>Female</v>
      </c>
      <c r="N416" t="str">
        <f>VLOOKUP($E416,Customer_Dim!$A$2:$F$501,5,FALSE)</f>
        <v>USA</v>
      </c>
      <c r="O416" t="str">
        <f>VLOOKUP($E416,Customer_Dim!$A$2:$F$501,6,FALSE)</f>
        <v>Silver</v>
      </c>
      <c r="P416" t="str">
        <f>VLOOKUP($A416,Store_Dim!$A$2:$F$21,3,FALSE)</f>
        <v>NorthSabrinatown</v>
      </c>
    </row>
    <row r="417" spans="1:16" hidden="1" x14ac:dyDescent="0.25">
      <c r="A417" t="s">
        <v>822</v>
      </c>
      <c r="B417" t="s">
        <v>1003</v>
      </c>
      <c r="C417" t="s">
        <v>583</v>
      </c>
      <c r="D417" s="2">
        <v>45502</v>
      </c>
      <c r="E417" t="s">
        <v>154</v>
      </c>
      <c r="F417" t="str">
        <f>VLOOKUP($C417,Product_Dim!$A$2:$D$101,3,FALSE)</f>
        <v>Baldwin, Garza and Gonzalez</v>
      </c>
      <c r="G417" t="str">
        <f>VLOOKUP($C417,Product_Dim!$A$2:$D$101,2,FALSE)</f>
        <v>Clothing</v>
      </c>
      <c r="H417">
        <v>3</v>
      </c>
      <c r="I417">
        <v>513.36</v>
      </c>
      <c r="J417">
        <v>7.0000000000000007E-2</v>
      </c>
      <c r="K417" s="3">
        <v>1432.2744</v>
      </c>
      <c r="L417" t="s">
        <v>857</v>
      </c>
      <c r="M417" t="str">
        <f>VLOOKUP($E417,Customer_Dim!$A$2:$F$501,3,FALSE)</f>
        <v>Female</v>
      </c>
      <c r="N417" t="str">
        <f>VLOOKUP($E417,Customer_Dim!$A$2:$F$501,5,FALSE)</f>
        <v>USA</v>
      </c>
      <c r="O417" t="str">
        <f>VLOOKUP($E417,Customer_Dim!$A$2:$F$501,6,FALSE)</f>
        <v>Gold</v>
      </c>
      <c r="P417" t="str">
        <f>VLOOKUP($A417,Store_Dim!$A$2:$F$21,3,FALSE)</f>
        <v>NorthSabrinatown</v>
      </c>
    </row>
    <row r="418" spans="1:16" hidden="1" x14ac:dyDescent="0.25">
      <c r="A418" t="s">
        <v>822</v>
      </c>
      <c r="B418" t="s">
        <v>2164</v>
      </c>
      <c r="C418" t="s">
        <v>676</v>
      </c>
      <c r="D418" s="2">
        <v>45717</v>
      </c>
      <c r="E418" t="s">
        <v>458</v>
      </c>
      <c r="F418" t="str">
        <f>VLOOKUP($C418,Product_Dim!$A$2:$D$101,3,FALSE)</f>
        <v>Smith-King</v>
      </c>
      <c r="G418" t="str">
        <f>VLOOKUP($C418,Product_Dim!$A$2:$D$101,2,FALSE)</f>
        <v>Sports</v>
      </c>
      <c r="H418">
        <v>2</v>
      </c>
      <c r="I418">
        <v>520.45000000000005</v>
      </c>
      <c r="J418">
        <v>0.11</v>
      </c>
      <c r="K418" s="3">
        <v>926.40100000000007</v>
      </c>
      <c r="L418" t="s">
        <v>857</v>
      </c>
      <c r="M418" t="str">
        <f>VLOOKUP($E418,Customer_Dim!$A$2:$F$501,3,FALSE)</f>
        <v>Female</v>
      </c>
      <c r="N418" t="str">
        <f>VLOOKUP($E418,Customer_Dim!$A$2:$F$501,5,FALSE)</f>
        <v>USA</v>
      </c>
      <c r="O418" t="str">
        <f>VLOOKUP($E418,Customer_Dim!$A$2:$F$501,6,FALSE)</f>
        <v>Bronze</v>
      </c>
      <c r="P418" t="str">
        <f>VLOOKUP($A418,Store_Dim!$A$2:$F$21,3,FALSE)</f>
        <v>NorthSabrinatown</v>
      </c>
    </row>
    <row r="419" spans="1:16" x14ac:dyDescent="0.25">
      <c r="A419" t="s">
        <v>822</v>
      </c>
      <c r="B419" t="s">
        <v>1158</v>
      </c>
      <c r="C419" t="s">
        <v>678</v>
      </c>
      <c r="D419" s="2">
        <v>45615</v>
      </c>
      <c r="E419" t="s">
        <v>84</v>
      </c>
      <c r="F419" t="str">
        <f>VLOOKUP($C419,Product_Dim!$A$2:$D$101,3,FALSE)</f>
        <v>Bautista, Green and Hale</v>
      </c>
      <c r="G419" t="str">
        <f>VLOOKUP($C419,Product_Dim!$A$2:$D$101,2,FALSE)</f>
        <v>Electronics</v>
      </c>
      <c r="H419">
        <v>3</v>
      </c>
      <c r="I419">
        <v>781.39</v>
      </c>
      <c r="J419">
        <v>0.12</v>
      </c>
      <c r="K419" s="3">
        <v>2062.8696</v>
      </c>
      <c r="L419" t="s">
        <v>852</v>
      </c>
      <c r="M419" t="str">
        <f>VLOOKUP($E419,Customer_Dim!$A$2:$F$501,3,FALSE)</f>
        <v>Male</v>
      </c>
      <c r="N419" t="str">
        <f>VLOOKUP($E419,Customer_Dim!$A$2:$F$501,5,FALSE)</f>
        <v>USA</v>
      </c>
      <c r="O419" t="str">
        <f>VLOOKUP($E419,Customer_Dim!$A$2:$F$501,6,FALSE)</f>
        <v>Platinum</v>
      </c>
      <c r="P419" t="str">
        <f>VLOOKUP($A419,Store_Dim!$A$2:$F$21,3,FALSE)</f>
        <v>NorthSabrinatown</v>
      </c>
    </row>
    <row r="420" spans="1:16" x14ac:dyDescent="0.25">
      <c r="A420" t="s">
        <v>822</v>
      </c>
      <c r="B420" t="s">
        <v>2739</v>
      </c>
      <c r="C420" t="s">
        <v>678</v>
      </c>
      <c r="D420" s="2">
        <v>45644</v>
      </c>
      <c r="E420" t="s">
        <v>160</v>
      </c>
      <c r="F420" t="str">
        <f>VLOOKUP($C420,Product_Dim!$A$2:$D$101,3,FALSE)</f>
        <v>Bautista, Green and Hale</v>
      </c>
      <c r="G420" t="str">
        <f>VLOOKUP($C420,Product_Dim!$A$2:$D$101,2,FALSE)</f>
        <v>Electronics</v>
      </c>
      <c r="H420">
        <v>1</v>
      </c>
      <c r="I420">
        <v>891.62</v>
      </c>
      <c r="J420">
        <v>0.06</v>
      </c>
      <c r="K420" s="3">
        <v>838.12279999999998</v>
      </c>
      <c r="L420" t="s">
        <v>854</v>
      </c>
      <c r="M420" t="str">
        <f>VLOOKUP($E420,Customer_Dim!$A$2:$F$501,3,FALSE)</f>
        <v>Male</v>
      </c>
      <c r="N420" t="str">
        <f>VLOOKUP($E420,Customer_Dim!$A$2:$F$501,5,FALSE)</f>
        <v>USA</v>
      </c>
      <c r="O420" t="str">
        <f>VLOOKUP($E420,Customer_Dim!$A$2:$F$501,6,FALSE)</f>
        <v>Silver</v>
      </c>
      <c r="P420" t="str">
        <f>VLOOKUP($A420,Store_Dim!$A$2:$F$21,3,FALSE)</f>
        <v>NorthSabrinatown</v>
      </c>
    </row>
    <row r="421" spans="1:16" hidden="1" x14ac:dyDescent="0.25">
      <c r="A421" t="s">
        <v>822</v>
      </c>
      <c r="B421" t="s">
        <v>885</v>
      </c>
      <c r="C421" t="s">
        <v>682</v>
      </c>
      <c r="D421" s="2">
        <v>45593</v>
      </c>
      <c r="E421" t="s">
        <v>479</v>
      </c>
      <c r="F421" t="str">
        <f>VLOOKUP($C421,Product_Dim!$A$2:$D$101,3,FALSE)</f>
        <v>Hamilton, Woods and Walker</v>
      </c>
      <c r="G421" t="str">
        <f>VLOOKUP($C421,Product_Dim!$A$2:$D$101,2,FALSE)</f>
        <v>Clothing</v>
      </c>
      <c r="H421">
        <v>2</v>
      </c>
      <c r="I421">
        <v>148.96</v>
      </c>
      <c r="J421">
        <v>0.03</v>
      </c>
      <c r="K421" s="3">
        <v>288.98239999999998</v>
      </c>
      <c r="L421" t="s">
        <v>857</v>
      </c>
      <c r="M421" t="str">
        <f>VLOOKUP($E421,Customer_Dim!$A$2:$F$501,3,FALSE)</f>
        <v>Female</v>
      </c>
      <c r="N421" t="str">
        <f>VLOOKUP($E421,Customer_Dim!$A$2:$F$501,5,FALSE)</f>
        <v>USA</v>
      </c>
      <c r="O421" t="str">
        <f>VLOOKUP($E421,Customer_Dim!$A$2:$F$501,6,FALSE)</f>
        <v>Gold</v>
      </c>
      <c r="P421" t="str">
        <f>VLOOKUP($A421,Store_Dim!$A$2:$F$21,3,FALSE)</f>
        <v>NorthSabrinatown</v>
      </c>
    </row>
    <row r="422" spans="1:16" hidden="1" x14ac:dyDescent="0.25">
      <c r="A422" t="s">
        <v>822</v>
      </c>
      <c r="B422" t="s">
        <v>2040</v>
      </c>
      <c r="C422" t="s">
        <v>684</v>
      </c>
      <c r="D422" s="2">
        <v>45897</v>
      </c>
      <c r="E422" t="s">
        <v>145</v>
      </c>
      <c r="F422" t="str">
        <f>VLOOKUP($C422,Product_Dim!$A$2:$D$101,3,FALSE)</f>
        <v>Thompson-French</v>
      </c>
      <c r="G422" t="str">
        <f>VLOOKUP($C422,Product_Dim!$A$2:$D$101,2,FALSE)</f>
        <v>Sports</v>
      </c>
      <c r="H422">
        <v>4</v>
      </c>
      <c r="I422">
        <v>705.12</v>
      </c>
      <c r="J422">
        <v>0.15</v>
      </c>
      <c r="K422" s="3">
        <v>2397.4079999999999</v>
      </c>
      <c r="L422" t="s">
        <v>854</v>
      </c>
      <c r="M422" t="str">
        <f>VLOOKUP($E422,Customer_Dim!$A$2:$F$501,3,FALSE)</f>
        <v>Female</v>
      </c>
      <c r="N422" t="str">
        <f>VLOOKUP($E422,Customer_Dim!$A$2:$F$501,5,FALSE)</f>
        <v>USA</v>
      </c>
      <c r="O422" t="str">
        <f>VLOOKUP($E422,Customer_Dim!$A$2:$F$501,6,FALSE)</f>
        <v>Bronze</v>
      </c>
      <c r="P422" t="str">
        <f>VLOOKUP($A422,Store_Dim!$A$2:$F$21,3,FALSE)</f>
        <v>NorthSabrinatown</v>
      </c>
    </row>
    <row r="423" spans="1:16" x14ac:dyDescent="0.25">
      <c r="A423" t="s">
        <v>822</v>
      </c>
      <c r="B423" t="s">
        <v>1018</v>
      </c>
      <c r="C423" t="s">
        <v>684</v>
      </c>
      <c r="D423" s="2">
        <v>45418</v>
      </c>
      <c r="E423" t="s">
        <v>343</v>
      </c>
      <c r="F423" t="str">
        <f>VLOOKUP($C423,Product_Dim!$A$2:$D$101,3,FALSE)</f>
        <v>Thompson-French</v>
      </c>
      <c r="G423" t="str">
        <f>VLOOKUP($C423,Product_Dim!$A$2:$D$101,2,FALSE)</f>
        <v>Sports</v>
      </c>
      <c r="H423">
        <v>4</v>
      </c>
      <c r="I423">
        <v>164.04</v>
      </c>
      <c r="J423">
        <v>0.26</v>
      </c>
      <c r="K423" s="3">
        <v>485.55839999999989</v>
      </c>
      <c r="L423" t="s">
        <v>852</v>
      </c>
      <c r="M423" t="str">
        <f>VLOOKUP($E423,Customer_Dim!$A$2:$F$501,3,FALSE)</f>
        <v>Male</v>
      </c>
      <c r="N423" t="str">
        <f>VLOOKUP($E423,Customer_Dim!$A$2:$F$501,5,FALSE)</f>
        <v>USA</v>
      </c>
      <c r="O423" t="str">
        <f>VLOOKUP($E423,Customer_Dim!$A$2:$F$501,6,FALSE)</f>
        <v>Gold</v>
      </c>
      <c r="P423" t="str">
        <f>VLOOKUP($A423,Store_Dim!$A$2:$F$21,3,FALSE)</f>
        <v>NorthSabrinatown</v>
      </c>
    </row>
    <row r="424" spans="1:16" hidden="1" x14ac:dyDescent="0.25">
      <c r="A424" t="s">
        <v>822</v>
      </c>
      <c r="B424" t="s">
        <v>2573</v>
      </c>
      <c r="C424" t="s">
        <v>686</v>
      </c>
      <c r="D424" s="2">
        <v>45702</v>
      </c>
      <c r="E424" t="s">
        <v>28</v>
      </c>
      <c r="F424" t="str">
        <f>VLOOKUP($C424,Product_Dim!$A$2:$D$101,3,FALSE)</f>
        <v>Hatfield, Baird and Torres</v>
      </c>
      <c r="G424" t="str">
        <f>VLOOKUP($C424,Product_Dim!$A$2:$D$101,2,FALSE)</f>
        <v>Home</v>
      </c>
      <c r="H424">
        <v>1</v>
      </c>
      <c r="I424">
        <v>846.3</v>
      </c>
      <c r="J424">
        <v>0.14000000000000001</v>
      </c>
      <c r="K424" s="3">
        <v>727.81799999999998</v>
      </c>
      <c r="L424" t="s">
        <v>854</v>
      </c>
      <c r="M424" t="str">
        <f>VLOOKUP($E424,Customer_Dim!$A$2:$F$501,3,FALSE)</f>
        <v>Female</v>
      </c>
      <c r="N424" t="str">
        <f>VLOOKUP($E424,Customer_Dim!$A$2:$F$501,5,FALSE)</f>
        <v>USA</v>
      </c>
      <c r="O424" t="str">
        <f>VLOOKUP($E424,Customer_Dim!$A$2:$F$501,6,FALSE)</f>
        <v>Bronze</v>
      </c>
      <c r="P424" t="str">
        <f>VLOOKUP($A424,Store_Dim!$A$2:$F$21,3,FALSE)</f>
        <v>NorthSabrinatown</v>
      </c>
    </row>
    <row r="425" spans="1:16" x14ac:dyDescent="0.25">
      <c r="A425" t="s">
        <v>822</v>
      </c>
      <c r="B425" t="s">
        <v>2626</v>
      </c>
      <c r="C425" t="s">
        <v>686</v>
      </c>
      <c r="D425" s="2">
        <v>45338</v>
      </c>
      <c r="E425" t="s">
        <v>423</v>
      </c>
      <c r="F425" t="str">
        <f>VLOOKUP($C425,Product_Dim!$A$2:$D$101,3,FALSE)</f>
        <v>Hatfield, Baird and Torres</v>
      </c>
      <c r="G425" t="str">
        <f>VLOOKUP($C425,Product_Dim!$A$2:$D$101,2,FALSE)</f>
        <v>Home</v>
      </c>
      <c r="H425">
        <v>1</v>
      </c>
      <c r="I425">
        <v>967.76</v>
      </c>
      <c r="J425">
        <v>0.09</v>
      </c>
      <c r="K425" s="3">
        <v>880.66160000000002</v>
      </c>
      <c r="L425" t="s">
        <v>852</v>
      </c>
      <c r="M425" t="str">
        <f>VLOOKUP($E425,Customer_Dim!$A$2:$F$501,3,FALSE)</f>
        <v>Male</v>
      </c>
      <c r="N425" t="str">
        <f>VLOOKUP($E425,Customer_Dim!$A$2:$F$501,5,FALSE)</f>
        <v>USA</v>
      </c>
      <c r="O425" t="str">
        <f>VLOOKUP($E425,Customer_Dim!$A$2:$F$501,6,FALSE)</f>
        <v>Bronze</v>
      </c>
      <c r="P425" t="str">
        <f>VLOOKUP($A425,Store_Dim!$A$2:$F$21,3,FALSE)</f>
        <v>NorthSabrinatown</v>
      </c>
    </row>
    <row r="426" spans="1:16" hidden="1" x14ac:dyDescent="0.25">
      <c r="A426" t="s">
        <v>822</v>
      </c>
      <c r="B426" t="s">
        <v>2307</v>
      </c>
      <c r="C426" t="s">
        <v>688</v>
      </c>
      <c r="D426" s="2">
        <v>45855</v>
      </c>
      <c r="E426" t="s">
        <v>537</v>
      </c>
      <c r="F426" t="str">
        <f>VLOOKUP($C426,Product_Dim!$A$2:$D$101,3,FALSE)</f>
        <v>Hernandez, Kennedy and Porter</v>
      </c>
      <c r="G426" t="str">
        <f>VLOOKUP($C426,Product_Dim!$A$2:$D$101,2,FALSE)</f>
        <v>Home</v>
      </c>
      <c r="H426">
        <v>3</v>
      </c>
      <c r="I426">
        <v>560.52</v>
      </c>
      <c r="J426">
        <v>0.17</v>
      </c>
      <c r="K426" s="3">
        <v>1395.6948</v>
      </c>
      <c r="L426" t="s">
        <v>852</v>
      </c>
      <c r="M426" t="str">
        <f>VLOOKUP($E426,Customer_Dim!$A$2:$F$501,3,FALSE)</f>
        <v>Female</v>
      </c>
      <c r="N426" t="str">
        <f>VLOOKUP($E426,Customer_Dim!$A$2:$F$501,5,FALSE)</f>
        <v>USA</v>
      </c>
      <c r="O426" t="str">
        <f>VLOOKUP($E426,Customer_Dim!$A$2:$F$501,6,FALSE)</f>
        <v>Gold</v>
      </c>
      <c r="P426" t="str">
        <f>VLOOKUP($A426,Store_Dim!$A$2:$F$21,3,FALSE)</f>
        <v>NorthSabrinatown</v>
      </c>
    </row>
    <row r="427" spans="1:16" x14ac:dyDescent="0.25">
      <c r="A427" t="s">
        <v>822</v>
      </c>
      <c r="B427" t="s">
        <v>2434</v>
      </c>
      <c r="C427" t="s">
        <v>692</v>
      </c>
      <c r="D427" s="2">
        <v>45921</v>
      </c>
      <c r="E427" t="s">
        <v>159</v>
      </c>
      <c r="F427" t="str">
        <f>VLOOKUP($C427,Product_Dim!$A$2:$D$101,3,FALSE)</f>
        <v>Shepherd-Gould</v>
      </c>
      <c r="G427" t="str">
        <f>VLOOKUP($C427,Product_Dim!$A$2:$D$101,2,FALSE)</f>
        <v>Clothing</v>
      </c>
      <c r="H427">
        <v>2</v>
      </c>
      <c r="I427">
        <v>485.17</v>
      </c>
      <c r="J427">
        <v>0.11</v>
      </c>
      <c r="K427" s="3">
        <v>863.60260000000005</v>
      </c>
      <c r="L427" t="s">
        <v>854</v>
      </c>
      <c r="M427" t="str">
        <f>VLOOKUP($E427,Customer_Dim!$A$2:$F$501,3,FALSE)</f>
        <v>Male</v>
      </c>
      <c r="N427" t="str">
        <f>VLOOKUP($E427,Customer_Dim!$A$2:$F$501,5,FALSE)</f>
        <v>USA</v>
      </c>
      <c r="O427" t="str">
        <f>VLOOKUP($E427,Customer_Dim!$A$2:$F$501,6,FALSE)</f>
        <v>Gold</v>
      </c>
      <c r="P427" t="str">
        <f>VLOOKUP($A427,Store_Dim!$A$2:$F$21,3,FALSE)</f>
        <v>NorthSabrinatown</v>
      </c>
    </row>
    <row r="428" spans="1:16" x14ac:dyDescent="0.25">
      <c r="A428" t="s">
        <v>822</v>
      </c>
      <c r="B428" t="s">
        <v>2337</v>
      </c>
      <c r="C428" t="s">
        <v>694</v>
      </c>
      <c r="D428" s="2">
        <v>45435</v>
      </c>
      <c r="E428" t="s">
        <v>88</v>
      </c>
      <c r="F428" t="str">
        <f>VLOOKUP($C428,Product_Dim!$A$2:$D$101,3,FALSE)</f>
        <v>Cline-Mccarthy</v>
      </c>
      <c r="G428" t="str">
        <f>VLOOKUP($C428,Product_Dim!$A$2:$D$101,2,FALSE)</f>
        <v>Beauty</v>
      </c>
      <c r="H428">
        <v>1</v>
      </c>
      <c r="I428">
        <v>758.89</v>
      </c>
      <c r="J428">
        <v>0.1</v>
      </c>
      <c r="K428" s="3">
        <v>683.00099999999998</v>
      </c>
      <c r="L428" t="s">
        <v>852</v>
      </c>
      <c r="M428" t="str">
        <f>VLOOKUP($E428,Customer_Dim!$A$2:$F$501,3,FALSE)</f>
        <v>Male</v>
      </c>
      <c r="N428" t="str">
        <f>VLOOKUP($E428,Customer_Dim!$A$2:$F$501,5,FALSE)</f>
        <v>USA</v>
      </c>
      <c r="O428" t="str">
        <f>VLOOKUP($E428,Customer_Dim!$A$2:$F$501,6,FALSE)</f>
        <v>Bronze</v>
      </c>
      <c r="P428" t="str">
        <f>VLOOKUP($A428,Store_Dim!$A$2:$F$21,3,FALSE)</f>
        <v>NorthSabrinatown</v>
      </c>
    </row>
    <row r="429" spans="1:16" x14ac:dyDescent="0.25">
      <c r="A429" t="s">
        <v>822</v>
      </c>
      <c r="B429" t="s">
        <v>2729</v>
      </c>
      <c r="C429" t="s">
        <v>696</v>
      </c>
      <c r="D429" s="2">
        <v>45730</v>
      </c>
      <c r="E429" t="s">
        <v>68</v>
      </c>
      <c r="F429" t="str">
        <f>VLOOKUP($C429,Product_Dim!$A$2:$D$101,3,FALSE)</f>
        <v>Gibson, Green and Lopez</v>
      </c>
      <c r="G429" t="str">
        <f>VLOOKUP($C429,Product_Dim!$A$2:$D$101,2,FALSE)</f>
        <v>Beauty</v>
      </c>
      <c r="H429">
        <v>2</v>
      </c>
      <c r="I429">
        <v>396.9</v>
      </c>
      <c r="J429">
        <v>0.18</v>
      </c>
      <c r="K429" s="3">
        <v>650.91600000000005</v>
      </c>
      <c r="L429" t="s">
        <v>854</v>
      </c>
      <c r="M429" t="str">
        <f>VLOOKUP($E429,Customer_Dim!$A$2:$F$501,3,FALSE)</f>
        <v>Male</v>
      </c>
      <c r="N429" t="str">
        <f>VLOOKUP($E429,Customer_Dim!$A$2:$F$501,5,FALSE)</f>
        <v>USA</v>
      </c>
      <c r="O429" t="str">
        <f>VLOOKUP($E429,Customer_Dim!$A$2:$F$501,6,FALSE)</f>
        <v>Silver</v>
      </c>
      <c r="P429" t="str">
        <f>VLOOKUP($A429,Store_Dim!$A$2:$F$21,3,FALSE)</f>
        <v>NorthSabrinatown</v>
      </c>
    </row>
    <row r="430" spans="1:16" x14ac:dyDescent="0.25">
      <c r="A430" t="s">
        <v>822</v>
      </c>
      <c r="B430" t="s">
        <v>2130</v>
      </c>
      <c r="C430" t="s">
        <v>696</v>
      </c>
      <c r="D430" s="2">
        <v>45272</v>
      </c>
      <c r="E430" t="s">
        <v>185</v>
      </c>
      <c r="F430" t="str">
        <f>VLOOKUP($C430,Product_Dim!$A$2:$D$101,3,FALSE)</f>
        <v>Gibson, Green and Lopez</v>
      </c>
      <c r="G430" t="str">
        <f>VLOOKUP($C430,Product_Dim!$A$2:$D$101,2,FALSE)</f>
        <v>Beauty</v>
      </c>
      <c r="H430">
        <v>4</v>
      </c>
      <c r="I430">
        <v>755.82</v>
      </c>
      <c r="J430">
        <v>0.22</v>
      </c>
      <c r="K430" s="3">
        <v>2358.1583999999998</v>
      </c>
      <c r="L430" t="s">
        <v>857</v>
      </c>
      <c r="M430" t="str">
        <f>VLOOKUP($E430,Customer_Dim!$A$2:$F$501,3,FALSE)</f>
        <v>Male</v>
      </c>
      <c r="N430" t="str">
        <f>VLOOKUP($E430,Customer_Dim!$A$2:$F$501,5,FALSE)</f>
        <v>USA</v>
      </c>
      <c r="O430" t="str">
        <f>VLOOKUP($E430,Customer_Dim!$A$2:$F$501,6,FALSE)</f>
        <v>Platinum</v>
      </c>
      <c r="P430" t="str">
        <f>VLOOKUP($A430,Store_Dim!$A$2:$F$21,3,FALSE)</f>
        <v>NorthSabrinatown</v>
      </c>
    </row>
    <row r="431" spans="1:16" x14ac:dyDescent="0.25">
      <c r="A431" t="s">
        <v>822</v>
      </c>
      <c r="B431" t="s">
        <v>1614</v>
      </c>
      <c r="C431" t="s">
        <v>698</v>
      </c>
      <c r="D431" s="2">
        <v>45341</v>
      </c>
      <c r="E431" t="s">
        <v>24</v>
      </c>
      <c r="F431" t="str">
        <f>VLOOKUP($C431,Product_Dim!$A$2:$D$101,3,FALSE)</f>
        <v>Lopez LLC</v>
      </c>
      <c r="G431" t="str">
        <f>VLOOKUP($C431,Product_Dim!$A$2:$D$101,2,FALSE)</f>
        <v>Sports</v>
      </c>
      <c r="H431">
        <v>4</v>
      </c>
      <c r="I431">
        <v>731.53</v>
      </c>
      <c r="J431">
        <v>0.12</v>
      </c>
      <c r="K431" s="3">
        <v>2574.9856</v>
      </c>
      <c r="L431" t="s">
        <v>852</v>
      </c>
      <c r="M431" t="str">
        <f>VLOOKUP($E431,Customer_Dim!$A$2:$F$501,3,FALSE)</f>
        <v>Male</v>
      </c>
      <c r="N431" t="str">
        <f>VLOOKUP($E431,Customer_Dim!$A$2:$F$501,5,FALSE)</f>
        <v>USA</v>
      </c>
      <c r="O431" t="str">
        <f>VLOOKUP($E431,Customer_Dim!$A$2:$F$501,6,FALSE)</f>
        <v>Bronze</v>
      </c>
      <c r="P431" t="str">
        <f>VLOOKUP($A431,Store_Dim!$A$2:$F$21,3,FALSE)</f>
        <v>NorthSabrinatown</v>
      </c>
    </row>
    <row r="432" spans="1:16" x14ac:dyDescent="0.25">
      <c r="A432" t="s">
        <v>822</v>
      </c>
      <c r="B432" t="s">
        <v>1094</v>
      </c>
      <c r="C432" t="s">
        <v>700</v>
      </c>
      <c r="D432" s="2">
        <v>45917</v>
      </c>
      <c r="E432" t="s">
        <v>68</v>
      </c>
      <c r="F432" t="str">
        <f>VLOOKUP($C432,Product_Dim!$A$2:$D$101,3,FALSE)</f>
        <v>Murray, Gould and Ware</v>
      </c>
      <c r="G432" t="str">
        <f>VLOOKUP($C432,Product_Dim!$A$2:$D$101,2,FALSE)</f>
        <v>Electronics</v>
      </c>
      <c r="H432">
        <v>3</v>
      </c>
      <c r="I432">
        <v>741.33</v>
      </c>
      <c r="J432">
        <v>0.03</v>
      </c>
      <c r="K432" s="3">
        <v>2157.2703000000001</v>
      </c>
      <c r="L432" t="s">
        <v>852</v>
      </c>
      <c r="M432" t="str">
        <f>VLOOKUP($E432,Customer_Dim!$A$2:$F$501,3,FALSE)</f>
        <v>Male</v>
      </c>
      <c r="N432" t="str">
        <f>VLOOKUP($E432,Customer_Dim!$A$2:$F$501,5,FALSE)</f>
        <v>USA</v>
      </c>
      <c r="O432" t="str">
        <f>VLOOKUP($E432,Customer_Dim!$A$2:$F$501,6,FALSE)</f>
        <v>Silver</v>
      </c>
      <c r="P432" t="str">
        <f>VLOOKUP($A432,Store_Dim!$A$2:$F$21,3,FALSE)</f>
        <v>NorthSabrinatown</v>
      </c>
    </row>
    <row r="433" spans="1:16" hidden="1" x14ac:dyDescent="0.25">
      <c r="A433" t="s">
        <v>822</v>
      </c>
      <c r="B433" t="s">
        <v>1177</v>
      </c>
      <c r="C433" t="s">
        <v>702</v>
      </c>
      <c r="D433" s="2">
        <v>45497</v>
      </c>
      <c r="E433" t="s">
        <v>505</v>
      </c>
      <c r="F433" t="str">
        <f>VLOOKUP($C433,Product_Dim!$A$2:$D$101,3,FALSE)</f>
        <v>Anderson-Riley</v>
      </c>
      <c r="G433" t="str">
        <f>VLOOKUP($C433,Product_Dim!$A$2:$D$101,2,FALSE)</f>
        <v>Beauty</v>
      </c>
      <c r="H433">
        <v>1</v>
      </c>
      <c r="I433">
        <v>934.75</v>
      </c>
      <c r="J433">
        <v>0.11</v>
      </c>
      <c r="K433" s="3">
        <v>831.92750000000001</v>
      </c>
      <c r="L433" t="s">
        <v>854</v>
      </c>
      <c r="M433" t="str">
        <f>VLOOKUP($E433,Customer_Dim!$A$2:$F$501,3,FALSE)</f>
        <v>Female</v>
      </c>
      <c r="N433" t="str">
        <f>VLOOKUP($E433,Customer_Dim!$A$2:$F$501,5,FALSE)</f>
        <v>USA</v>
      </c>
      <c r="O433" t="str">
        <f>VLOOKUP($E433,Customer_Dim!$A$2:$F$501,6,FALSE)</f>
        <v>Platinum</v>
      </c>
      <c r="P433" t="str">
        <f>VLOOKUP($A433,Store_Dim!$A$2:$F$21,3,FALSE)</f>
        <v>NorthSabrinatown</v>
      </c>
    </row>
    <row r="434" spans="1:16" hidden="1" x14ac:dyDescent="0.25">
      <c r="A434" t="s">
        <v>822</v>
      </c>
      <c r="B434" t="s">
        <v>1785</v>
      </c>
      <c r="C434" t="s">
        <v>706</v>
      </c>
      <c r="D434" s="2">
        <v>45338</v>
      </c>
      <c r="E434" t="s">
        <v>390</v>
      </c>
      <c r="F434" t="str">
        <f>VLOOKUP($C434,Product_Dim!$A$2:$D$101,3,FALSE)</f>
        <v>Montgomery, Benton and Miller</v>
      </c>
      <c r="G434" t="str">
        <f>VLOOKUP($C434,Product_Dim!$A$2:$D$101,2,FALSE)</f>
        <v>Sports</v>
      </c>
      <c r="H434">
        <v>1</v>
      </c>
      <c r="I434">
        <v>681.3</v>
      </c>
      <c r="J434">
        <v>0.05</v>
      </c>
      <c r="K434" s="3">
        <v>647.2349999999999</v>
      </c>
      <c r="L434" t="s">
        <v>852</v>
      </c>
      <c r="M434" t="str">
        <f>VLOOKUP($E434,Customer_Dim!$A$2:$F$501,3,FALSE)</f>
        <v>Female</v>
      </c>
      <c r="N434" t="str">
        <f>VLOOKUP($E434,Customer_Dim!$A$2:$F$501,5,FALSE)</f>
        <v>USA</v>
      </c>
      <c r="O434" t="str">
        <f>VLOOKUP($E434,Customer_Dim!$A$2:$F$501,6,FALSE)</f>
        <v>Platinum</v>
      </c>
      <c r="P434" t="str">
        <f>VLOOKUP($A434,Store_Dim!$A$2:$F$21,3,FALSE)</f>
        <v>NorthSabrinatown</v>
      </c>
    </row>
    <row r="435" spans="1:16" x14ac:dyDescent="0.25">
      <c r="A435" t="s">
        <v>822</v>
      </c>
      <c r="B435" t="s">
        <v>2830</v>
      </c>
      <c r="C435" t="s">
        <v>708</v>
      </c>
      <c r="D435" s="2">
        <v>45388</v>
      </c>
      <c r="E435" t="s">
        <v>257</v>
      </c>
      <c r="F435" t="str">
        <f>VLOOKUP($C435,Product_Dim!$A$2:$D$101,3,FALSE)</f>
        <v>Torres, Spencer and Potter</v>
      </c>
      <c r="G435" t="str">
        <f>VLOOKUP($C435,Product_Dim!$A$2:$D$101,2,FALSE)</f>
        <v>Beauty</v>
      </c>
      <c r="H435">
        <v>3</v>
      </c>
      <c r="I435">
        <v>685.97</v>
      </c>
      <c r="J435">
        <v>0.24</v>
      </c>
      <c r="K435" s="3">
        <v>1564.0116</v>
      </c>
      <c r="L435" t="s">
        <v>854</v>
      </c>
      <c r="M435" t="str">
        <f>VLOOKUP($E435,Customer_Dim!$A$2:$F$501,3,FALSE)</f>
        <v>Male</v>
      </c>
      <c r="N435" t="str">
        <f>VLOOKUP($E435,Customer_Dim!$A$2:$F$501,5,FALSE)</f>
        <v>USA</v>
      </c>
      <c r="O435" t="str">
        <f>VLOOKUP($E435,Customer_Dim!$A$2:$F$501,6,FALSE)</f>
        <v>Gold</v>
      </c>
      <c r="P435" t="str">
        <f>VLOOKUP($A435,Store_Dim!$A$2:$F$21,3,FALSE)</f>
        <v>NorthSabrinatown</v>
      </c>
    </row>
    <row r="436" spans="1:16" x14ac:dyDescent="0.25">
      <c r="A436" t="s">
        <v>822</v>
      </c>
      <c r="B436" t="s">
        <v>996</v>
      </c>
      <c r="C436" t="s">
        <v>708</v>
      </c>
      <c r="D436" s="2">
        <v>45573</v>
      </c>
      <c r="E436" t="s">
        <v>466</v>
      </c>
      <c r="F436" t="str">
        <f>VLOOKUP($C436,Product_Dim!$A$2:$D$101,3,FALSE)</f>
        <v>Torres, Spencer and Potter</v>
      </c>
      <c r="G436" t="str">
        <f>VLOOKUP($C436,Product_Dim!$A$2:$D$101,2,FALSE)</f>
        <v>Beauty</v>
      </c>
      <c r="H436">
        <v>2</v>
      </c>
      <c r="I436">
        <v>975.48</v>
      </c>
      <c r="J436">
        <v>0.26</v>
      </c>
      <c r="K436" s="3">
        <v>1443.7103999999999</v>
      </c>
      <c r="L436" t="s">
        <v>857</v>
      </c>
      <c r="M436" t="str">
        <f>VLOOKUP($E436,Customer_Dim!$A$2:$F$501,3,FALSE)</f>
        <v>Male</v>
      </c>
      <c r="N436" t="str">
        <f>VLOOKUP($E436,Customer_Dim!$A$2:$F$501,5,FALSE)</f>
        <v>USA</v>
      </c>
      <c r="O436" t="str">
        <f>VLOOKUP($E436,Customer_Dim!$A$2:$F$501,6,FALSE)</f>
        <v>Bronze</v>
      </c>
      <c r="P436" t="str">
        <f>VLOOKUP($A436,Store_Dim!$A$2:$F$21,3,FALSE)</f>
        <v>NorthSabrinatown</v>
      </c>
    </row>
    <row r="437" spans="1:16" x14ac:dyDescent="0.25">
      <c r="A437" t="s">
        <v>822</v>
      </c>
      <c r="B437" t="s">
        <v>1085</v>
      </c>
      <c r="C437" t="s">
        <v>714</v>
      </c>
      <c r="D437" s="2">
        <v>45863</v>
      </c>
      <c r="E437" t="s">
        <v>342</v>
      </c>
      <c r="F437" t="str">
        <f>VLOOKUP($C437,Product_Dim!$A$2:$D$101,3,FALSE)</f>
        <v>Fitzpatrick Ltd</v>
      </c>
      <c r="G437" t="str">
        <f>VLOOKUP($C437,Product_Dim!$A$2:$D$101,2,FALSE)</f>
        <v>Clothing</v>
      </c>
      <c r="H437">
        <v>4</v>
      </c>
      <c r="I437">
        <v>383.74</v>
      </c>
      <c r="J437">
        <v>0.01</v>
      </c>
      <c r="K437" s="3">
        <v>1519.6104</v>
      </c>
      <c r="L437" t="s">
        <v>852</v>
      </c>
      <c r="M437" t="str">
        <f>VLOOKUP($E437,Customer_Dim!$A$2:$F$501,3,FALSE)</f>
        <v>Male</v>
      </c>
      <c r="N437" t="str">
        <f>VLOOKUP($E437,Customer_Dim!$A$2:$F$501,5,FALSE)</f>
        <v>USA</v>
      </c>
      <c r="O437" t="str">
        <f>VLOOKUP($E437,Customer_Dim!$A$2:$F$501,6,FALSE)</f>
        <v>Gold</v>
      </c>
      <c r="P437" t="str">
        <f>VLOOKUP($A437,Store_Dim!$A$2:$F$21,3,FALSE)</f>
        <v>NorthSabrinatown</v>
      </c>
    </row>
    <row r="438" spans="1:16" x14ac:dyDescent="0.25">
      <c r="A438" t="s">
        <v>822</v>
      </c>
      <c r="B438" t="s">
        <v>1533</v>
      </c>
      <c r="C438" t="s">
        <v>716</v>
      </c>
      <c r="D438" s="2">
        <v>45273</v>
      </c>
      <c r="E438" t="s">
        <v>431</v>
      </c>
      <c r="F438" t="str">
        <f>VLOOKUP($C438,Product_Dim!$A$2:$D$101,3,FALSE)</f>
        <v>Duran Group</v>
      </c>
      <c r="G438" t="str">
        <f>VLOOKUP($C438,Product_Dim!$A$2:$D$101,2,FALSE)</f>
        <v>Home</v>
      </c>
      <c r="H438">
        <v>3</v>
      </c>
      <c r="I438">
        <v>306.70999999999998</v>
      </c>
      <c r="J438">
        <v>0.09</v>
      </c>
      <c r="K438" s="3">
        <v>837.31829999999991</v>
      </c>
      <c r="L438" t="s">
        <v>854</v>
      </c>
      <c r="M438" t="str">
        <f>VLOOKUP($E438,Customer_Dim!$A$2:$F$501,3,FALSE)</f>
        <v>Male</v>
      </c>
      <c r="N438" t="str">
        <f>VLOOKUP($E438,Customer_Dim!$A$2:$F$501,5,FALSE)</f>
        <v>USA</v>
      </c>
      <c r="O438" t="str">
        <f>VLOOKUP($E438,Customer_Dim!$A$2:$F$501,6,FALSE)</f>
        <v>Bronze</v>
      </c>
      <c r="P438" t="str">
        <f>VLOOKUP($A438,Store_Dim!$A$2:$F$21,3,FALSE)</f>
        <v>NorthSabrinatown</v>
      </c>
    </row>
    <row r="439" spans="1:16" hidden="1" x14ac:dyDescent="0.25">
      <c r="A439" t="s">
        <v>822</v>
      </c>
      <c r="B439" t="s">
        <v>1257</v>
      </c>
      <c r="C439" t="s">
        <v>718</v>
      </c>
      <c r="D439" s="2">
        <v>45576</v>
      </c>
      <c r="E439" t="s">
        <v>266</v>
      </c>
      <c r="F439" t="str">
        <f>VLOOKUP($C439,Product_Dim!$A$2:$D$101,3,FALSE)</f>
        <v>Hopkins Ltd</v>
      </c>
      <c r="G439" t="str">
        <f>VLOOKUP($C439,Product_Dim!$A$2:$D$101,2,FALSE)</f>
        <v>Beauty</v>
      </c>
      <c r="H439">
        <v>4</v>
      </c>
      <c r="I439">
        <v>849.17</v>
      </c>
      <c r="J439">
        <v>0.12</v>
      </c>
      <c r="K439" s="3">
        <v>2989.0783999999999</v>
      </c>
      <c r="L439" t="s">
        <v>857</v>
      </c>
      <c r="M439" t="str">
        <f>VLOOKUP($E439,Customer_Dim!$A$2:$F$501,3,FALSE)</f>
        <v>Female</v>
      </c>
      <c r="N439" t="str">
        <f>VLOOKUP($E439,Customer_Dim!$A$2:$F$501,5,FALSE)</f>
        <v>USA</v>
      </c>
      <c r="O439" t="str">
        <f>VLOOKUP($E439,Customer_Dim!$A$2:$F$501,6,FALSE)</f>
        <v>Bronze</v>
      </c>
      <c r="P439" t="str">
        <f>VLOOKUP($A439,Store_Dim!$A$2:$F$21,3,FALSE)</f>
        <v>NorthSabrinatown</v>
      </c>
    </row>
    <row r="440" spans="1:16" hidden="1" x14ac:dyDescent="0.25">
      <c r="A440" t="s">
        <v>822</v>
      </c>
      <c r="B440" t="s">
        <v>2710</v>
      </c>
      <c r="C440" t="s">
        <v>724</v>
      </c>
      <c r="D440" s="2">
        <v>45596</v>
      </c>
      <c r="E440" t="s">
        <v>394</v>
      </c>
      <c r="F440" t="str">
        <f>VLOOKUP($C440,Product_Dim!$A$2:$D$101,3,FALSE)</f>
        <v>Bruce-Bowen</v>
      </c>
      <c r="G440" t="str">
        <f>VLOOKUP($C440,Product_Dim!$A$2:$D$101,2,FALSE)</f>
        <v>Electronics</v>
      </c>
      <c r="H440">
        <v>3</v>
      </c>
      <c r="I440">
        <v>306.52</v>
      </c>
      <c r="J440">
        <v>0.01</v>
      </c>
      <c r="K440" s="3">
        <v>910.36439999999993</v>
      </c>
      <c r="L440" t="s">
        <v>857</v>
      </c>
      <c r="M440" t="str">
        <f>VLOOKUP($E440,Customer_Dim!$A$2:$F$501,3,FALSE)</f>
        <v>Female</v>
      </c>
      <c r="N440" t="str">
        <f>VLOOKUP($E440,Customer_Dim!$A$2:$F$501,5,FALSE)</f>
        <v>USA</v>
      </c>
      <c r="O440" t="str">
        <f>VLOOKUP($E440,Customer_Dim!$A$2:$F$501,6,FALSE)</f>
        <v>Bronze</v>
      </c>
      <c r="P440" t="str">
        <f>VLOOKUP($A440,Store_Dim!$A$2:$F$21,3,FALSE)</f>
        <v>NorthSabrinatown</v>
      </c>
    </row>
    <row r="441" spans="1:16" hidden="1" x14ac:dyDescent="0.25">
      <c r="A441" t="s">
        <v>822</v>
      </c>
      <c r="B441" t="s">
        <v>1482</v>
      </c>
      <c r="C441" t="s">
        <v>724</v>
      </c>
      <c r="D441" s="2">
        <v>45433</v>
      </c>
      <c r="E441" t="s">
        <v>529</v>
      </c>
      <c r="F441" t="str">
        <f>VLOOKUP($C441,Product_Dim!$A$2:$D$101,3,FALSE)</f>
        <v>Bruce-Bowen</v>
      </c>
      <c r="G441" t="str">
        <f>VLOOKUP($C441,Product_Dim!$A$2:$D$101,2,FALSE)</f>
        <v>Electronics</v>
      </c>
      <c r="H441">
        <v>3</v>
      </c>
      <c r="I441">
        <v>322.94</v>
      </c>
      <c r="J441">
        <v>0.01</v>
      </c>
      <c r="K441" s="3">
        <v>959.13179999999988</v>
      </c>
      <c r="L441" t="s">
        <v>852</v>
      </c>
      <c r="M441" t="str">
        <f>VLOOKUP($E441,Customer_Dim!$A$2:$F$501,3,FALSE)</f>
        <v>Female</v>
      </c>
      <c r="N441" t="str">
        <f>VLOOKUP($E441,Customer_Dim!$A$2:$F$501,5,FALSE)</f>
        <v>USA</v>
      </c>
      <c r="O441" t="str">
        <f>VLOOKUP($E441,Customer_Dim!$A$2:$F$501,6,FALSE)</f>
        <v>Silver</v>
      </c>
      <c r="P441" t="str">
        <f>VLOOKUP($A441,Store_Dim!$A$2:$F$21,3,FALSE)</f>
        <v>NorthSabrinatown</v>
      </c>
    </row>
    <row r="442" spans="1:16" x14ac:dyDescent="0.25">
      <c r="A442" t="s">
        <v>822</v>
      </c>
      <c r="B442" t="s">
        <v>2759</v>
      </c>
      <c r="C442" t="s">
        <v>726</v>
      </c>
      <c r="D442" s="2">
        <v>45760</v>
      </c>
      <c r="E442" t="s">
        <v>240</v>
      </c>
      <c r="F442" t="str">
        <f>VLOOKUP($C442,Product_Dim!$A$2:$D$101,3,FALSE)</f>
        <v>Poole PLC</v>
      </c>
      <c r="G442" t="str">
        <f>VLOOKUP($C442,Product_Dim!$A$2:$D$101,2,FALSE)</f>
        <v>Clothing</v>
      </c>
      <c r="H442">
        <v>1</v>
      </c>
      <c r="I442">
        <v>979.49</v>
      </c>
      <c r="J442">
        <v>0.19</v>
      </c>
      <c r="K442" s="3">
        <v>793.38690000000008</v>
      </c>
      <c r="L442" t="s">
        <v>857</v>
      </c>
      <c r="M442" t="str">
        <f>VLOOKUP($E442,Customer_Dim!$A$2:$F$501,3,FALSE)</f>
        <v>Male</v>
      </c>
      <c r="N442" t="str">
        <f>VLOOKUP($E442,Customer_Dim!$A$2:$F$501,5,FALSE)</f>
        <v>USA</v>
      </c>
      <c r="O442" t="str">
        <f>VLOOKUP($E442,Customer_Dim!$A$2:$F$501,6,FALSE)</f>
        <v>Silver</v>
      </c>
      <c r="P442" t="str">
        <f>VLOOKUP($A442,Store_Dim!$A$2:$F$21,3,FALSE)</f>
        <v>NorthSabrinatown</v>
      </c>
    </row>
    <row r="443" spans="1:16" x14ac:dyDescent="0.25">
      <c r="A443" t="s">
        <v>822</v>
      </c>
      <c r="B443" t="s">
        <v>1571</v>
      </c>
      <c r="C443" t="s">
        <v>730</v>
      </c>
      <c r="D443" s="2">
        <v>45625</v>
      </c>
      <c r="E443" t="s">
        <v>132</v>
      </c>
      <c r="F443" t="str">
        <f>VLOOKUP($C443,Product_Dim!$A$2:$D$101,3,FALSE)</f>
        <v>White, Reeves and Woods</v>
      </c>
      <c r="G443" t="str">
        <f>VLOOKUP($C443,Product_Dim!$A$2:$D$101,2,FALSE)</f>
        <v>Electronics</v>
      </c>
      <c r="H443">
        <v>4</v>
      </c>
      <c r="I443">
        <v>453.12</v>
      </c>
      <c r="J443">
        <v>0.23</v>
      </c>
      <c r="K443" s="3">
        <v>1395.6096</v>
      </c>
      <c r="L443" t="s">
        <v>857</v>
      </c>
      <c r="M443" t="str">
        <f>VLOOKUP($E443,Customer_Dim!$A$2:$F$501,3,FALSE)</f>
        <v>Male</v>
      </c>
      <c r="N443" t="str">
        <f>VLOOKUP($E443,Customer_Dim!$A$2:$F$501,5,FALSE)</f>
        <v>USA</v>
      </c>
      <c r="O443" t="str">
        <f>VLOOKUP($E443,Customer_Dim!$A$2:$F$501,6,FALSE)</f>
        <v>Gold</v>
      </c>
      <c r="P443" t="str">
        <f>VLOOKUP($A443,Store_Dim!$A$2:$F$21,3,FALSE)</f>
        <v>NorthSabrinatown</v>
      </c>
    </row>
    <row r="444" spans="1:16" x14ac:dyDescent="0.25">
      <c r="A444" t="s">
        <v>822</v>
      </c>
      <c r="B444" t="s">
        <v>2753</v>
      </c>
      <c r="C444" t="s">
        <v>732</v>
      </c>
      <c r="D444" s="2">
        <v>45525</v>
      </c>
      <c r="E444" t="s">
        <v>111</v>
      </c>
      <c r="F444" t="str">
        <f>VLOOKUP($C444,Product_Dim!$A$2:$D$101,3,FALSE)</f>
        <v>Hernandez Inc</v>
      </c>
      <c r="G444" t="str">
        <f>VLOOKUP($C444,Product_Dim!$A$2:$D$101,2,FALSE)</f>
        <v>Home</v>
      </c>
      <c r="H444">
        <v>1</v>
      </c>
      <c r="I444">
        <v>984.37</v>
      </c>
      <c r="J444">
        <v>0</v>
      </c>
      <c r="K444" s="3">
        <v>984.37</v>
      </c>
      <c r="L444" t="s">
        <v>854</v>
      </c>
      <c r="M444" t="str">
        <f>VLOOKUP($E444,Customer_Dim!$A$2:$F$501,3,FALSE)</f>
        <v>Male</v>
      </c>
      <c r="N444" t="str">
        <f>VLOOKUP($E444,Customer_Dim!$A$2:$F$501,5,FALSE)</f>
        <v>USA</v>
      </c>
      <c r="O444" t="str">
        <f>VLOOKUP($E444,Customer_Dim!$A$2:$F$501,6,FALSE)</f>
        <v>Bronze</v>
      </c>
      <c r="P444" t="str">
        <f>VLOOKUP($A444,Store_Dim!$A$2:$F$21,3,FALSE)</f>
        <v>NorthSabrinatown</v>
      </c>
    </row>
    <row r="445" spans="1:16" x14ac:dyDescent="0.25">
      <c r="A445" t="s">
        <v>822</v>
      </c>
      <c r="B445" t="s">
        <v>1363</v>
      </c>
      <c r="C445" t="s">
        <v>732</v>
      </c>
      <c r="D445" s="2">
        <v>45762</v>
      </c>
      <c r="E445" t="s">
        <v>378</v>
      </c>
      <c r="F445" t="str">
        <f>VLOOKUP($C445,Product_Dim!$A$2:$D$101,3,FALSE)</f>
        <v>Hernandez Inc</v>
      </c>
      <c r="G445" t="str">
        <f>VLOOKUP($C445,Product_Dim!$A$2:$D$101,2,FALSE)</f>
        <v>Home</v>
      </c>
      <c r="H445">
        <v>2</v>
      </c>
      <c r="I445">
        <v>616.97</v>
      </c>
      <c r="J445">
        <v>0.22</v>
      </c>
      <c r="K445" s="3">
        <v>962.47320000000002</v>
      </c>
      <c r="L445" t="s">
        <v>852</v>
      </c>
      <c r="M445" t="str">
        <f>VLOOKUP($E445,Customer_Dim!$A$2:$F$501,3,FALSE)</f>
        <v>Male</v>
      </c>
      <c r="N445" t="str">
        <f>VLOOKUP($E445,Customer_Dim!$A$2:$F$501,5,FALSE)</f>
        <v>USA</v>
      </c>
      <c r="O445" t="str">
        <f>VLOOKUP($E445,Customer_Dim!$A$2:$F$501,6,FALSE)</f>
        <v>Platinum</v>
      </c>
      <c r="P445" t="str">
        <f>VLOOKUP($A445,Store_Dim!$A$2:$F$21,3,FALSE)</f>
        <v>NorthSabrinatown</v>
      </c>
    </row>
    <row r="446" spans="1:16" hidden="1" x14ac:dyDescent="0.25">
      <c r="A446" t="s">
        <v>822</v>
      </c>
      <c r="B446" t="s">
        <v>1298</v>
      </c>
      <c r="C446" t="s">
        <v>732</v>
      </c>
      <c r="D446" s="2">
        <v>45460</v>
      </c>
      <c r="E446" t="s">
        <v>555</v>
      </c>
      <c r="F446" t="str">
        <f>VLOOKUP($C446,Product_Dim!$A$2:$D$101,3,FALSE)</f>
        <v>Hernandez Inc</v>
      </c>
      <c r="G446" t="str">
        <f>VLOOKUP($C446,Product_Dim!$A$2:$D$101,2,FALSE)</f>
        <v>Home</v>
      </c>
      <c r="H446">
        <v>2</v>
      </c>
      <c r="I446">
        <v>130.38999999999999</v>
      </c>
      <c r="J446">
        <v>0.17</v>
      </c>
      <c r="K446" s="3">
        <v>216.44739999999999</v>
      </c>
      <c r="L446" t="s">
        <v>854</v>
      </c>
      <c r="M446" t="str">
        <f>VLOOKUP($E446,Customer_Dim!$A$2:$F$501,3,FALSE)</f>
        <v>Female</v>
      </c>
      <c r="N446" t="str">
        <f>VLOOKUP($E446,Customer_Dim!$A$2:$F$501,5,FALSE)</f>
        <v>USA</v>
      </c>
      <c r="O446" t="str">
        <f>VLOOKUP($E446,Customer_Dim!$A$2:$F$501,6,FALSE)</f>
        <v>Platinum</v>
      </c>
      <c r="P446" t="str">
        <f>VLOOKUP($A446,Store_Dim!$A$2:$F$21,3,FALSE)</f>
        <v>NorthSabrinatown</v>
      </c>
    </row>
    <row r="447" spans="1:16" x14ac:dyDescent="0.25">
      <c r="A447" t="s">
        <v>822</v>
      </c>
      <c r="B447" t="s">
        <v>2775</v>
      </c>
      <c r="C447" t="s">
        <v>734</v>
      </c>
      <c r="D447" s="2">
        <v>45624</v>
      </c>
      <c r="E447" t="s">
        <v>563</v>
      </c>
      <c r="F447" t="str">
        <f>VLOOKUP($C447,Product_Dim!$A$2:$D$101,3,FALSE)</f>
        <v>Ramirez-Hanson</v>
      </c>
      <c r="G447" t="str">
        <f>VLOOKUP($C447,Product_Dim!$A$2:$D$101,2,FALSE)</f>
        <v>Home</v>
      </c>
      <c r="H447">
        <v>4</v>
      </c>
      <c r="I447">
        <v>619.35</v>
      </c>
      <c r="J447">
        <v>0.3</v>
      </c>
      <c r="K447" s="3">
        <v>1734.18</v>
      </c>
      <c r="L447" t="s">
        <v>852</v>
      </c>
      <c r="M447" t="str">
        <f>VLOOKUP($E447,Customer_Dim!$A$2:$F$501,3,FALSE)</f>
        <v>Male</v>
      </c>
      <c r="N447" t="str">
        <f>VLOOKUP($E447,Customer_Dim!$A$2:$F$501,5,FALSE)</f>
        <v>USA</v>
      </c>
      <c r="O447" t="str">
        <f>VLOOKUP($E447,Customer_Dim!$A$2:$F$501,6,FALSE)</f>
        <v>Bronze</v>
      </c>
      <c r="P447" t="str">
        <f>VLOOKUP($A447,Store_Dim!$A$2:$F$21,3,FALSE)</f>
        <v>NorthSabrinatown</v>
      </c>
    </row>
    <row r="448" spans="1:16" x14ac:dyDescent="0.25">
      <c r="A448" t="s">
        <v>822</v>
      </c>
      <c r="B448" t="s">
        <v>956</v>
      </c>
      <c r="C448" t="s">
        <v>736</v>
      </c>
      <c r="D448" s="2">
        <v>45552</v>
      </c>
      <c r="E448" t="s">
        <v>158</v>
      </c>
      <c r="F448" t="str">
        <f>VLOOKUP($C448,Product_Dim!$A$2:$D$101,3,FALSE)</f>
        <v>Allison Ltd</v>
      </c>
      <c r="G448" t="str">
        <f>VLOOKUP($C448,Product_Dim!$A$2:$D$101,2,FALSE)</f>
        <v>Home</v>
      </c>
      <c r="H448">
        <v>2</v>
      </c>
      <c r="I448">
        <v>471.88</v>
      </c>
      <c r="J448">
        <v>0.24</v>
      </c>
      <c r="K448" s="3">
        <v>717.25760000000002</v>
      </c>
      <c r="L448" t="s">
        <v>854</v>
      </c>
      <c r="M448" t="str">
        <f>VLOOKUP($E448,Customer_Dim!$A$2:$F$501,3,FALSE)</f>
        <v>Male</v>
      </c>
      <c r="N448" t="str">
        <f>VLOOKUP($E448,Customer_Dim!$A$2:$F$501,5,FALSE)</f>
        <v>USA</v>
      </c>
      <c r="O448" t="str">
        <f>VLOOKUP($E448,Customer_Dim!$A$2:$F$501,6,FALSE)</f>
        <v>Silver</v>
      </c>
      <c r="P448" t="str">
        <f>VLOOKUP($A448,Store_Dim!$A$2:$F$21,3,FALSE)</f>
        <v>NorthSabrinatown</v>
      </c>
    </row>
    <row r="449" spans="1:16" hidden="1" x14ac:dyDescent="0.25">
      <c r="A449" t="s">
        <v>822</v>
      </c>
      <c r="B449" t="s">
        <v>2695</v>
      </c>
      <c r="C449" t="s">
        <v>738</v>
      </c>
      <c r="D449" s="2">
        <v>45489</v>
      </c>
      <c r="E449" t="s">
        <v>190</v>
      </c>
      <c r="F449" t="str">
        <f>VLOOKUP($C449,Product_Dim!$A$2:$D$101,3,FALSE)</f>
        <v>Robinson-Brown</v>
      </c>
      <c r="G449" t="str">
        <f>VLOOKUP($C449,Product_Dim!$A$2:$D$101,2,FALSE)</f>
        <v>Sports</v>
      </c>
      <c r="H449">
        <v>2</v>
      </c>
      <c r="I449">
        <v>966.71</v>
      </c>
      <c r="J449">
        <v>0.11</v>
      </c>
      <c r="K449" s="3">
        <v>1720.7438</v>
      </c>
      <c r="L449" t="s">
        <v>852</v>
      </c>
      <c r="M449" t="str">
        <f>VLOOKUP($E449,Customer_Dim!$A$2:$F$501,3,FALSE)</f>
        <v>Female</v>
      </c>
      <c r="N449" t="str">
        <f>VLOOKUP($E449,Customer_Dim!$A$2:$F$501,5,FALSE)</f>
        <v>USA</v>
      </c>
      <c r="O449" t="str">
        <f>VLOOKUP($E449,Customer_Dim!$A$2:$F$501,6,FALSE)</f>
        <v>Gold</v>
      </c>
      <c r="P449" t="str">
        <f>VLOOKUP($A449,Store_Dim!$A$2:$F$21,3,FALSE)</f>
        <v>NorthSabrinatown</v>
      </c>
    </row>
    <row r="450" spans="1:16" x14ac:dyDescent="0.25">
      <c r="A450" t="s">
        <v>822</v>
      </c>
      <c r="B450" t="s">
        <v>1432</v>
      </c>
      <c r="C450" t="s">
        <v>738</v>
      </c>
      <c r="D450" s="2">
        <v>45649</v>
      </c>
      <c r="E450" t="s">
        <v>289</v>
      </c>
      <c r="F450" t="str">
        <f>VLOOKUP($C450,Product_Dim!$A$2:$D$101,3,FALSE)</f>
        <v>Robinson-Brown</v>
      </c>
      <c r="G450" t="str">
        <f>VLOOKUP($C450,Product_Dim!$A$2:$D$101,2,FALSE)</f>
        <v>Sports</v>
      </c>
      <c r="H450">
        <v>1</v>
      </c>
      <c r="I450">
        <v>64.94</v>
      </c>
      <c r="J450">
        <v>0.21</v>
      </c>
      <c r="K450" s="3">
        <v>51.302599999999998</v>
      </c>
      <c r="L450" t="s">
        <v>854</v>
      </c>
      <c r="M450" t="str">
        <f>VLOOKUP($E450,Customer_Dim!$A$2:$F$501,3,FALSE)</f>
        <v>Male</v>
      </c>
      <c r="N450" t="str">
        <f>VLOOKUP($E450,Customer_Dim!$A$2:$F$501,5,FALSE)</f>
        <v>USA</v>
      </c>
      <c r="O450" t="str">
        <f>VLOOKUP($E450,Customer_Dim!$A$2:$F$501,6,FALSE)</f>
        <v>Platinum</v>
      </c>
      <c r="P450" t="str">
        <f>VLOOKUP($A450,Store_Dim!$A$2:$F$21,3,FALSE)</f>
        <v>NorthSabrinatown</v>
      </c>
    </row>
    <row r="451" spans="1:16" x14ac:dyDescent="0.25">
      <c r="A451" t="s">
        <v>822</v>
      </c>
      <c r="B451" t="s">
        <v>1936</v>
      </c>
      <c r="C451" t="s">
        <v>742</v>
      </c>
      <c r="D451" s="2">
        <v>45871</v>
      </c>
      <c r="E451" t="s">
        <v>368</v>
      </c>
      <c r="F451" t="str">
        <f>VLOOKUP($C451,Product_Dim!$A$2:$D$101,3,FALSE)</f>
        <v>Butler Group</v>
      </c>
      <c r="G451" t="str">
        <f>VLOOKUP($C451,Product_Dim!$A$2:$D$101,2,FALSE)</f>
        <v>Beauty</v>
      </c>
      <c r="H451">
        <v>3</v>
      </c>
      <c r="I451">
        <v>435.61</v>
      </c>
      <c r="J451">
        <v>0.03</v>
      </c>
      <c r="K451" s="3">
        <v>1267.6251</v>
      </c>
      <c r="L451" t="s">
        <v>854</v>
      </c>
      <c r="M451" t="str">
        <f>VLOOKUP($E451,Customer_Dim!$A$2:$F$501,3,FALSE)</f>
        <v>Male</v>
      </c>
      <c r="N451" t="str">
        <f>VLOOKUP($E451,Customer_Dim!$A$2:$F$501,5,FALSE)</f>
        <v>USA</v>
      </c>
      <c r="O451" t="str">
        <f>VLOOKUP($E451,Customer_Dim!$A$2:$F$501,6,FALSE)</f>
        <v>Gold</v>
      </c>
      <c r="P451" t="str">
        <f>VLOOKUP($A451,Store_Dim!$A$2:$F$21,3,FALSE)</f>
        <v>NorthSabrinatown</v>
      </c>
    </row>
    <row r="452" spans="1:16" hidden="1" x14ac:dyDescent="0.25">
      <c r="A452" t="s">
        <v>822</v>
      </c>
      <c r="B452" t="s">
        <v>1688</v>
      </c>
      <c r="C452" t="s">
        <v>742</v>
      </c>
      <c r="D452" s="2">
        <v>45310</v>
      </c>
      <c r="E452" t="s">
        <v>436</v>
      </c>
      <c r="F452" t="str">
        <f>VLOOKUP($C452,Product_Dim!$A$2:$D$101,3,FALSE)</f>
        <v>Butler Group</v>
      </c>
      <c r="G452" t="str">
        <f>VLOOKUP($C452,Product_Dim!$A$2:$D$101,2,FALSE)</f>
        <v>Beauty</v>
      </c>
      <c r="H452">
        <v>4</v>
      </c>
      <c r="I452">
        <v>354.65</v>
      </c>
      <c r="J452">
        <v>0.19</v>
      </c>
      <c r="K452" s="3">
        <v>1149.066</v>
      </c>
      <c r="L452" t="s">
        <v>852</v>
      </c>
      <c r="M452" t="str">
        <f>VLOOKUP($E452,Customer_Dim!$A$2:$F$501,3,FALSE)</f>
        <v>Female</v>
      </c>
      <c r="N452" t="str">
        <f>VLOOKUP($E452,Customer_Dim!$A$2:$F$501,5,FALSE)</f>
        <v>USA</v>
      </c>
      <c r="O452" t="str">
        <f>VLOOKUP($E452,Customer_Dim!$A$2:$F$501,6,FALSE)</f>
        <v>Platinum</v>
      </c>
      <c r="P452" t="str">
        <f>VLOOKUP($A452,Store_Dim!$A$2:$F$21,3,FALSE)</f>
        <v>NorthSabrinatown</v>
      </c>
    </row>
    <row r="453" spans="1:16" hidden="1" x14ac:dyDescent="0.25">
      <c r="A453" t="s">
        <v>822</v>
      </c>
      <c r="B453" t="s">
        <v>2694</v>
      </c>
      <c r="C453" t="s">
        <v>742</v>
      </c>
      <c r="D453" s="2">
        <v>45853</v>
      </c>
      <c r="E453" t="s">
        <v>495</v>
      </c>
      <c r="F453" t="str">
        <f>VLOOKUP($C453,Product_Dim!$A$2:$D$101,3,FALSE)</f>
        <v>Butler Group</v>
      </c>
      <c r="G453" t="str">
        <f>VLOOKUP($C453,Product_Dim!$A$2:$D$101,2,FALSE)</f>
        <v>Beauty</v>
      </c>
      <c r="H453">
        <v>1</v>
      </c>
      <c r="I453">
        <v>163.19999999999999</v>
      </c>
      <c r="J453">
        <v>0.22</v>
      </c>
      <c r="K453" s="3">
        <v>127.29600000000001</v>
      </c>
      <c r="L453" t="s">
        <v>854</v>
      </c>
      <c r="M453" t="str">
        <f>VLOOKUP($E453,Customer_Dim!$A$2:$F$501,3,FALSE)</f>
        <v>Female</v>
      </c>
      <c r="N453" t="str">
        <f>VLOOKUP($E453,Customer_Dim!$A$2:$F$501,5,FALSE)</f>
        <v>USA</v>
      </c>
      <c r="O453" t="str">
        <f>VLOOKUP($E453,Customer_Dim!$A$2:$F$501,6,FALSE)</f>
        <v>Bronze</v>
      </c>
      <c r="P453" t="str">
        <f>VLOOKUP($A453,Store_Dim!$A$2:$F$21,3,FALSE)</f>
        <v>NorthSabrinatown</v>
      </c>
    </row>
    <row r="454" spans="1:16" x14ac:dyDescent="0.25">
      <c r="A454" t="s">
        <v>822</v>
      </c>
      <c r="B454" t="s">
        <v>1914</v>
      </c>
      <c r="C454" t="s">
        <v>750</v>
      </c>
      <c r="D454" s="2">
        <v>45797</v>
      </c>
      <c r="E454" t="s">
        <v>259</v>
      </c>
      <c r="F454" t="str">
        <f>VLOOKUP($C454,Product_Dim!$A$2:$D$101,3,FALSE)</f>
        <v>Aguilar, Horton and Lewis</v>
      </c>
      <c r="G454" t="str">
        <f>VLOOKUP($C454,Product_Dim!$A$2:$D$101,2,FALSE)</f>
        <v>Home</v>
      </c>
      <c r="H454">
        <v>2</v>
      </c>
      <c r="I454">
        <v>816.22</v>
      </c>
      <c r="J454">
        <v>0.27</v>
      </c>
      <c r="K454" s="3">
        <v>1191.6812</v>
      </c>
      <c r="L454" t="s">
        <v>852</v>
      </c>
      <c r="M454" t="str">
        <f>VLOOKUP($E454,Customer_Dim!$A$2:$F$501,3,FALSE)</f>
        <v>Male</v>
      </c>
      <c r="N454" t="str">
        <f>VLOOKUP($E454,Customer_Dim!$A$2:$F$501,5,FALSE)</f>
        <v>USA</v>
      </c>
      <c r="O454" t="str">
        <f>VLOOKUP($E454,Customer_Dim!$A$2:$F$501,6,FALSE)</f>
        <v>Gold</v>
      </c>
      <c r="P454" t="str">
        <f>VLOOKUP($A454,Store_Dim!$A$2:$F$21,3,FALSE)</f>
        <v>NorthSabrinatown</v>
      </c>
    </row>
    <row r="455" spans="1:16" x14ac:dyDescent="0.25">
      <c r="A455" t="s">
        <v>822</v>
      </c>
      <c r="B455" t="s">
        <v>1124</v>
      </c>
      <c r="C455" t="s">
        <v>754</v>
      </c>
      <c r="D455" s="2">
        <v>45735</v>
      </c>
      <c r="E455" t="s">
        <v>163</v>
      </c>
      <c r="F455" t="str">
        <f>VLOOKUP($C455,Product_Dim!$A$2:$D$101,3,FALSE)</f>
        <v>Taylor-Elliott</v>
      </c>
      <c r="G455" t="str">
        <f>VLOOKUP($C455,Product_Dim!$A$2:$D$101,2,FALSE)</f>
        <v>Beauty</v>
      </c>
      <c r="H455">
        <v>4</v>
      </c>
      <c r="I455">
        <v>461.83</v>
      </c>
      <c r="J455">
        <v>0.28000000000000003</v>
      </c>
      <c r="K455" s="3">
        <v>1330.0704000000001</v>
      </c>
      <c r="L455" t="s">
        <v>854</v>
      </c>
      <c r="M455" t="str">
        <f>VLOOKUP($E455,Customer_Dim!$A$2:$F$501,3,FALSE)</f>
        <v>Male</v>
      </c>
      <c r="N455" t="str">
        <f>VLOOKUP($E455,Customer_Dim!$A$2:$F$501,5,FALSE)</f>
        <v>USA</v>
      </c>
      <c r="O455" t="str">
        <f>VLOOKUP($E455,Customer_Dim!$A$2:$F$501,6,FALSE)</f>
        <v>Gold</v>
      </c>
      <c r="P455" t="str">
        <f>VLOOKUP($A455,Store_Dim!$A$2:$F$21,3,FALSE)</f>
        <v>NorthSabrinatown</v>
      </c>
    </row>
    <row r="456" spans="1:16" hidden="1" x14ac:dyDescent="0.25">
      <c r="A456" t="s">
        <v>822</v>
      </c>
      <c r="B456" t="s">
        <v>917</v>
      </c>
      <c r="C456" t="s">
        <v>754</v>
      </c>
      <c r="D456" s="2">
        <v>45927</v>
      </c>
      <c r="E456" t="s">
        <v>190</v>
      </c>
      <c r="F456" t="str">
        <f>VLOOKUP($C456,Product_Dim!$A$2:$D$101,3,FALSE)</f>
        <v>Taylor-Elliott</v>
      </c>
      <c r="G456" t="str">
        <f>VLOOKUP($C456,Product_Dim!$A$2:$D$101,2,FALSE)</f>
        <v>Beauty</v>
      </c>
      <c r="H456">
        <v>2</v>
      </c>
      <c r="I456">
        <v>121.37</v>
      </c>
      <c r="J456">
        <v>0.05</v>
      </c>
      <c r="K456" s="3">
        <v>230.60300000000001</v>
      </c>
      <c r="L456" t="s">
        <v>852</v>
      </c>
      <c r="M456" t="str">
        <f>VLOOKUP($E456,Customer_Dim!$A$2:$F$501,3,FALSE)</f>
        <v>Female</v>
      </c>
      <c r="N456" t="str">
        <f>VLOOKUP($E456,Customer_Dim!$A$2:$F$501,5,FALSE)</f>
        <v>USA</v>
      </c>
      <c r="O456" t="str">
        <f>VLOOKUP($E456,Customer_Dim!$A$2:$F$501,6,FALSE)</f>
        <v>Gold</v>
      </c>
      <c r="P456" t="str">
        <f>VLOOKUP($A456,Store_Dim!$A$2:$F$21,3,FALSE)</f>
        <v>NorthSabrinatown</v>
      </c>
    </row>
    <row r="457" spans="1:16" x14ac:dyDescent="0.25">
      <c r="A457" t="s">
        <v>822</v>
      </c>
      <c r="B457" t="s">
        <v>2577</v>
      </c>
      <c r="C457" t="s">
        <v>754</v>
      </c>
      <c r="D457" s="2">
        <v>45738</v>
      </c>
      <c r="E457" t="s">
        <v>563</v>
      </c>
      <c r="F457" t="str">
        <f>VLOOKUP($C457,Product_Dim!$A$2:$D$101,3,FALSE)</f>
        <v>Taylor-Elliott</v>
      </c>
      <c r="G457" t="str">
        <f>VLOOKUP($C457,Product_Dim!$A$2:$D$101,2,FALSE)</f>
        <v>Beauty</v>
      </c>
      <c r="H457">
        <v>4</v>
      </c>
      <c r="I457">
        <v>706.67</v>
      </c>
      <c r="J457">
        <v>0.01</v>
      </c>
      <c r="K457" s="3">
        <v>2798.4132</v>
      </c>
      <c r="L457" t="s">
        <v>852</v>
      </c>
      <c r="M457" t="str">
        <f>VLOOKUP($E457,Customer_Dim!$A$2:$F$501,3,FALSE)</f>
        <v>Male</v>
      </c>
      <c r="N457" t="str">
        <f>VLOOKUP($E457,Customer_Dim!$A$2:$F$501,5,FALSE)</f>
        <v>USA</v>
      </c>
      <c r="O457" t="str">
        <f>VLOOKUP($E457,Customer_Dim!$A$2:$F$501,6,FALSE)</f>
        <v>Bronze</v>
      </c>
      <c r="P457" t="str">
        <f>VLOOKUP($A457,Store_Dim!$A$2:$F$21,3,FALSE)</f>
        <v>NorthSabrinatown</v>
      </c>
    </row>
    <row r="458" spans="1:16" x14ac:dyDescent="0.25">
      <c r="A458" t="s">
        <v>822</v>
      </c>
      <c r="B458" t="s">
        <v>1229</v>
      </c>
      <c r="C458" t="s">
        <v>593</v>
      </c>
      <c r="D458" s="2">
        <v>45756</v>
      </c>
      <c r="E458" t="s">
        <v>88</v>
      </c>
      <c r="F458" t="str">
        <f>VLOOKUP($C458,Product_Dim!$A$2:$D$101,3,FALSE)</f>
        <v>Hill PLC</v>
      </c>
      <c r="G458" t="str">
        <f>VLOOKUP($C458,Product_Dim!$A$2:$D$101,2,FALSE)</f>
        <v>Sports</v>
      </c>
      <c r="H458">
        <v>1</v>
      </c>
      <c r="I458">
        <v>306.36</v>
      </c>
      <c r="J458">
        <v>0.01</v>
      </c>
      <c r="K458" s="3">
        <v>303.29640000000001</v>
      </c>
      <c r="L458" t="s">
        <v>854</v>
      </c>
      <c r="M458" t="str">
        <f>VLOOKUP($E458,Customer_Dim!$A$2:$F$501,3,FALSE)</f>
        <v>Male</v>
      </c>
      <c r="N458" t="str">
        <f>VLOOKUP($E458,Customer_Dim!$A$2:$F$501,5,FALSE)</f>
        <v>USA</v>
      </c>
      <c r="O458" t="str">
        <f>VLOOKUP($E458,Customer_Dim!$A$2:$F$501,6,FALSE)</f>
        <v>Bronze</v>
      </c>
      <c r="P458" t="str">
        <f>VLOOKUP($A458,Store_Dim!$A$2:$F$21,3,FALSE)</f>
        <v>NorthSabrinatown</v>
      </c>
    </row>
    <row r="459" spans="1:16" hidden="1" x14ac:dyDescent="0.25">
      <c r="A459" t="s">
        <v>822</v>
      </c>
      <c r="B459" t="s">
        <v>2691</v>
      </c>
      <c r="C459" t="s">
        <v>593</v>
      </c>
      <c r="D459" s="2">
        <v>45392</v>
      </c>
      <c r="E459" t="s">
        <v>116</v>
      </c>
      <c r="F459" t="str">
        <f>VLOOKUP($C459,Product_Dim!$A$2:$D$101,3,FALSE)</f>
        <v>Hill PLC</v>
      </c>
      <c r="G459" t="str">
        <f>VLOOKUP($C459,Product_Dim!$A$2:$D$101,2,FALSE)</f>
        <v>Sports</v>
      </c>
      <c r="H459">
        <v>1</v>
      </c>
      <c r="I459">
        <v>829.83</v>
      </c>
      <c r="J459">
        <v>0.26</v>
      </c>
      <c r="K459" s="3">
        <v>614.07420000000002</v>
      </c>
      <c r="L459" t="s">
        <v>857</v>
      </c>
      <c r="M459" t="str">
        <f>VLOOKUP($E459,Customer_Dim!$A$2:$F$501,3,FALSE)</f>
        <v>Female</v>
      </c>
      <c r="N459" t="str">
        <f>VLOOKUP($E459,Customer_Dim!$A$2:$F$501,5,FALSE)</f>
        <v>USA</v>
      </c>
      <c r="O459" t="str">
        <f>VLOOKUP($E459,Customer_Dim!$A$2:$F$501,6,FALSE)</f>
        <v>Silver</v>
      </c>
      <c r="P459" t="str">
        <f>VLOOKUP($A459,Store_Dim!$A$2:$F$21,3,FALSE)</f>
        <v>NorthSabrinatown</v>
      </c>
    </row>
    <row r="460" spans="1:16" x14ac:dyDescent="0.25">
      <c r="A460" t="s">
        <v>822</v>
      </c>
      <c r="B460" t="s">
        <v>1771</v>
      </c>
      <c r="C460" t="s">
        <v>593</v>
      </c>
      <c r="D460" s="2">
        <v>45428</v>
      </c>
      <c r="E460" t="s">
        <v>264</v>
      </c>
      <c r="F460" t="str">
        <f>VLOOKUP($C460,Product_Dim!$A$2:$D$101,3,FALSE)</f>
        <v>Hill PLC</v>
      </c>
      <c r="G460" t="str">
        <f>VLOOKUP($C460,Product_Dim!$A$2:$D$101,2,FALSE)</f>
        <v>Sports</v>
      </c>
      <c r="H460">
        <v>2</v>
      </c>
      <c r="I460">
        <v>309.77999999999997</v>
      </c>
      <c r="J460">
        <v>0.16</v>
      </c>
      <c r="K460" s="3">
        <v>520.43039999999996</v>
      </c>
      <c r="L460" t="s">
        <v>852</v>
      </c>
      <c r="M460" t="str">
        <f>VLOOKUP($E460,Customer_Dim!$A$2:$F$501,3,FALSE)</f>
        <v>Male</v>
      </c>
      <c r="N460" t="str">
        <f>VLOOKUP($E460,Customer_Dim!$A$2:$F$501,5,FALSE)</f>
        <v>USA</v>
      </c>
      <c r="O460" t="str">
        <f>VLOOKUP($E460,Customer_Dim!$A$2:$F$501,6,FALSE)</f>
        <v>Bronze</v>
      </c>
      <c r="P460" t="str">
        <f>VLOOKUP($A460,Store_Dim!$A$2:$F$21,3,FALSE)</f>
        <v>NorthSabrinatown</v>
      </c>
    </row>
    <row r="461" spans="1:16" x14ac:dyDescent="0.25">
      <c r="A461" t="s">
        <v>822</v>
      </c>
      <c r="B461" t="s">
        <v>1419</v>
      </c>
      <c r="C461" t="s">
        <v>756</v>
      </c>
      <c r="D461" s="2">
        <v>45843</v>
      </c>
      <c r="E461" t="s">
        <v>213</v>
      </c>
      <c r="F461" t="str">
        <f>VLOOKUP($C461,Product_Dim!$A$2:$D$101,3,FALSE)</f>
        <v>Sharp, Taylor and Rodriguez</v>
      </c>
      <c r="G461" t="str">
        <f>VLOOKUP($C461,Product_Dim!$A$2:$D$101,2,FALSE)</f>
        <v>Electronics</v>
      </c>
      <c r="H461">
        <v>1</v>
      </c>
      <c r="I461">
        <v>780.16</v>
      </c>
      <c r="J461">
        <v>0.02</v>
      </c>
      <c r="K461" s="3">
        <v>764.55679999999995</v>
      </c>
      <c r="L461" t="s">
        <v>857</v>
      </c>
      <c r="M461" t="str">
        <f>VLOOKUP($E461,Customer_Dim!$A$2:$F$501,3,FALSE)</f>
        <v>Male</v>
      </c>
      <c r="N461" t="str">
        <f>VLOOKUP($E461,Customer_Dim!$A$2:$F$501,5,FALSE)</f>
        <v>USA</v>
      </c>
      <c r="O461" t="str">
        <f>VLOOKUP($E461,Customer_Dim!$A$2:$F$501,6,FALSE)</f>
        <v>Platinum</v>
      </c>
      <c r="P461" t="str">
        <f>VLOOKUP($A461,Store_Dim!$A$2:$F$21,3,FALSE)</f>
        <v>NorthSabrinatown</v>
      </c>
    </row>
    <row r="462" spans="1:16" x14ac:dyDescent="0.25">
      <c r="A462" t="s">
        <v>822</v>
      </c>
      <c r="B462" t="s">
        <v>1631</v>
      </c>
      <c r="C462" t="s">
        <v>758</v>
      </c>
      <c r="D462" s="2">
        <v>45331</v>
      </c>
      <c r="E462" t="s">
        <v>430</v>
      </c>
      <c r="F462" t="str">
        <f>VLOOKUP($C462,Product_Dim!$A$2:$D$101,3,FALSE)</f>
        <v>Smith-Charles</v>
      </c>
      <c r="G462" t="str">
        <f>VLOOKUP($C462,Product_Dim!$A$2:$D$101,2,FALSE)</f>
        <v>Clothing</v>
      </c>
      <c r="H462">
        <v>2</v>
      </c>
      <c r="I462">
        <v>229.81</v>
      </c>
      <c r="J462">
        <v>0.21</v>
      </c>
      <c r="K462" s="3">
        <v>363.09980000000002</v>
      </c>
      <c r="L462" t="s">
        <v>857</v>
      </c>
      <c r="M462" t="str">
        <f>VLOOKUP($E462,Customer_Dim!$A$2:$F$501,3,FALSE)</f>
        <v>Male</v>
      </c>
      <c r="N462" t="str">
        <f>VLOOKUP($E462,Customer_Dim!$A$2:$F$501,5,FALSE)</f>
        <v>USA</v>
      </c>
      <c r="O462" t="str">
        <f>VLOOKUP($E462,Customer_Dim!$A$2:$F$501,6,FALSE)</f>
        <v>Bronze</v>
      </c>
      <c r="P462" t="str">
        <f>VLOOKUP($A462,Store_Dim!$A$2:$F$21,3,FALSE)</f>
        <v>NorthSabrinatown</v>
      </c>
    </row>
    <row r="463" spans="1:16" hidden="1" x14ac:dyDescent="0.25">
      <c r="A463" t="s">
        <v>822</v>
      </c>
      <c r="B463" t="s">
        <v>2051</v>
      </c>
      <c r="C463" t="s">
        <v>760</v>
      </c>
      <c r="D463" s="2">
        <v>45382</v>
      </c>
      <c r="E463" t="s">
        <v>399</v>
      </c>
      <c r="F463" t="str">
        <f>VLOOKUP($C463,Product_Dim!$A$2:$D$101,3,FALSE)</f>
        <v>Green, Powell and Palmer</v>
      </c>
      <c r="G463" t="str">
        <f>VLOOKUP($C463,Product_Dim!$A$2:$D$101,2,FALSE)</f>
        <v>Home</v>
      </c>
      <c r="H463">
        <v>4</v>
      </c>
      <c r="I463">
        <v>294.38</v>
      </c>
      <c r="J463">
        <v>0.2</v>
      </c>
      <c r="K463" s="3">
        <v>942.01600000000008</v>
      </c>
      <c r="L463" t="s">
        <v>852</v>
      </c>
      <c r="M463" t="str">
        <f>VLOOKUP($E463,Customer_Dim!$A$2:$F$501,3,FALSE)</f>
        <v>Female</v>
      </c>
      <c r="N463" t="str">
        <f>VLOOKUP($E463,Customer_Dim!$A$2:$F$501,5,FALSE)</f>
        <v>USA</v>
      </c>
      <c r="O463" t="str">
        <f>VLOOKUP($E463,Customer_Dim!$A$2:$F$501,6,FALSE)</f>
        <v>Bronze</v>
      </c>
      <c r="P463" t="str">
        <f>VLOOKUP($A463,Store_Dim!$A$2:$F$21,3,FALSE)</f>
        <v>NorthSabrinatown</v>
      </c>
    </row>
    <row r="464" spans="1:16" hidden="1" x14ac:dyDescent="0.25">
      <c r="A464" t="s">
        <v>822</v>
      </c>
      <c r="B464" t="s">
        <v>1371</v>
      </c>
      <c r="C464" t="s">
        <v>762</v>
      </c>
      <c r="D464" s="2">
        <v>45633</v>
      </c>
      <c r="E464" t="s">
        <v>141</v>
      </c>
      <c r="F464" t="str">
        <f>VLOOKUP($C464,Product_Dim!$A$2:$D$101,3,FALSE)</f>
        <v>Martin LLC</v>
      </c>
      <c r="G464" t="str">
        <f>VLOOKUP($C464,Product_Dim!$A$2:$D$101,2,FALSE)</f>
        <v>Electronics</v>
      </c>
      <c r="H464">
        <v>4</v>
      </c>
      <c r="I464">
        <v>828.35</v>
      </c>
      <c r="J464">
        <v>0.17</v>
      </c>
      <c r="K464" s="3">
        <v>2750.1219999999998</v>
      </c>
      <c r="L464" t="s">
        <v>852</v>
      </c>
      <c r="M464" t="str">
        <f>VLOOKUP($E464,Customer_Dim!$A$2:$F$501,3,FALSE)</f>
        <v>Female</v>
      </c>
      <c r="N464" t="str">
        <f>VLOOKUP($E464,Customer_Dim!$A$2:$F$501,5,FALSE)</f>
        <v>USA</v>
      </c>
      <c r="O464" t="str">
        <f>VLOOKUP($E464,Customer_Dim!$A$2:$F$501,6,FALSE)</f>
        <v>Platinum</v>
      </c>
      <c r="P464" t="str">
        <f>VLOOKUP($A464,Store_Dim!$A$2:$F$21,3,FALSE)</f>
        <v>NorthSabrinatown</v>
      </c>
    </row>
    <row r="465" spans="1:16" hidden="1" x14ac:dyDescent="0.25">
      <c r="A465" t="s">
        <v>822</v>
      </c>
      <c r="B465" t="s">
        <v>1009</v>
      </c>
      <c r="C465" t="s">
        <v>762</v>
      </c>
      <c r="D465" s="2">
        <v>45745</v>
      </c>
      <c r="E465" t="s">
        <v>374</v>
      </c>
      <c r="F465" t="str">
        <f>VLOOKUP($C465,Product_Dim!$A$2:$D$101,3,FALSE)</f>
        <v>Martin LLC</v>
      </c>
      <c r="G465" t="str">
        <f>VLOOKUP($C465,Product_Dim!$A$2:$D$101,2,FALSE)</f>
        <v>Electronics</v>
      </c>
      <c r="H465">
        <v>4</v>
      </c>
      <c r="I465">
        <v>986.41</v>
      </c>
      <c r="J465">
        <v>0.22</v>
      </c>
      <c r="K465" s="3">
        <v>3077.5992000000001</v>
      </c>
      <c r="L465" t="s">
        <v>852</v>
      </c>
      <c r="M465" t="str">
        <f>VLOOKUP($E465,Customer_Dim!$A$2:$F$501,3,FALSE)</f>
        <v>Female</v>
      </c>
      <c r="N465" t="str">
        <f>VLOOKUP($E465,Customer_Dim!$A$2:$F$501,5,FALSE)</f>
        <v>USA</v>
      </c>
      <c r="O465" t="str">
        <f>VLOOKUP($E465,Customer_Dim!$A$2:$F$501,6,FALSE)</f>
        <v>Bronze</v>
      </c>
      <c r="P465" t="str">
        <f>VLOOKUP($A465,Store_Dim!$A$2:$F$21,3,FALSE)</f>
        <v>NorthSabrinatown</v>
      </c>
    </row>
    <row r="466" spans="1:16" x14ac:dyDescent="0.25">
      <c r="A466" t="s">
        <v>822</v>
      </c>
      <c r="B466" t="s">
        <v>1222</v>
      </c>
      <c r="C466" t="s">
        <v>762</v>
      </c>
      <c r="D466" s="2">
        <v>45823</v>
      </c>
      <c r="E466" t="s">
        <v>538</v>
      </c>
      <c r="F466" t="str">
        <f>VLOOKUP($C466,Product_Dim!$A$2:$D$101,3,FALSE)</f>
        <v>Martin LLC</v>
      </c>
      <c r="G466" t="str">
        <f>VLOOKUP($C466,Product_Dim!$A$2:$D$101,2,FALSE)</f>
        <v>Electronics</v>
      </c>
      <c r="H466">
        <v>2</v>
      </c>
      <c r="I466">
        <v>121.7</v>
      </c>
      <c r="J466">
        <v>0.06</v>
      </c>
      <c r="K466" s="3">
        <v>228.79599999999999</v>
      </c>
      <c r="L466" t="s">
        <v>857</v>
      </c>
      <c r="M466" t="str">
        <f>VLOOKUP($E466,Customer_Dim!$A$2:$F$501,3,FALSE)</f>
        <v>Male</v>
      </c>
      <c r="N466" t="str">
        <f>VLOOKUP($E466,Customer_Dim!$A$2:$F$501,5,FALSE)</f>
        <v>USA</v>
      </c>
      <c r="O466" t="str">
        <f>VLOOKUP($E466,Customer_Dim!$A$2:$F$501,6,FALSE)</f>
        <v>Platinum</v>
      </c>
      <c r="P466" t="str">
        <f>VLOOKUP($A466,Store_Dim!$A$2:$F$21,3,FALSE)</f>
        <v>NorthSabrinatown</v>
      </c>
    </row>
    <row r="467" spans="1:16" hidden="1" x14ac:dyDescent="0.25">
      <c r="A467" t="s">
        <v>822</v>
      </c>
      <c r="B467" t="s">
        <v>1252</v>
      </c>
      <c r="C467" t="s">
        <v>764</v>
      </c>
      <c r="D467" s="2">
        <v>45844</v>
      </c>
      <c r="E467" t="s">
        <v>271</v>
      </c>
      <c r="F467" t="str">
        <f>VLOOKUP($C467,Product_Dim!$A$2:$D$101,3,FALSE)</f>
        <v>Hoffman-Williams</v>
      </c>
      <c r="G467" t="str">
        <f>VLOOKUP($C467,Product_Dim!$A$2:$D$101,2,FALSE)</f>
        <v>Beauty</v>
      </c>
      <c r="H467">
        <v>2</v>
      </c>
      <c r="I467">
        <v>308.7</v>
      </c>
      <c r="J467">
        <v>0.2</v>
      </c>
      <c r="K467" s="3">
        <v>493.92</v>
      </c>
      <c r="L467" t="s">
        <v>854</v>
      </c>
      <c r="M467" t="str">
        <f>VLOOKUP($E467,Customer_Dim!$A$2:$F$501,3,FALSE)</f>
        <v>Female</v>
      </c>
      <c r="N467" t="str">
        <f>VLOOKUP($E467,Customer_Dim!$A$2:$F$501,5,FALSE)</f>
        <v>USA</v>
      </c>
      <c r="O467" t="str">
        <f>VLOOKUP($E467,Customer_Dim!$A$2:$F$501,6,FALSE)</f>
        <v>Silver</v>
      </c>
      <c r="P467" t="str">
        <f>VLOOKUP($A467,Store_Dim!$A$2:$F$21,3,FALSE)</f>
        <v>NorthSabrinatown</v>
      </c>
    </row>
    <row r="468" spans="1:16" hidden="1" x14ac:dyDescent="0.25">
      <c r="A468" t="s">
        <v>822</v>
      </c>
      <c r="B468" t="s">
        <v>1101</v>
      </c>
      <c r="C468" t="s">
        <v>764</v>
      </c>
      <c r="D468" s="2">
        <v>45729</v>
      </c>
      <c r="E468" t="s">
        <v>502</v>
      </c>
      <c r="F468" t="str">
        <f>VLOOKUP($C468,Product_Dim!$A$2:$D$101,3,FALSE)</f>
        <v>Hoffman-Williams</v>
      </c>
      <c r="G468" t="str">
        <f>VLOOKUP($C468,Product_Dim!$A$2:$D$101,2,FALSE)</f>
        <v>Beauty</v>
      </c>
      <c r="H468">
        <v>1</v>
      </c>
      <c r="I468">
        <v>809.45</v>
      </c>
      <c r="J468">
        <v>0.09</v>
      </c>
      <c r="K468" s="3">
        <v>736.59950000000003</v>
      </c>
      <c r="L468" t="s">
        <v>857</v>
      </c>
      <c r="M468" t="str">
        <f>VLOOKUP($E468,Customer_Dim!$A$2:$F$501,3,FALSE)</f>
        <v>Female</v>
      </c>
      <c r="N468" t="str">
        <f>VLOOKUP($E468,Customer_Dim!$A$2:$F$501,5,FALSE)</f>
        <v>USA</v>
      </c>
      <c r="O468" t="str">
        <f>VLOOKUP($E468,Customer_Dim!$A$2:$F$501,6,FALSE)</f>
        <v>Silver</v>
      </c>
      <c r="P468" t="str">
        <f>VLOOKUP($A468,Store_Dim!$A$2:$F$21,3,FALSE)</f>
        <v>NorthSabrinatown</v>
      </c>
    </row>
    <row r="469" spans="1:16" x14ac:dyDescent="0.25">
      <c r="A469" t="s">
        <v>822</v>
      </c>
      <c r="B469" t="s">
        <v>1752</v>
      </c>
      <c r="C469" t="s">
        <v>764</v>
      </c>
      <c r="D469" s="2">
        <v>45930</v>
      </c>
      <c r="E469" t="s">
        <v>533</v>
      </c>
      <c r="F469" t="str">
        <f>VLOOKUP($C469,Product_Dim!$A$2:$D$101,3,FALSE)</f>
        <v>Hoffman-Williams</v>
      </c>
      <c r="G469" t="str">
        <f>VLOOKUP($C469,Product_Dim!$A$2:$D$101,2,FALSE)</f>
        <v>Beauty</v>
      </c>
      <c r="H469">
        <v>2</v>
      </c>
      <c r="I469">
        <v>451.33</v>
      </c>
      <c r="J469">
        <v>0.23</v>
      </c>
      <c r="K469" s="3">
        <v>695.04819999999995</v>
      </c>
      <c r="L469" t="s">
        <v>857</v>
      </c>
      <c r="M469" t="str">
        <f>VLOOKUP($E469,Customer_Dim!$A$2:$F$501,3,FALSE)</f>
        <v>Male</v>
      </c>
      <c r="N469" t="str">
        <f>VLOOKUP($E469,Customer_Dim!$A$2:$F$501,5,FALSE)</f>
        <v>USA</v>
      </c>
      <c r="O469" t="str">
        <f>VLOOKUP($E469,Customer_Dim!$A$2:$F$501,6,FALSE)</f>
        <v>Silver</v>
      </c>
      <c r="P469" t="str">
        <f>VLOOKUP($A469,Store_Dim!$A$2:$F$21,3,FALSE)</f>
        <v>NorthSabrinatown</v>
      </c>
    </row>
    <row r="470" spans="1:16" hidden="1" x14ac:dyDescent="0.25">
      <c r="A470" t="s">
        <v>822</v>
      </c>
      <c r="B470" t="s">
        <v>2129</v>
      </c>
      <c r="C470" t="s">
        <v>766</v>
      </c>
      <c r="D470" s="2">
        <v>45739</v>
      </c>
      <c r="E470" t="s">
        <v>285</v>
      </c>
      <c r="F470" t="str">
        <f>VLOOKUP($C470,Product_Dim!$A$2:$D$101,3,FALSE)</f>
        <v>Wilson Group</v>
      </c>
      <c r="G470" t="str">
        <f>VLOOKUP($C470,Product_Dim!$A$2:$D$101,2,FALSE)</f>
        <v>Sports</v>
      </c>
      <c r="H470">
        <v>4</v>
      </c>
      <c r="I470">
        <v>816.29</v>
      </c>
      <c r="J470">
        <v>0.24</v>
      </c>
      <c r="K470" s="3">
        <v>2481.5216</v>
      </c>
      <c r="L470" t="s">
        <v>854</v>
      </c>
      <c r="M470" t="str">
        <f>VLOOKUP($E470,Customer_Dim!$A$2:$F$501,3,FALSE)</f>
        <v>Female</v>
      </c>
      <c r="N470" t="str">
        <f>VLOOKUP($E470,Customer_Dim!$A$2:$F$501,5,FALSE)</f>
        <v>usa</v>
      </c>
      <c r="O470" t="str">
        <f>VLOOKUP($E470,Customer_Dim!$A$2:$F$501,6,FALSE)</f>
        <v>Bronze</v>
      </c>
      <c r="P470" t="str">
        <f>VLOOKUP($A470,Store_Dim!$A$2:$F$21,3,FALSE)</f>
        <v>NorthSabrinatown</v>
      </c>
    </row>
    <row r="471" spans="1:16" x14ac:dyDescent="0.25">
      <c r="A471" t="s">
        <v>822</v>
      </c>
      <c r="B471" t="s">
        <v>929</v>
      </c>
      <c r="C471" t="s">
        <v>770</v>
      </c>
      <c r="D471" s="2">
        <v>45500</v>
      </c>
      <c r="E471" t="s">
        <v>75</v>
      </c>
      <c r="F471" t="str">
        <f>VLOOKUP($C471,Product_Dim!$A$2:$D$101,3,FALSE)</f>
        <v>Khan LLC</v>
      </c>
      <c r="G471" t="str">
        <f>VLOOKUP($C471,Product_Dim!$A$2:$D$101,2,FALSE)</f>
        <v>Sports</v>
      </c>
      <c r="H471">
        <v>4</v>
      </c>
      <c r="I471">
        <v>700.18</v>
      </c>
      <c r="J471">
        <v>0.23</v>
      </c>
      <c r="K471" s="3">
        <v>2156.5544</v>
      </c>
      <c r="L471" t="s">
        <v>852</v>
      </c>
      <c r="M471" t="str">
        <f>VLOOKUP($E471,Customer_Dim!$A$2:$F$501,3,FALSE)</f>
        <v>Male</v>
      </c>
      <c r="N471" t="str">
        <f>VLOOKUP($E471,Customer_Dim!$A$2:$F$501,5,FALSE)</f>
        <v>USA</v>
      </c>
      <c r="O471" t="str">
        <f>VLOOKUP($E471,Customer_Dim!$A$2:$F$501,6,FALSE)</f>
        <v>Silver</v>
      </c>
      <c r="P471" t="str">
        <f>VLOOKUP($A471,Store_Dim!$A$2:$F$21,3,FALSE)</f>
        <v>NorthSabrinatown</v>
      </c>
    </row>
    <row r="472" spans="1:16" hidden="1" x14ac:dyDescent="0.25">
      <c r="A472" t="s">
        <v>822</v>
      </c>
      <c r="B472" t="s">
        <v>2121</v>
      </c>
      <c r="C472" t="s">
        <v>770</v>
      </c>
      <c r="D472" s="2">
        <v>45878</v>
      </c>
      <c r="E472" t="s">
        <v>216</v>
      </c>
      <c r="F472" t="str">
        <f>VLOOKUP($C472,Product_Dim!$A$2:$D$101,3,FALSE)</f>
        <v>Khan LLC</v>
      </c>
      <c r="G472" t="str">
        <f>VLOOKUP($C472,Product_Dim!$A$2:$D$101,2,FALSE)</f>
        <v>Sports</v>
      </c>
      <c r="H472">
        <v>4</v>
      </c>
      <c r="I472">
        <v>792.1</v>
      </c>
      <c r="J472">
        <v>0.19</v>
      </c>
      <c r="K472" s="3">
        <v>2566.404</v>
      </c>
      <c r="L472" t="s">
        <v>857</v>
      </c>
      <c r="M472" t="str">
        <f>VLOOKUP($E472,Customer_Dim!$A$2:$F$501,3,FALSE)</f>
        <v>Female</v>
      </c>
      <c r="N472" t="str">
        <f>VLOOKUP($E472,Customer_Dim!$A$2:$F$501,5,FALSE)</f>
        <v>USA</v>
      </c>
      <c r="O472" t="str">
        <f>VLOOKUP($E472,Customer_Dim!$A$2:$F$501,6,FALSE)</f>
        <v>Platinum</v>
      </c>
      <c r="P472" t="str">
        <f>VLOOKUP($A472,Store_Dim!$A$2:$F$21,3,FALSE)</f>
        <v>NorthSabrinatown</v>
      </c>
    </row>
    <row r="473" spans="1:16" x14ac:dyDescent="0.25">
      <c r="A473" t="s">
        <v>822</v>
      </c>
      <c r="B473" t="s">
        <v>2398</v>
      </c>
      <c r="C473" t="s">
        <v>774</v>
      </c>
      <c r="D473" s="2">
        <v>45361</v>
      </c>
      <c r="E473" t="s">
        <v>535</v>
      </c>
      <c r="F473" t="str">
        <f>VLOOKUP($C473,Product_Dim!$A$2:$D$101,3,FALSE)</f>
        <v>Campbell Ltd</v>
      </c>
      <c r="G473" t="str">
        <f>VLOOKUP($C473,Product_Dim!$A$2:$D$101,2,FALSE)</f>
        <v>Home</v>
      </c>
      <c r="H473">
        <v>3</v>
      </c>
      <c r="I473">
        <v>831.15</v>
      </c>
      <c r="J473">
        <v>0.19</v>
      </c>
      <c r="K473" s="3">
        <v>2019.6945000000001</v>
      </c>
      <c r="L473" t="s">
        <v>852</v>
      </c>
      <c r="M473" t="str">
        <f>VLOOKUP($E473,Customer_Dim!$A$2:$F$501,3,FALSE)</f>
        <v>Male</v>
      </c>
      <c r="N473" t="str">
        <f>VLOOKUP($E473,Customer_Dim!$A$2:$F$501,5,FALSE)</f>
        <v>USA</v>
      </c>
      <c r="O473" t="str">
        <f>VLOOKUP($E473,Customer_Dim!$A$2:$F$501,6,FALSE)</f>
        <v>Bronze</v>
      </c>
      <c r="P473" t="str">
        <f>VLOOKUP($A473,Store_Dim!$A$2:$F$21,3,FALSE)</f>
        <v>NorthSabrinatown</v>
      </c>
    </row>
    <row r="474" spans="1:16" hidden="1" x14ac:dyDescent="0.25">
      <c r="A474" t="s">
        <v>825</v>
      </c>
      <c r="B474" t="s">
        <v>2203</v>
      </c>
      <c r="C474" t="s">
        <v>598</v>
      </c>
      <c r="D474" s="2">
        <v>45373</v>
      </c>
      <c r="E474" t="s">
        <v>116</v>
      </c>
      <c r="F474" t="str">
        <f>VLOOKUP($C474,Product_Dim!$A$2:$D$101,3,FALSE)</f>
        <v>Gibson, Hobbs and Weaver</v>
      </c>
      <c r="G474" t="str">
        <f>VLOOKUP($C474,Product_Dim!$A$2:$D$101,2,FALSE)</f>
        <v>Electronics</v>
      </c>
      <c r="H474">
        <v>4</v>
      </c>
      <c r="I474">
        <v>898.58</v>
      </c>
      <c r="J474">
        <v>0.16</v>
      </c>
      <c r="K474" s="3">
        <v>3019.2287999999999</v>
      </c>
      <c r="L474" t="s">
        <v>854</v>
      </c>
      <c r="M474" t="str">
        <f>VLOOKUP($E474,Customer_Dim!$A$2:$F$501,3,FALSE)</f>
        <v>Female</v>
      </c>
      <c r="N474" t="str">
        <f>VLOOKUP($E474,Customer_Dim!$A$2:$F$501,5,FALSE)</f>
        <v>USA</v>
      </c>
      <c r="O474" t="str">
        <f>VLOOKUP($E474,Customer_Dim!$A$2:$F$501,6,FALSE)</f>
        <v>Silver</v>
      </c>
      <c r="P474" t="str">
        <f>VLOOKUP($A474,Store_Dim!$A$2:$F$21,3,FALSE)</f>
        <v>EastJohnsonville</v>
      </c>
    </row>
    <row r="475" spans="1:16" hidden="1" x14ac:dyDescent="0.25">
      <c r="A475" t="s">
        <v>825</v>
      </c>
      <c r="B475" t="s">
        <v>1136</v>
      </c>
      <c r="C475" t="s">
        <v>598</v>
      </c>
      <c r="D475" s="2">
        <v>45829</v>
      </c>
      <c r="E475" t="s">
        <v>328</v>
      </c>
      <c r="F475" t="str">
        <f>VLOOKUP($C475,Product_Dim!$A$2:$D$101,3,FALSE)</f>
        <v>Gibson, Hobbs and Weaver</v>
      </c>
      <c r="G475" t="str">
        <f>VLOOKUP($C475,Product_Dim!$A$2:$D$101,2,FALSE)</f>
        <v>Electronics</v>
      </c>
      <c r="H475">
        <v>3</v>
      </c>
      <c r="I475">
        <v>697.13</v>
      </c>
      <c r="J475">
        <v>0.25</v>
      </c>
      <c r="K475" s="3">
        <v>1568.5425</v>
      </c>
      <c r="L475" t="s">
        <v>857</v>
      </c>
      <c r="M475" t="str">
        <f>VLOOKUP($E475,Customer_Dim!$A$2:$F$501,3,FALSE)</f>
        <v>Female</v>
      </c>
      <c r="N475" t="str">
        <f>VLOOKUP($E475,Customer_Dim!$A$2:$F$501,5,FALSE)</f>
        <v>USA</v>
      </c>
      <c r="O475" t="str">
        <f>VLOOKUP($E475,Customer_Dim!$A$2:$F$501,6,FALSE)</f>
        <v>Silver</v>
      </c>
      <c r="P475" t="str">
        <f>VLOOKUP($A475,Store_Dim!$A$2:$F$21,3,FALSE)</f>
        <v>EastJohnsonville</v>
      </c>
    </row>
    <row r="476" spans="1:16" hidden="1" x14ac:dyDescent="0.25">
      <c r="A476" t="s">
        <v>825</v>
      </c>
      <c r="B476" t="s">
        <v>1412</v>
      </c>
      <c r="C476" t="s">
        <v>602</v>
      </c>
      <c r="D476" s="2">
        <v>45840</v>
      </c>
      <c r="E476" t="s">
        <v>167</v>
      </c>
      <c r="F476" t="str">
        <f>VLOOKUP($C476,Product_Dim!$A$2:$D$101,3,FALSE)</f>
        <v>Dawson-Perkins</v>
      </c>
      <c r="G476" t="str">
        <f>VLOOKUP($C476,Product_Dim!$A$2:$D$101,2,FALSE)</f>
        <v>Electronics</v>
      </c>
      <c r="H476">
        <v>4</v>
      </c>
      <c r="I476">
        <v>539.48</v>
      </c>
      <c r="J476">
        <v>0.28000000000000003</v>
      </c>
      <c r="K476" s="3">
        <v>1553.7023999999999</v>
      </c>
      <c r="L476" t="s">
        <v>857</v>
      </c>
      <c r="M476" t="str">
        <f>VLOOKUP($E476,Customer_Dim!$A$2:$F$501,3,FALSE)</f>
        <v>Female</v>
      </c>
      <c r="N476" t="str">
        <f>VLOOKUP($E476,Customer_Dim!$A$2:$F$501,5,FALSE)</f>
        <v>USA</v>
      </c>
      <c r="O476" t="str">
        <f>VLOOKUP($E476,Customer_Dim!$A$2:$F$501,6,FALSE)</f>
        <v>Gold</v>
      </c>
      <c r="P476" t="str">
        <f>VLOOKUP($A476,Store_Dim!$A$2:$F$21,3,FALSE)</f>
        <v>EastJohnsonville</v>
      </c>
    </row>
    <row r="477" spans="1:16" x14ac:dyDescent="0.25">
      <c r="A477" t="s">
        <v>825</v>
      </c>
      <c r="B477" t="s">
        <v>2467</v>
      </c>
      <c r="C477" t="s">
        <v>608</v>
      </c>
      <c r="D477" s="2">
        <v>45523</v>
      </c>
      <c r="E477" t="s">
        <v>269</v>
      </c>
      <c r="F477" t="str">
        <f>VLOOKUP($C477,Product_Dim!$A$2:$D$101,3,FALSE)</f>
        <v>Erickson-Green</v>
      </c>
      <c r="G477" t="str">
        <f>VLOOKUP($C477,Product_Dim!$A$2:$D$101,2,FALSE)</f>
        <v>Beauty</v>
      </c>
      <c r="H477">
        <v>3</v>
      </c>
      <c r="I477">
        <v>63.19</v>
      </c>
      <c r="J477">
        <v>0.08</v>
      </c>
      <c r="K477" s="3">
        <v>174.40440000000001</v>
      </c>
      <c r="L477" t="s">
        <v>852</v>
      </c>
      <c r="M477" t="str">
        <f>VLOOKUP($E477,Customer_Dim!$A$2:$F$501,3,FALSE)</f>
        <v>Male</v>
      </c>
      <c r="N477" t="str">
        <f>VLOOKUP($E477,Customer_Dim!$A$2:$F$501,5,FALSE)</f>
        <v>USA</v>
      </c>
      <c r="O477" t="str">
        <f>VLOOKUP($E477,Customer_Dim!$A$2:$F$501,6,FALSE)</f>
        <v>Platinum</v>
      </c>
      <c r="P477" t="str">
        <f>VLOOKUP($A477,Store_Dim!$A$2:$F$21,3,FALSE)</f>
        <v>EastJohnsonville</v>
      </c>
    </row>
    <row r="478" spans="1:16" x14ac:dyDescent="0.25">
      <c r="A478" t="s">
        <v>825</v>
      </c>
      <c r="B478" t="s">
        <v>1999</v>
      </c>
      <c r="C478" t="s">
        <v>608</v>
      </c>
      <c r="D478" s="2">
        <v>45821</v>
      </c>
      <c r="E478" t="s">
        <v>499</v>
      </c>
      <c r="F478" t="str">
        <f>VLOOKUP($C478,Product_Dim!$A$2:$D$101,3,FALSE)</f>
        <v>Erickson-Green</v>
      </c>
      <c r="G478" t="str">
        <f>VLOOKUP($C478,Product_Dim!$A$2:$D$101,2,FALSE)</f>
        <v>Beauty</v>
      </c>
      <c r="H478">
        <v>4</v>
      </c>
      <c r="I478">
        <v>254.71</v>
      </c>
      <c r="J478">
        <v>0.2</v>
      </c>
      <c r="K478" s="3">
        <v>815.07200000000012</v>
      </c>
      <c r="L478" t="s">
        <v>857</v>
      </c>
      <c r="M478" t="str">
        <f>VLOOKUP($E478,Customer_Dim!$A$2:$F$501,3,FALSE)</f>
        <v>Male</v>
      </c>
      <c r="N478" t="str">
        <f>VLOOKUP($E478,Customer_Dim!$A$2:$F$501,5,FALSE)</f>
        <v>USA</v>
      </c>
      <c r="O478" t="str">
        <f>VLOOKUP($E478,Customer_Dim!$A$2:$F$501,6,FALSE)</f>
        <v>Bronze</v>
      </c>
      <c r="P478" t="str">
        <f>VLOOKUP($A478,Store_Dim!$A$2:$F$21,3,FALSE)</f>
        <v>EastJohnsonville</v>
      </c>
    </row>
    <row r="479" spans="1:16" hidden="1" x14ac:dyDescent="0.25">
      <c r="A479" t="s">
        <v>825</v>
      </c>
      <c r="B479" t="s">
        <v>2224</v>
      </c>
      <c r="C479" t="s">
        <v>612</v>
      </c>
      <c r="D479" s="2">
        <v>45396</v>
      </c>
      <c r="E479" t="s">
        <v>183</v>
      </c>
      <c r="F479" t="str">
        <f>VLOOKUP($C479,Product_Dim!$A$2:$D$101,3,FALSE)</f>
        <v>Guerra-Hendrix</v>
      </c>
      <c r="G479" t="str">
        <f>VLOOKUP($C479,Product_Dim!$A$2:$D$101,2,FALSE)</f>
        <v>Clothing</v>
      </c>
      <c r="H479">
        <v>3</v>
      </c>
      <c r="I479">
        <v>928.74</v>
      </c>
      <c r="J479">
        <v>0.27</v>
      </c>
      <c r="K479" s="3">
        <v>2033.9405999999999</v>
      </c>
      <c r="L479" t="s">
        <v>854</v>
      </c>
      <c r="M479" t="str">
        <f>VLOOKUP($E479,Customer_Dim!$A$2:$F$501,3,FALSE)</f>
        <v>Female</v>
      </c>
      <c r="N479" t="str">
        <f>VLOOKUP($E479,Customer_Dim!$A$2:$F$501,5,FALSE)</f>
        <v>USA</v>
      </c>
      <c r="O479" t="str">
        <f>VLOOKUP($E479,Customer_Dim!$A$2:$F$501,6,FALSE)</f>
        <v>Platinum</v>
      </c>
      <c r="P479" t="str">
        <f>VLOOKUP($A479,Store_Dim!$A$2:$F$21,3,FALSE)</f>
        <v>EastJohnsonville</v>
      </c>
    </row>
    <row r="480" spans="1:16" x14ac:dyDescent="0.25">
      <c r="A480" t="s">
        <v>825</v>
      </c>
      <c r="B480" t="s">
        <v>1832</v>
      </c>
      <c r="C480" t="s">
        <v>614</v>
      </c>
      <c r="D480" s="2">
        <v>45737</v>
      </c>
      <c r="E480" t="s">
        <v>365</v>
      </c>
      <c r="F480" t="str">
        <f>VLOOKUP($C480,Product_Dim!$A$2:$D$101,3,FALSE)</f>
        <v>May-Reese</v>
      </c>
      <c r="G480" t="str">
        <f>VLOOKUP($C480,Product_Dim!$A$2:$D$101,2,FALSE)</f>
        <v>Sports</v>
      </c>
      <c r="H480">
        <v>3</v>
      </c>
      <c r="I480">
        <v>677.46</v>
      </c>
      <c r="J480">
        <v>0.05</v>
      </c>
      <c r="K480" s="3">
        <v>1930.761</v>
      </c>
      <c r="L480" t="s">
        <v>852</v>
      </c>
      <c r="M480" t="str">
        <f>VLOOKUP($E480,Customer_Dim!$A$2:$F$501,3,FALSE)</f>
        <v>Male</v>
      </c>
      <c r="N480" t="str">
        <f>VLOOKUP($E480,Customer_Dim!$A$2:$F$501,5,FALSE)</f>
        <v>USA</v>
      </c>
      <c r="O480" t="str">
        <f>VLOOKUP($E480,Customer_Dim!$A$2:$F$501,6,FALSE)</f>
        <v>Platinum</v>
      </c>
      <c r="P480" t="str">
        <f>VLOOKUP($A480,Store_Dim!$A$2:$F$21,3,FALSE)</f>
        <v>EastJohnsonville</v>
      </c>
    </row>
    <row r="481" spans="1:16" hidden="1" x14ac:dyDescent="0.25">
      <c r="A481" t="s">
        <v>825</v>
      </c>
      <c r="B481" t="s">
        <v>2781</v>
      </c>
      <c r="C481" t="s">
        <v>614</v>
      </c>
      <c r="D481" s="2">
        <v>45545</v>
      </c>
      <c r="E481" t="s">
        <v>544</v>
      </c>
      <c r="F481" t="str">
        <f>VLOOKUP($C481,Product_Dim!$A$2:$D$101,3,FALSE)</f>
        <v>May-Reese</v>
      </c>
      <c r="G481" t="str">
        <f>VLOOKUP($C481,Product_Dim!$A$2:$D$101,2,FALSE)</f>
        <v>Sports</v>
      </c>
      <c r="H481">
        <v>3</v>
      </c>
      <c r="I481">
        <v>941.85</v>
      </c>
      <c r="J481">
        <v>0.16</v>
      </c>
      <c r="K481" s="3">
        <v>2373.462</v>
      </c>
      <c r="L481" t="s">
        <v>854</v>
      </c>
      <c r="M481" t="str">
        <f>VLOOKUP($E481,Customer_Dim!$A$2:$F$501,3,FALSE)</f>
        <v>Female</v>
      </c>
      <c r="N481" t="str">
        <f>VLOOKUP($E481,Customer_Dim!$A$2:$F$501,5,FALSE)</f>
        <v>USA</v>
      </c>
      <c r="O481" t="str">
        <f>VLOOKUP($E481,Customer_Dim!$A$2:$F$501,6,FALSE)</f>
        <v>Platinum</v>
      </c>
      <c r="P481" t="str">
        <f>VLOOKUP($A481,Store_Dim!$A$2:$F$21,3,FALSE)</f>
        <v>EastJohnsonville</v>
      </c>
    </row>
    <row r="482" spans="1:16" hidden="1" x14ac:dyDescent="0.25">
      <c r="A482" t="s">
        <v>825</v>
      </c>
      <c r="B482" t="s">
        <v>2369</v>
      </c>
      <c r="C482" t="s">
        <v>616</v>
      </c>
      <c r="D482" s="2">
        <v>45504</v>
      </c>
      <c r="E482" t="s">
        <v>489</v>
      </c>
      <c r="F482" t="str">
        <f>VLOOKUP($C482,Product_Dim!$A$2:$D$101,3,FALSE)</f>
        <v>Soto-Ellis</v>
      </c>
      <c r="G482" t="str">
        <f>VLOOKUP($C482,Product_Dim!$A$2:$D$101,2,FALSE)</f>
        <v>Sports</v>
      </c>
      <c r="H482">
        <v>1</v>
      </c>
      <c r="I482">
        <v>136.12</v>
      </c>
      <c r="J482">
        <v>7.0000000000000007E-2</v>
      </c>
      <c r="K482" s="3">
        <v>126.5916</v>
      </c>
      <c r="L482" t="s">
        <v>852</v>
      </c>
      <c r="M482" t="str">
        <f>VLOOKUP($E482,Customer_Dim!$A$2:$F$501,3,FALSE)</f>
        <v>Female</v>
      </c>
      <c r="N482" t="str">
        <f>VLOOKUP($E482,Customer_Dim!$A$2:$F$501,5,FALSE)</f>
        <v>USA</v>
      </c>
      <c r="O482" t="str">
        <f>VLOOKUP($E482,Customer_Dim!$A$2:$F$501,6,FALSE)</f>
        <v>Platinum</v>
      </c>
      <c r="P482" t="str">
        <f>VLOOKUP($A482,Store_Dim!$A$2:$F$21,3,FALSE)</f>
        <v>EastJohnsonville</v>
      </c>
    </row>
    <row r="483" spans="1:16" x14ac:dyDescent="0.25">
      <c r="A483" t="s">
        <v>825</v>
      </c>
      <c r="B483" t="s">
        <v>2666</v>
      </c>
      <c r="C483" t="s">
        <v>618</v>
      </c>
      <c r="D483" s="2">
        <v>45334</v>
      </c>
      <c r="E483" t="s">
        <v>108</v>
      </c>
      <c r="F483" t="str">
        <f>VLOOKUP($C483,Product_Dim!$A$2:$D$101,3,FALSE)</f>
        <v>Gardner-Montes</v>
      </c>
      <c r="G483" t="str">
        <f>VLOOKUP($C483,Product_Dim!$A$2:$D$101,2,FALSE)</f>
        <v>Home</v>
      </c>
      <c r="H483">
        <v>2</v>
      </c>
      <c r="I483">
        <v>960.41</v>
      </c>
      <c r="J483">
        <v>0.18</v>
      </c>
      <c r="K483" s="3">
        <v>1575.0724</v>
      </c>
      <c r="L483" t="s">
        <v>852</v>
      </c>
      <c r="M483" t="str">
        <f>VLOOKUP($E483,Customer_Dim!$A$2:$F$501,3,FALSE)</f>
        <v>Male</v>
      </c>
      <c r="N483" t="str">
        <f>VLOOKUP($E483,Customer_Dim!$A$2:$F$501,5,FALSE)</f>
        <v>USA</v>
      </c>
      <c r="O483" t="str">
        <f>VLOOKUP($E483,Customer_Dim!$A$2:$F$501,6,FALSE)</f>
        <v>Platinum</v>
      </c>
      <c r="P483" t="str">
        <f>VLOOKUP($A483,Store_Dim!$A$2:$F$21,3,FALSE)</f>
        <v>EastJohnsonville</v>
      </c>
    </row>
    <row r="484" spans="1:16" hidden="1" x14ac:dyDescent="0.25">
      <c r="A484" t="s">
        <v>825</v>
      </c>
      <c r="B484" t="s">
        <v>1251</v>
      </c>
      <c r="C484" t="s">
        <v>618</v>
      </c>
      <c r="D484" s="2">
        <v>45929</v>
      </c>
      <c r="E484" t="s">
        <v>232</v>
      </c>
      <c r="F484" t="str">
        <f>VLOOKUP($C484,Product_Dim!$A$2:$D$101,3,FALSE)</f>
        <v>Gardner-Montes</v>
      </c>
      <c r="G484" t="str">
        <f>VLOOKUP($C484,Product_Dim!$A$2:$D$101,2,FALSE)</f>
        <v>Home</v>
      </c>
      <c r="H484">
        <v>3</v>
      </c>
      <c r="I484">
        <v>977.47</v>
      </c>
      <c r="J484">
        <v>0.05</v>
      </c>
      <c r="K484" s="3">
        <v>2785.7894999999999</v>
      </c>
      <c r="L484" t="s">
        <v>852</v>
      </c>
      <c r="M484" t="str">
        <f>VLOOKUP($E484,Customer_Dim!$A$2:$F$501,3,FALSE)</f>
        <v>Female</v>
      </c>
      <c r="N484" t="str">
        <f>VLOOKUP($E484,Customer_Dim!$A$2:$F$501,5,FALSE)</f>
        <v>USA</v>
      </c>
      <c r="O484" t="str">
        <f>VLOOKUP($E484,Customer_Dim!$A$2:$F$501,6,FALSE)</f>
        <v>Platinum</v>
      </c>
      <c r="P484" t="str">
        <f>VLOOKUP($A484,Store_Dim!$A$2:$F$21,3,FALSE)</f>
        <v>EastJohnsonville</v>
      </c>
    </row>
    <row r="485" spans="1:16" x14ac:dyDescent="0.25">
      <c r="A485" t="s">
        <v>825</v>
      </c>
      <c r="B485" t="s">
        <v>962</v>
      </c>
      <c r="C485" t="s">
        <v>620</v>
      </c>
      <c r="D485" s="2">
        <v>45785</v>
      </c>
      <c r="E485" t="s">
        <v>82</v>
      </c>
      <c r="F485" t="str">
        <f>VLOOKUP($C485,Product_Dim!$A$2:$D$101,3,FALSE)</f>
        <v>Flores, Pineda and Rodriguez</v>
      </c>
      <c r="G485" t="str">
        <f>VLOOKUP($C485,Product_Dim!$A$2:$D$101,2,FALSE)</f>
        <v>Sports</v>
      </c>
      <c r="H485">
        <v>3</v>
      </c>
      <c r="I485">
        <v>815.3</v>
      </c>
      <c r="J485">
        <v>0.03</v>
      </c>
      <c r="K485" s="3">
        <v>2372.5230000000001</v>
      </c>
      <c r="L485" t="s">
        <v>852</v>
      </c>
      <c r="M485" t="str">
        <f>VLOOKUP($E485,Customer_Dim!$A$2:$F$501,3,FALSE)</f>
        <v>Male</v>
      </c>
      <c r="N485" t="str">
        <f>VLOOKUP($E485,Customer_Dim!$A$2:$F$501,5,FALSE)</f>
        <v>USA</v>
      </c>
      <c r="O485" t="str">
        <f>VLOOKUP($E485,Customer_Dim!$A$2:$F$501,6,FALSE)</f>
        <v>Platinum</v>
      </c>
      <c r="P485" t="str">
        <f>VLOOKUP($A485,Store_Dim!$A$2:$F$21,3,FALSE)</f>
        <v>EastJohnsonville</v>
      </c>
    </row>
    <row r="486" spans="1:16" hidden="1" x14ac:dyDescent="0.25">
      <c r="A486" t="s">
        <v>825</v>
      </c>
      <c r="B486" t="s">
        <v>1841</v>
      </c>
      <c r="C486" t="s">
        <v>626</v>
      </c>
      <c r="D486" s="2">
        <v>45578</v>
      </c>
      <c r="E486" t="s">
        <v>61</v>
      </c>
      <c r="F486" t="str">
        <f>VLOOKUP($C486,Product_Dim!$A$2:$D$101,3,FALSE)</f>
        <v>Brown and Sons</v>
      </c>
      <c r="G486" t="str">
        <f>VLOOKUP($C486,Product_Dim!$A$2:$D$101,2,FALSE)</f>
        <v>Clothing</v>
      </c>
      <c r="H486">
        <v>1</v>
      </c>
      <c r="I486">
        <v>531.99</v>
      </c>
      <c r="J486">
        <v>0.17</v>
      </c>
      <c r="K486" s="3">
        <v>441.55169999999998</v>
      </c>
      <c r="L486" t="s">
        <v>854</v>
      </c>
      <c r="M486" t="str">
        <f>VLOOKUP($E486,Customer_Dim!$A$2:$F$501,3,FALSE)</f>
        <v>Female</v>
      </c>
      <c r="N486" t="str">
        <f>VLOOKUP($E486,Customer_Dim!$A$2:$F$501,5,FALSE)</f>
        <v>USA</v>
      </c>
      <c r="O486" t="str">
        <f>VLOOKUP($E486,Customer_Dim!$A$2:$F$501,6,FALSE)</f>
        <v>Gold</v>
      </c>
      <c r="P486" t="str">
        <f>VLOOKUP($A486,Store_Dim!$A$2:$F$21,3,FALSE)</f>
        <v>EastJohnsonville</v>
      </c>
    </row>
    <row r="487" spans="1:16" hidden="1" x14ac:dyDescent="0.25">
      <c r="A487" t="s">
        <v>825</v>
      </c>
      <c r="B487" t="s">
        <v>955</v>
      </c>
      <c r="C487" t="s">
        <v>626</v>
      </c>
      <c r="D487" s="2">
        <v>45453</v>
      </c>
      <c r="E487" t="s">
        <v>141</v>
      </c>
      <c r="F487" t="str">
        <f>VLOOKUP($C487,Product_Dim!$A$2:$D$101,3,FALSE)</f>
        <v>Brown and Sons</v>
      </c>
      <c r="G487" t="str">
        <f>VLOOKUP($C487,Product_Dim!$A$2:$D$101,2,FALSE)</f>
        <v>Clothing</v>
      </c>
      <c r="H487">
        <v>3</v>
      </c>
      <c r="I487">
        <v>359.56</v>
      </c>
      <c r="J487">
        <v>0.17</v>
      </c>
      <c r="K487" s="3">
        <v>895.30439999999999</v>
      </c>
      <c r="L487" t="s">
        <v>854</v>
      </c>
      <c r="M487" t="str">
        <f>VLOOKUP($E487,Customer_Dim!$A$2:$F$501,3,FALSE)</f>
        <v>Female</v>
      </c>
      <c r="N487" t="str">
        <f>VLOOKUP($E487,Customer_Dim!$A$2:$F$501,5,FALSE)</f>
        <v>USA</v>
      </c>
      <c r="O487" t="str">
        <f>VLOOKUP($E487,Customer_Dim!$A$2:$F$501,6,FALSE)</f>
        <v>Platinum</v>
      </c>
      <c r="P487" t="str">
        <f>VLOOKUP($A487,Store_Dim!$A$2:$F$21,3,FALSE)</f>
        <v>EastJohnsonville</v>
      </c>
    </row>
    <row r="488" spans="1:16" hidden="1" x14ac:dyDescent="0.25">
      <c r="A488" t="s">
        <v>825</v>
      </c>
      <c r="B488" t="s">
        <v>2408</v>
      </c>
      <c r="C488" t="s">
        <v>626</v>
      </c>
      <c r="D488" s="2">
        <v>45338</v>
      </c>
      <c r="E488" t="s">
        <v>324</v>
      </c>
      <c r="F488" t="str">
        <f>VLOOKUP($C488,Product_Dim!$A$2:$D$101,3,FALSE)</f>
        <v>Brown and Sons</v>
      </c>
      <c r="G488" t="str">
        <f>VLOOKUP($C488,Product_Dim!$A$2:$D$101,2,FALSE)</f>
        <v>Clothing</v>
      </c>
      <c r="H488">
        <v>2</v>
      </c>
      <c r="I488">
        <v>388.34</v>
      </c>
      <c r="J488">
        <v>0.09</v>
      </c>
      <c r="K488" s="3">
        <v>706.77879999999993</v>
      </c>
      <c r="L488" t="s">
        <v>854</v>
      </c>
      <c r="M488" t="str">
        <f>VLOOKUP($E488,Customer_Dim!$A$2:$F$501,3,FALSE)</f>
        <v>Female</v>
      </c>
      <c r="N488" t="str">
        <f>VLOOKUP($E488,Customer_Dim!$A$2:$F$501,5,FALSE)</f>
        <v>USA</v>
      </c>
      <c r="O488" t="str">
        <f>VLOOKUP($E488,Customer_Dim!$A$2:$F$501,6,FALSE)</f>
        <v>Platinum</v>
      </c>
      <c r="P488" t="str">
        <f>VLOOKUP($A488,Store_Dim!$A$2:$F$21,3,FALSE)</f>
        <v>EastJohnsonville</v>
      </c>
    </row>
    <row r="489" spans="1:16" hidden="1" x14ac:dyDescent="0.25">
      <c r="A489" t="s">
        <v>825</v>
      </c>
      <c r="B489" t="s">
        <v>1874</v>
      </c>
      <c r="C489" t="s">
        <v>626</v>
      </c>
      <c r="D489" s="2">
        <v>45322</v>
      </c>
      <c r="E489" t="s">
        <v>531</v>
      </c>
      <c r="F489" t="str">
        <f>VLOOKUP($C489,Product_Dim!$A$2:$D$101,3,FALSE)</f>
        <v>Brown and Sons</v>
      </c>
      <c r="G489" t="str">
        <f>VLOOKUP($C489,Product_Dim!$A$2:$D$101,2,FALSE)</f>
        <v>Clothing</v>
      </c>
      <c r="H489">
        <v>1</v>
      </c>
      <c r="I489">
        <v>963.76</v>
      </c>
      <c r="J489">
        <v>0.14000000000000001</v>
      </c>
      <c r="K489" s="3">
        <v>828.83359999999993</v>
      </c>
      <c r="L489" t="s">
        <v>854</v>
      </c>
      <c r="M489" t="str">
        <f>VLOOKUP($E489,Customer_Dim!$A$2:$F$501,3,FALSE)</f>
        <v>Female</v>
      </c>
      <c r="N489" t="str">
        <f>VLOOKUP($E489,Customer_Dim!$A$2:$F$501,5,FALSE)</f>
        <v>USA</v>
      </c>
      <c r="O489" t="str">
        <f>VLOOKUP($E489,Customer_Dim!$A$2:$F$501,6,FALSE)</f>
        <v>Platinum</v>
      </c>
      <c r="P489" t="str">
        <f>VLOOKUP($A489,Store_Dim!$A$2:$F$21,3,FALSE)</f>
        <v>EastJohnsonville</v>
      </c>
    </row>
    <row r="490" spans="1:16" hidden="1" x14ac:dyDescent="0.25">
      <c r="A490" t="s">
        <v>825</v>
      </c>
      <c r="B490" t="s">
        <v>1203</v>
      </c>
      <c r="C490" t="s">
        <v>630</v>
      </c>
      <c r="D490" s="2">
        <v>45748</v>
      </c>
      <c r="E490" t="s">
        <v>379</v>
      </c>
      <c r="F490" t="str">
        <f>VLOOKUP($C490,Product_Dim!$A$2:$D$101,3,FALSE)</f>
        <v>Khan, Jones and Paul</v>
      </c>
      <c r="G490" t="str">
        <f>VLOOKUP($C490,Product_Dim!$A$2:$D$101,2,FALSE)</f>
        <v>Home</v>
      </c>
      <c r="H490">
        <v>2</v>
      </c>
      <c r="I490">
        <v>563.29999999999995</v>
      </c>
      <c r="J490">
        <v>0.26</v>
      </c>
      <c r="K490" s="3">
        <v>833.68399999999997</v>
      </c>
      <c r="L490" t="s">
        <v>852</v>
      </c>
      <c r="M490" t="str">
        <f>VLOOKUP($E490,Customer_Dim!$A$2:$F$501,3,FALSE)</f>
        <v>Female</v>
      </c>
      <c r="N490" t="str">
        <f>VLOOKUP($E490,Customer_Dim!$A$2:$F$501,5,FALSE)</f>
        <v>USA</v>
      </c>
      <c r="O490" t="str">
        <f>VLOOKUP($E490,Customer_Dim!$A$2:$F$501,6,FALSE)</f>
        <v>Silver</v>
      </c>
      <c r="P490" t="str">
        <f>VLOOKUP($A490,Store_Dim!$A$2:$F$21,3,FALSE)</f>
        <v>EastJohnsonville</v>
      </c>
    </row>
    <row r="491" spans="1:16" x14ac:dyDescent="0.25">
      <c r="A491" t="s">
        <v>825</v>
      </c>
      <c r="B491" t="s">
        <v>1447</v>
      </c>
      <c r="C491" t="s">
        <v>632</v>
      </c>
      <c r="D491" s="2">
        <v>45769</v>
      </c>
      <c r="E491" t="s">
        <v>101</v>
      </c>
      <c r="F491" t="str">
        <f>VLOOKUP($C491,Product_Dim!$A$2:$D$101,3,FALSE)</f>
        <v>Burns-Hansen</v>
      </c>
      <c r="G491" t="str">
        <f>VLOOKUP($C491,Product_Dim!$A$2:$D$101,2,FALSE)</f>
        <v>Sports</v>
      </c>
      <c r="H491">
        <v>4</v>
      </c>
      <c r="I491">
        <v>951.09</v>
      </c>
      <c r="J491">
        <v>0.14000000000000001</v>
      </c>
      <c r="K491" s="3">
        <v>3271.7496000000001</v>
      </c>
      <c r="L491" t="s">
        <v>857</v>
      </c>
      <c r="M491" t="str">
        <f>VLOOKUP($E491,Customer_Dim!$A$2:$F$501,3,FALSE)</f>
        <v>Male</v>
      </c>
      <c r="N491" t="str">
        <f>VLOOKUP($E491,Customer_Dim!$A$2:$F$501,5,FALSE)</f>
        <v>USA</v>
      </c>
      <c r="O491" t="str">
        <f>VLOOKUP($E491,Customer_Dim!$A$2:$F$501,6,FALSE)</f>
        <v>Platinum</v>
      </c>
      <c r="P491" t="str">
        <f>VLOOKUP($A491,Store_Dim!$A$2:$F$21,3,FALSE)</f>
        <v>EastJohnsonville</v>
      </c>
    </row>
    <row r="492" spans="1:16" x14ac:dyDescent="0.25">
      <c r="A492" t="s">
        <v>825</v>
      </c>
      <c r="B492" t="s">
        <v>1957</v>
      </c>
      <c r="C492" t="s">
        <v>632</v>
      </c>
      <c r="D492" s="2">
        <v>45257</v>
      </c>
      <c r="E492" t="s">
        <v>442</v>
      </c>
      <c r="F492" t="str">
        <f>VLOOKUP($C492,Product_Dim!$A$2:$D$101,3,FALSE)</f>
        <v>Burns-Hansen</v>
      </c>
      <c r="G492" t="str">
        <f>VLOOKUP($C492,Product_Dim!$A$2:$D$101,2,FALSE)</f>
        <v>Sports</v>
      </c>
      <c r="H492">
        <v>1</v>
      </c>
      <c r="I492">
        <v>664.35</v>
      </c>
      <c r="J492">
        <v>0</v>
      </c>
      <c r="K492" s="3">
        <v>664.35</v>
      </c>
      <c r="L492" t="s">
        <v>852</v>
      </c>
      <c r="M492" t="str">
        <f>VLOOKUP($E492,Customer_Dim!$A$2:$F$501,3,FALSE)</f>
        <v>Male</v>
      </c>
      <c r="N492" t="str">
        <f>VLOOKUP($E492,Customer_Dim!$A$2:$F$501,5,FALSE)</f>
        <v>USA</v>
      </c>
      <c r="O492" t="str">
        <f>VLOOKUP($E492,Customer_Dim!$A$2:$F$501,6,FALSE)</f>
        <v>Platinum</v>
      </c>
      <c r="P492" t="str">
        <f>VLOOKUP($A492,Store_Dim!$A$2:$F$21,3,FALSE)</f>
        <v>EastJohnsonville</v>
      </c>
    </row>
    <row r="493" spans="1:16" hidden="1" x14ac:dyDescent="0.25">
      <c r="A493" t="s">
        <v>825</v>
      </c>
      <c r="B493" t="s">
        <v>2526</v>
      </c>
      <c r="C493" t="s">
        <v>579</v>
      </c>
      <c r="D493" s="2">
        <v>45561</v>
      </c>
      <c r="E493" t="s">
        <v>278</v>
      </c>
      <c r="F493" t="str">
        <f>VLOOKUP($C493,Product_Dim!$A$2:$D$101,3,FALSE)</f>
        <v>Pineda Ltd</v>
      </c>
      <c r="G493" t="str">
        <f>VLOOKUP($C493,Product_Dim!$A$2:$D$101,2,FALSE)</f>
        <v>Clothing</v>
      </c>
      <c r="H493">
        <v>1</v>
      </c>
      <c r="I493">
        <v>830.42</v>
      </c>
      <c r="J493">
        <v>0.26</v>
      </c>
      <c r="K493" s="3">
        <v>614.51080000000002</v>
      </c>
      <c r="L493" t="s">
        <v>857</v>
      </c>
      <c r="M493" t="str">
        <f>VLOOKUP($E493,Customer_Dim!$A$2:$F$501,3,FALSE)</f>
        <v>Female</v>
      </c>
      <c r="N493" t="str">
        <f>VLOOKUP($E493,Customer_Dim!$A$2:$F$501,5,FALSE)</f>
        <v>USA</v>
      </c>
      <c r="O493" t="str">
        <f>VLOOKUP($E493,Customer_Dim!$A$2:$F$501,6,FALSE)</f>
        <v>Platinum</v>
      </c>
      <c r="P493" t="str">
        <f>VLOOKUP($A493,Store_Dim!$A$2:$F$21,3,FALSE)</f>
        <v>EastJohnsonville</v>
      </c>
    </row>
    <row r="494" spans="1:16" hidden="1" x14ac:dyDescent="0.25">
      <c r="A494" t="s">
        <v>825</v>
      </c>
      <c r="B494" t="s">
        <v>2425</v>
      </c>
      <c r="C494" t="s">
        <v>579</v>
      </c>
      <c r="D494" s="2">
        <v>45325</v>
      </c>
      <c r="E494" t="s">
        <v>311</v>
      </c>
      <c r="F494" t="str">
        <f>VLOOKUP($C494,Product_Dim!$A$2:$D$101,3,FALSE)</f>
        <v>Pineda Ltd</v>
      </c>
      <c r="G494" t="str">
        <f>VLOOKUP($C494,Product_Dim!$A$2:$D$101,2,FALSE)</f>
        <v>Clothing</v>
      </c>
      <c r="H494">
        <v>4</v>
      </c>
      <c r="I494">
        <v>785.41</v>
      </c>
      <c r="J494">
        <v>0.13</v>
      </c>
      <c r="K494" s="3">
        <v>2733.2267999999999</v>
      </c>
      <c r="L494" t="s">
        <v>857</v>
      </c>
      <c r="M494" t="str">
        <f>VLOOKUP($E494,Customer_Dim!$A$2:$F$501,3,FALSE)</f>
        <v>Female</v>
      </c>
      <c r="N494" t="str">
        <f>VLOOKUP($E494,Customer_Dim!$A$2:$F$501,5,FALSE)</f>
        <v>USA</v>
      </c>
      <c r="O494" t="str">
        <f>VLOOKUP($E494,Customer_Dim!$A$2:$F$501,6,FALSE)</f>
        <v>Platinum</v>
      </c>
      <c r="P494" t="str">
        <f>VLOOKUP($A494,Store_Dim!$A$2:$F$21,3,FALSE)</f>
        <v>EastJohnsonville</v>
      </c>
    </row>
    <row r="495" spans="1:16" x14ac:dyDescent="0.25">
      <c r="A495" t="s">
        <v>825</v>
      </c>
      <c r="B495" t="s">
        <v>892</v>
      </c>
      <c r="C495" t="s">
        <v>642</v>
      </c>
      <c r="D495" s="2">
        <v>45378</v>
      </c>
      <c r="E495" t="s">
        <v>254</v>
      </c>
      <c r="F495" t="str">
        <f>VLOOKUP($C495,Product_Dim!$A$2:$D$101,3,FALSE)</f>
        <v>Weiss-Watson</v>
      </c>
      <c r="G495" t="str">
        <f>VLOOKUP($C495,Product_Dim!$A$2:$D$101,2,FALSE)</f>
        <v>Home</v>
      </c>
      <c r="H495">
        <v>4</v>
      </c>
      <c r="I495">
        <v>735.32</v>
      </c>
      <c r="J495">
        <v>0.06</v>
      </c>
      <c r="K495" s="3">
        <v>2764.8031999999998</v>
      </c>
      <c r="L495" t="s">
        <v>857</v>
      </c>
      <c r="M495" t="str">
        <f>VLOOKUP($E495,Customer_Dim!$A$2:$F$501,3,FALSE)</f>
        <v>Male</v>
      </c>
      <c r="N495" t="str">
        <f>VLOOKUP($E495,Customer_Dim!$A$2:$F$501,5,FALSE)</f>
        <v>USA</v>
      </c>
      <c r="O495" t="str">
        <f>VLOOKUP($E495,Customer_Dim!$A$2:$F$501,6,FALSE)</f>
        <v>Gold</v>
      </c>
      <c r="P495" t="str">
        <f>VLOOKUP($A495,Store_Dim!$A$2:$F$21,3,FALSE)</f>
        <v>EastJohnsonville</v>
      </c>
    </row>
    <row r="496" spans="1:16" hidden="1" x14ac:dyDescent="0.25">
      <c r="A496" t="s">
        <v>825</v>
      </c>
      <c r="B496" t="s">
        <v>1035</v>
      </c>
      <c r="C496" t="s">
        <v>642</v>
      </c>
      <c r="D496" s="2">
        <v>45710</v>
      </c>
      <c r="E496" t="s">
        <v>529</v>
      </c>
      <c r="F496" t="str">
        <f>VLOOKUP($C496,Product_Dim!$A$2:$D$101,3,FALSE)</f>
        <v>Weiss-Watson</v>
      </c>
      <c r="G496" t="str">
        <f>VLOOKUP($C496,Product_Dim!$A$2:$D$101,2,FALSE)</f>
        <v>Home</v>
      </c>
      <c r="H496">
        <v>3</v>
      </c>
      <c r="I496">
        <v>53.92</v>
      </c>
      <c r="J496">
        <v>0.15</v>
      </c>
      <c r="K496" s="3">
        <v>137.49600000000001</v>
      </c>
      <c r="L496" t="s">
        <v>854</v>
      </c>
      <c r="M496" t="str">
        <f>VLOOKUP($E496,Customer_Dim!$A$2:$F$501,3,FALSE)</f>
        <v>Female</v>
      </c>
      <c r="N496" t="str">
        <f>VLOOKUP($E496,Customer_Dim!$A$2:$F$501,5,FALSE)</f>
        <v>USA</v>
      </c>
      <c r="O496" t="str">
        <f>VLOOKUP($E496,Customer_Dim!$A$2:$F$501,6,FALSE)</f>
        <v>Silver</v>
      </c>
      <c r="P496" t="str">
        <f>VLOOKUP($A496,Store_Dim!$A$2:$F$21,3,FALSE)</f>
        <v>EastJohnsonville</v>
      </c>
    </row>
    <row r="497" spans="1:16" x14ac:dyDescent="0.25">
      <c r="A497" t="s">
        <v>825</v>
      </c>
      <c r="B497" t="s">
        <v>2696</v>
      </c>
      <c r="C497" t="s">
        <v>646</v>
      </c>
      <c r="D497" s="2">
        <v>45761</v>
      </c>
      <c r="E497" t="s">
        <v>415</v>
      </c>
      <c r="F497" t="str">
        <f>VLOOKUP($C497,Product_Dim!$A$2:$D$101,3,FALSE)</f>
        <v>Jones LLC</v>
      </c>
      <c r="G497" t="str">
        <f>VLOOKUP($C497,Product_Dim!$A$2:$D$101,2,FALSE)</f>
        <v>Home</v>
      </c>
      <c r="H497">
        <v>2</v>
      </c>
      <c r="I497">
        <v>873.94</v>
      </c>
      <c r="J497">
        <v>0.14000000000000001</v>
      </c>
      <c r="K497" s="3">
        <v>1503.1768</v>
      </c>
      <c r="L497" t="s">
        <v>857</v>
      </c>
      <c r="M497" t="str">
        <f>VLOOKUP($E497,Customer_Dim!$A$2:$F$501,3,FALSE)</f>
        <v>Male</v>
      </c>
      <c r="N497" t="str">
        <f>VLOOKUP($E497,Customer_Dim!$A$2:$F$501,5,FALSE)</f>
        <v>USA</v>
      </c>
      <c r="O497" t="str">
        <f>VLOOKUP($E497,Customer_Dim!$A$2:$F$501,6,FALSE)</f>
        <v>Silver</v>
      </c>
      <c r="P497" t="str">
        <f>VLOOKUP($A497,Store_Dim!$A$2:$F$21,3,FALSE)</f>
        <v>EastJohnsonville</v>
      </c>
    </row>
    <row r="498" spans="1:16" hidden="1" x14ac:dyDescent="0.25">
      <c r="A498" t="s">
        <v>825</v>
      </c>
      <c r="B498" t="s">
        <v>2588</v>
      </c>
      <c r="C498" t="s">
        <v>648</v>
      </c>
      <c r="D498" s="2">
        <v>45843</v>
      </c>
      <c r="E498" t="s">
        <v>267</v>
      </c>
      <c r="F498" t="str">
        <f>VLOOKUP($C498,Product_Dim!$A$2:$D$101,3,FALSE)</f>
        <v>Smith-Mills</v>
      </c>
      <c r="G498" t="str">
        <f>VLOOKUP($C498,Product_Dim!$A$2:$D$101,2,FALSE)</f>
        <v>Clothing</v>
      </c>
      <c r="H498">
        <v>2</v>
      </c>
      <c r="I498">
        <v>208.09</v>
      </c>
      <c r="J498">
        <v>0.27</v>
      </c>
      <c r="K498" s="3">
        <v>303.81139999999999</v>
      </c>
      <c r="L498" t="s">
        <v>852</v>
      </c>
      <c r="M498" t="str">
        <f>VLOOKUP($E498,Customer_Dim!$A$2:$F$501,3,FALSE)</f>
        <v>Female</v>
      </c>
      <c r="N498" t="str">
        <f>VLOOKUP($E498,Customer_Dim!$A$2:$F$501,5,FALSE)</f>
        <v>USA</v>
      </c>
      <c r="O498" t="str">
        <f>VLOOKUP($E498,Customer_Dim!$A$2:$F$501,6,FALSE)</f>
        <v>Platinum</v>
      </c>
      <c r="P498" t="str">
        <f>VLOOKUP($A498,Store_Dim!$A$2:$F$21,3,FALSE)</f>
        <v>EastJohnsonville</v>
      </c>
    </row>
    <row r="499" spans="1:16" x14ac:dyDescent="0.25">
      <c r="A499" t="s">
        <v>825</v>
      </c>
      <c r="B499" t="s">
        <v>1495</v>
      </c>
      <c r="C499" t="s">
        <v>650</v>
      </c>
      <c r="D499" s="2">
        <v>45365</v>
      </c>
      <c r="E499" t="s">
        <v>207</v>
      </c>
      <c r="F499" t="str">
        <f>VLOOKUP($C499,Product_Dim!$A$2:$D$101,3,FALSE)</f>
        <v>Hogan-Lee</v>
      </c>
      <c r="G499" t="str">
        <f>VLOOKUP($C499,Product_Dim!$A$2:$D$101,2,FALSE)</f>
        <v>Clothing</v>
      </c>
      <c r="H499">
        <v>3</v>
      </c>
      <c r="I499">
        <v>338.79</v>
      </c>
      <c r="J499">
        <v>0.01</v>
      </c>
      <c r="K499" s="3">
        <v>1006.2063000000001</v>
      </c>
      <c r="L499" t="s">
        <v>852</v>
      </c>
      <c r="M499" t="str">
        <f>VLOOKUP($E499,Customer_Dim!$A$2:$F$501,3,FALSE)</f>
        <v>Male</v>
      </c>
      <c r="N499" t="str">
        <f>VLOOKUP($E499,Customer_Dim!$A$2:$F$501,5,FALSE)</f>
        <v>USA</v>
      </c>
      <c r="O499" t="str">
        <f>VLOOKUP($E499,Customer_Dim!$A$2:$F$501,6,FALSE)</f>
        <v>Bronze</v>
      </c>
      <c r="P499" t="str">
        <f>VLOOKUP($A499,Store_Dim!$A$2:$F$21,3,FALSE)</f>
        <v>EastJohnsonville</v>
      </c>
    </row>
    <row r="500" spans="1:16" x14ac:dyDescent="0.25">
      <c r="A500" t="s">
        <v>825</v>
      </c>
      <c r="B500" t="s">
        <v>1325</v>
      </c>
      <c r="C500" t="s">
        <v>650</v>
      </c>
      <c r="D500" s="2">
        <v>45688</v>
      </c>
      <c r="E500" t="s">
        <v>466</v>
      </c>
      <c r="F500" t="str">
        <f>VLOOKUP($C500,Product_Dim!$A$2:$D$101,3,FALSE)</f>
        <v>Hogan-Lee</v>
      </c>
      <c r="G500" t="str">
        <f>VLOOKUP($C500,Product_Dim!$A$2:$D$101,2,FALSE)</f>
        <v>Clothing</v>
      </c>
      <c r="H500">
        <v>1</v>
      </c>
      <c r="I500">
        <v>546.20000000000005</v>
      </c>
      <c r="J500">
        <v>0.22</v>
      </c>
      <c r="K500" s="3">
        <v>426.03600000000012</v>
      </c>
      <c r="L500" t="s">
        <v>854</v>
      </c>
      <c r="M500" t="str">
        <f>VLOOKUP($E500,Customer_Dim!$A$2:$F$501,3,FALSE)</f>
        <v>Male</v>
      </c>
      <c r="N500" t="str">
        <f>VLOOKUP($E500,Customer_Dim!$A$2:$F$501,5,FALSE)</f>
        <v>USA</v>
      </c>
      <c r="O500" t="str">
        <f>VLOOKUP($E500,Customer_Dim!$A$2:$F$501,6,FALSE)</f>
        <v>Bronze</v>
      </c>
      <c r="P500" t="str">
        <f>VLOOKUP($A500,Store_Dim!$A$2:$F$21,3,FALSE)</f>
        <v>EastJohnsonville</v>
      </c>
    </row>
    <row r="501" spans="1:16" hidden="1" x14ac:dyDescent="0.25">
      <c r="A501" t="s">
        <v>825</v>
      </c>
      <c r="B501" t="s">
        <v>1485</v>
      </c>
      <c r="C501" t="s">
        <v>654</v>
      </c>
      <c r="D501" s="2">
        <v>45311</v>
      </c>
      <c r="E501" t="s">
        <v>137</v>
      </c>
      <c r="F501" t="str">
        <f>VLOOKUP($C501,Product_Dim!$A$2:$D$101,3,FALSE)</f>
        <v>Cummings and Sons</v>
      </c>
      <c r="G501" t="str">
        <f>VLOOKUP($C501,Product_Dim!$A$2:$D$101,2,FALSE)</f>
        <v>Electronics</v>
      </c>
      <c r="H501">
        <v>2</v>
      </c>
      <c r="I501">
        <v>925.78</v>
      </c>
      <c r="J501">
        <v>0.14000000000000001</v>
      </c>
      <c r="K501" s="3">
        <v>1592.3416</v>
      </c>
      <c r="L501" t="s">
        <v>857</v>
      </c>
      <c r="M501" t="str">
        <f>VLOOKUP($E501,Customer_Dim!$A$2:$F$501,3,FALSE)</f>
        <v>Female</v>
      </c>
      <c r="N501" t="str">
        <f>VLOOKUP($E501,Customer_Dim!$A$2:$F$501,5,FALSE)</f>
        <v>USA</v>
      </c>
      <c r="O501" t="str">
        <f>VLOOKUP($E501,Customer_Dim!$A$2:$F$501,6,FALSE)</f>
        <v>Bronze</v>
      </c>
      <c r="P501" t="str">
        <f>VLOOKUP($A501,Store_Dim!$A$2:$F$21,3,FALSE)</f>
        <v>EastJohnsonville</v>
      </c>
    </row>
    <row r="502" spans="1:16" x14ac:dyDescent="0.25">
      <c r="A502" t="s">
        <v>825</v>
      </c>
      <c r="B502" t="s">
        <v>1699</v>
      </c>
      <c r="C502" t="s">
        <v>654</v>
      </c>
      <c r="D502" s="2">
        <v>45265</v>
      </c>
      <c r="E502" t="s">
        <v>386</v>
      </c>
      <c r="F502" t="str">
        <f>VLOOKUP($C502,Product_Dim!$A$2:$D$101,3,FALSE)</f>
        <v>Cummings and Sons</v>
      </c>
      <c r="G502" t="str">
        <f>VLOOKUP($C502,Product_Dim!$A$2:$D$101,2,FALSE)</f>
        <v>Electronics</v>
      </c>
      <c r="H502">
        <v>1</v>
      </c>
      <c r="I502">
        <v>529.84</v>
      </c>
      <c r="J502">
        <v>0.13</v>
      </c>
      <c r="K502" s="3">
        <v>460.96080000000001</v>
      </c>
      <c r="L502" t="s">
        <v>854</v>
      </c>
      <c r="M502" t="str">
        <f>VLOOKUP($E502,Customer_Dim!$A$2:$F$501,3,FALSE)</f>
        <v>Male</v>
      </c>
      <c r="N502" t="str">
        <f>VLOOKUP($E502,Customer_Dim!$A$2:$F$501,5,FALSE)</f>
        <v>USA</v>
      </c>
      <c r="O502" t="str">
        <f>VLOOKUP($E502,Customer_Dim!$A$2:$F$501,6,FALSE)</f>
        <v>Platinum</v>
      </c>
      <c r="P502" t="str">
        <f>VLOOKUP($A502,Store_Dim!$A$2:$F$21,3,FALSE)</f>
        <v>EastJohnsonville</v>
      </c>
    </row>
    <row r="503" spans="1:16" hidden="1" x14ac:dyDescent="0.25">
      <c r="A503" t="s">
        <v>825</v>
      </c>
      <c r="B503" t="s">
        <v>1939</v>
      </c>
      <c r="C503" t="s">
        <v>581</v>
      </c>
      <c r="D503" s="2">
        <v>45311</v>
      </c>
      <c r="E503" t="s">
        <v>555</v>
      </c>
      <c r="F503" t="str">
        <f>VLOOKUP($C503,Product_Dim!$A$2:$D$101,3,FALSE)</f>
        <v>Gonzales-Davis</v>
      </c>
      <c r="G503" t="str">
        <f>VLOOKUP($C503,Product_Dim!$A$2:$D$101,2,FALSE)</f>
        <v>Clothing</v>
      </c>
      <c r="H503">
        <v>3</v>
      </c>
      <c r="I503">
        <v>408.99</v>
      </c>
      <c r="J503">
        <v>0.27</v>
      </c>
      <c r="K503" s="3">
        <v>895.68809999999996</v>
      </c>
      <c r="L503" t="s">
        <v>854</v>
      </c>
      <c r="M503" t="str">
        <f>VLOOKUP($E503,Customer_Dim!$A$2:$F$501,3,FALSE)</f>
        <v>Female</v>
      </c>
      <c r="N503" t="str">
        <f>VLOOKUP($E503,Customer_Dim!$A$2:$F$501,5,FALSE)</f>
        <v>USA</v>
      </c>
      <c r="O503" t="str">
        <f>VLOOKUP($E503,Customer_Dim!$A$2:$F$501,6,FALSE)</f>
        <v>Platinum</v>
      </c>
      <c r="P503" t="str">
        <f>VLOOKUP($A503,Store_Dim!$A$2:$F$21,3,FALSE)</f>
        <v>EastJohnsonville</v>
      </c>
    </row>
    <row r="504" spans="1:16" hidden="1" x14ac:dyDescent="0.25">
      <c r="A504" t="s">
        <v>825</v>
      </c>
      <c r="B504" t="s">
        <v>1577</v>
      </c>
      <c r="C504" t="s">
        <v>658</v>
      </c>
      <c r="D504" s="2">
        <v>45674</v>
      </c>
      <c r="E504" t="s">
        <v>408</v>
      </c>
      <c r="F504" t="str">
        <f>VLOOKUP($C504,Product_Dim!$A$2:$D$101,3,FALSE)</f>
        <v>Carroll, Long and Mendoza</v>
      </c>
      <c r="G504" t="str">
        <f>VLOOKUP($C504,Product_Dim!$A$2:$D$101,2,FALSE)</f>
        <v>Sports</v>
      </c>
      <c r="H504">
        <v>2</v>
      </c>
      <c r="I504">
        <v>555.54999999999995</v>
      </c>
      <c r="J504">
        <v>0.14000000000000001</v>
      </c>
      <c r="K504" s="3">
        <v>955.54599999999994</v>
      </c>
      <c r="L504" t="s">
        <v>852</v>
      </c>
      <c r="M504" t="str">
        <f>VLOOKUP($E504,Customer_Dim!$A$2:$F$501,3,FALSE)</f>
        <v>Female</v>
      </c>
      <c r="N504" t="str">
        <f>VLOOKUP($E504,Customer_Dim!$A$2:$F$501,5,FALSE)</f>
        <v>USA</v>
      </c>
      <c r="O504" t="str">
        <f>VLOOKUP($E504,Customer_Dim!$A$2:$F$501,6,FALSE)</f>
        <v>Bronze</v>
      </c>
      <c r="P504" t="str">
        <f>VLOOKUP($A504,Store_Dim!$A$2:$F$21,3,FALSE)</f>
        <v>EastJohnsonville</v>
      </c>
    </row>
    <row r="505" spans="1:16" x14ac:dyDescent="0.25">
      <c r="A505" t="s">
        <v>825</v>
      </c>
      <c r="B505" t="s">
        <v>1730</v>
      </c>
      <c r="C505" t="s">
        <v>658</v>
      </c>
      <c r="D505" s="2">
        <v>45242</v>
      </c>
      <c r="E505" t="s">
        <v>561</v>
      </c>
      <c r="F505" t="str">
        <f>VLOOKUP($C505,Product_Dim!$A$2:$D$101,3,FALSE)</f>
        <v>Carroll, Long and Mendoza</v>
      </c>
      <c r="G505" t="str">
        <f>VLOOKUP($C505,Product_Dim!$A$2:$D$101,2,FALSE)</f>
        <v>Sports</v>
      </c>
      <c r="H505">
        <v>1</v>
      </c>
      <c r="I505">
        <v>409.03</v>
      </c>
      <c r="J505">
        <v>0.25</v>
      </c>
      <c r="K505" s="3">
        <v>306.77249999999998</v>
      </c>
      <c r="L505" t="s">
        <v>857</v>
      </c>
      <c r="M505" t="str">
        <f>VLOOKUP($E505,Customer_Dim!$A$2:$F$501,3,FALSE)</f>
        <v>Male</v>
      </c>
      <c r="N505" t="str">
        <f>VLOOKUP($E505,Customer_Dim!$A$2:$F$501,5,FALSE)</f>
        <v>USA</v>
      </c>
      <c r="O505" t="str">
        <f>VLOOKUP($E505,Customer_Dim!$A$2:$F$501,6,FALSE)</f>
        <v>Gold</v>
      </c>
      <c r="P505" t="str">
        <f>VLOOKUP($A505,Store_Dim!$A$2:$F$21,3,FALSE)</f>
        <v>EastJohnsonville</v>
      </c>
    </row>
    <row r="506" spans="1:16" hidden="1" x14ac:dyDescent="0.25">
      <c r="A506" t="s">
        <v>825</v>
      </c>
      <c r="B506" t="s">
        <v>2833</v>
      </c>
      <c r="C506" t="s">
        <v>668</v>
      </c>
      <c r="D506" s="2">
        <v>45666</v>
      </c>
      <c r="E506" t="s">
        <v>376</v>
      </c>
      <c r="F506" t="str">
        <f>VLOOKUP($C506,Product_Dim!$A$2:$D$101,3,FALSE)</f>
        <v>Kelly, Smith and Perez</v>
      </c>
      <c r="G506" t="str">
        <f>VLOOKUP($C506,Product_Dim!$A$2:$D$101,2,FALSE)</f>
        <v>Clothing</v>
      </c>
      <c r="H506">
        <v>2</v>
      </c>
      <c r="I506">
        <v>635.80999999999995</v>
      </c>
      <c r="J506">
        <v>0.13</v>
      </c>
      <c r="K506" s="3">
        <v>1106.3094000000001</v>
      </c>
      <c r="L506" t="s">
        <v>854</v>
      </c>
      <c r="M506" t="str">
        <f>VLOOKUP($E506,Customer_Dim!$A$2:$F$501,3,FALSE)</f>
        <v>Female</v>
      </c>
      <c r="N506" t="str">
        <f>VLOOKUP($E506,Customer_Dim!$A$2:$F$501,5,FALSE)</f>
        <v>USA</v>
      </c>
      <c r="O506" t="str">
        <f>VLOOKUP($E506,Customer_Dim!$A$2:$F$501,6,FALSE)</f>
        <v>Bronze</v>
      </c>
      <c r="P506" t="str">
        <f>VLOOKUP($A506,Store_Dim!$A$2:$F$21,3,FALSE)</f>
        <v>EastJohnsonville</v>
      </c>
    </row>
    <row r="507" spans="1:16" hidden="1" x14ac:dyDescent="0.25">
      <c r="A507" t="s">
        <v>825</v>
      </c>
      <c r="B507" t="s">
        <v>1420</v>
      </c>
      <c r="C507" t="s">
        <v>668</v>
      </c>
      <c r="D507" s="2">
        <v>45804</v>
      </c>
      <c r="E507" t="s">
        <v>537</v>
      </c>
      <c r="F507" t="str">
        <f>VLOOKUP($C507,Product_Dim!$A$2:$D$101,3,FALSE)</f>
        <v>Kelly, Smith and Perez</v>
      </c>
      <c r="G507" t="str">
        <f>VLOOKUP($C507,Product_Dim!$A$2:$D$101,2,FALSE)</f>
        <v>Clothing</v>
      </c>
      <c r="H507">
        <v>4</v>
      </c>
      <c r="I507">
        <v>354.12</v>
      </c>
      <c r="J507">
        <v>0.06</v>
      </c>
      <c r="K507" s="3">
        <v>1331.4911999999999</v>
      </c>
      <c r="L507" t="s">
        <v>854</v>
      </c>
      <c r="M507" t="str">
        <f>VLOOKUP($E507,Customer_Dim!$A$2:$F$501,3,FALSE)</f>
        <v>Female</v>
      </c>
      <c r="N507" t="str">
        <f>VLOOKUP($E507,Customer_Dim!$A$2:$F$501,5,FALSE)</f>
        <v>USA</v>
      </c>
      <c r="O507" t="str">
        <f>VLOOKUP($E507,Customer_Dim!$A$2:$F$501,6,FALSE)</f>
        <v>Gold</v>
      </c>
      <c r="P507" t="str">
        <f>VLOOKUP($A507,Store_Dim!$A$2:$F$21,3,FALSE)</f>
        <v>EastJohnsonville</v>
      </c>
    </row>
    <row r="508" spans="1:16" hidden="1" x14ac:dyDescent="0.25">
      <c r="A508" t="s">
        <v>825</v>
      </c>
      <c r="B508" t="s">
        <v>1084</v>
      </c>
      <c r="C508" t="s">
        <v>672</v>
      </c>
      <c r="D508" s="2">
        <v>45676</v>
      </c>
      <c r="E508" t="s">
        <v>94</v>
      </c>
      <c r="F508" t="str">
        <f>VLOOKUP($C508,Product_Dim!$A$2:$D$101,3,FALSE)</f>
        <v>Byrd, Stewart and Valdez</v>
      </c>
      <c r="G508" t="str">
        <f>VLOOKUP($C508,Product_Dim!$A$2:$D$101,2,FALSE)</f>
        <v>Electronics</v>
      </c>
      <c r="H508">
        <v>3</v>
      </c>
      <c r="I508">
        <v>449.88</v>
      </c>
      <c r="J508">
        <v>0.1</v>
      </c>
      <c r="K508" s="3">
        <v>1214.6759999999999</v>
      </c>
      <c r="L508" t="s">
        <v>854</v>
      </c>
      <c r="M508" t="str">
        <f>VLOOKUP($E508,Customer_Dim!$A$2:$F$501,3,FALSE)</f>
        <v>Female</v>
      </c>
      <c r="N508" t="str">
        <f>VLOOKUP($E508,Customer_Dim!$A$2:$F$501,5,FALSE)</f>
        <v>USA</v>
      </c>
      <c r="O508" t="str">
        <f>VLOOKUP($E508,Customer_Dim!$A$2:$F$501,6,FALSE)</f>
        <v>Gold</v>
      </c>
      <c r="P508" t="str">
        <f>VLOOKUP($A508,Store_Dim!$A$2:$F$21,3,FALSE)</f>
        <v>EastJohnsonville</v>
      </c>
    </row>
    <row r="509" spans="1:16" hidden="1" x14ac:dyDescent="0.25">
      <c r="A509" t="s">
        <v>825</v>
      </c>
      <c r="B509" t="s">
        <v>2097</v>
      </c>
      <c r="C509" t="s">
        <v>672</v>
      </c>
      <c r="D509" s="2">
        <v>45677</v>
      </c>
      <c r="E509" t="s">
        <v>154</v>
      </c>
      <c r="F509" t="str">
        <f>VLOOKUP($C509,Product_Dim!$A$2:$D$101,3,FALSE)</f>
        <v>Byrd, Stewart and Valdez</v>
      </c>
      <c r="G509" t="str">
        <f>VLOOKUP($C509,Product_Dim!$A$2:$D$101,2,FALSE)</f>
        <v>Electronics</v>
      </c>
      <c r="H509">
        <v>1</v>
      </c>
      <c r="I509">
        <v>161.80000000000001</v>
      </c>
      <c r="J509">
        <v>0.24</v>
      </c>
      <c r="K509" s="3">
        <v>122.968</v>
      </c>
      <c r="L509" t="s">
        <v>854</v>
      </c>
      <c r="M509" t="str">
        <f>VLOOKUP($E509,Customer_Dim!$A$2:$F$501,3,FALSE)</f>
        <v>Female</v>
      </c>
      <c r="N509" t="str">
        <f>VLOOKUP($E509,Customer_Dim!$A$2:$F$501,5,FALSE)</f>
        <v>USA</v>
      </c>
      <c r="O509" t="str">
        <f>VLOOKUP($E509,Customer_Dim!$A$2:$F$501,6,FALSE)</f>
        <v>Gold</v>
      </c>
      <c r="P509" t="str">
        <f>VLOOKUP($A509,Store_Dim!$A$2:$F$21,3,FALSE)</f>
        <v>EastJohnsonville</v>
      </c>
    </row>
    <row r="510" spans="1:16" x14ac:dyDescent="0.25">
      <c r="A510" t="s">
        <v>825</v>
      </c>
      <c r="B510" t="s">
        <v>1758</v>
      </c>
      <c r="C510" t="s">
        <v>672</v>
      </c>
      <c r="D510" s="2">
        <v>45672</v>
      </c>
      <c r="E510" t="s">
        <v>209</v>
      </c>
      <c r="F510" t="str">
        <f>VLOOKUP($C510,Product_Dim!$A$2:$D$101,3,FALSE)</f>
        <v>Byrd, Stewart and Valdez</v>
      </c>
      <c r="G510" t="str">
        <f>VLOOKUP($C510,Product_Dim!$A$2:$D$101,2,FALSE)</f>
        <v>Electronics</v>
      </c>
      <c r="H510">
        <v>3</v>
      </c>
      <c r="I510">
        <v>566.16</v>
      </c>
      <c r="J510">
        <v>0.05</v>
      </c>
      <c r="K510" s="3">
        <v>1613.556</v>
      </c>
      <c r="L510" t="s">
        <v>854</v>
      </c>
      <c r="M510" t="str">
        <f>VLOOKUP($E510,Customer_Dim!$A$2:$F$501,3,FALSE)</f>
        <v>Male</v>
      </c>
      <c r="N510" t="str">
        <f>VLOOKUP($E510,Customer_Dim!$A$2:$F$501,5,FALSE)</f>
        <v>USA</v>
      </c>
      <c r="O510" t="str">
        <f>VLOOKUP($E510,Customer_Dim!$A$2:$F$501,6,FALSE)</f>
        <v>Platinum</v>
      </c>
      <c r="P510" t="str">
        <f>VLOOKUP($A510,Store_Dim!$A$2:$F$21,3,FALSE)</f>
        <v>EastJohnsonville</v>
      </c>
    </row>
    <row r="511" spans="1:16" x14ac:dyDescent="0.25">
      <c r="A511" t="s">
        <v>825</v>
      </c>
      <c r="B511" t="s">
        <v>2031</v>
      </c>
      <c r="C511" t="s">
        <v>674</v>
      </c>
      <c r="D511" s="2">
        <v>45568</v>
      </c>
      <c r="E511" t="s">
        <v>338</v>
      </c>
      <c r="F511" t="str">
        <f>VLOOKUP($C511,Product_Dim!$A$2:$D$101,3,FALSE)</f>
        <v>Sullivan and Sons</v>
      </c>
      <c r="G511" t="str">
        <f>VLOOKUP($C511,Product_Dim!$A$2:$D$101,2,FALSE)</f>
        <v>Beauty</v>
      </c>
      <c r="H511">
        <v>2</v>
      </c>
      <c r="I511">
        <v>620.71</v>
      </c>
      <c r="J511">
        <v>0.27</v>
      </c>
      <c r="K511" s="3">
        <v>906.23660000000007</v>
      </c>
      <c r="L511" t="s">
        <v>852</v>
      </c>
      <c r="M511" t="str">
        <f>VLOOKUP($E511,Customer_Dim!$A$2:$F$501,3,FALSE)</f>
        <v>Male</v>
      </c>
      <c r="N511" t="str">
        <f>VLOOKUP($E511,Customer_Dim!$A$2:$F$501,5,FALSE)</f>
        <v>USA</v>
      </c>
      <c r="O511" t="str">
        <f>VLOOKUP($E511,Customer_Dim!$A$2:$F$501,6,FALSE)</f>
        <v>Platinum</v>
      </c>
      <c r="P511" t="str">
        <f>VLOOKUP($A511,Store_Dim!$A$2:$F$21,3,FALSE)</f>
        <v>EastJohnsonville</v>
      </c>
    </row>
    <row r="512" spans="1:16" hidden="1" x14ac:dyDescent="0.25">
      <c r="A512" t="s">
        <v>825</v>
      </c>
      <c r="B512" t="s">
        <v>2791</v>
      </c>
      <c r="C512" t="s">
        <v>674</v>
      </c>
      <c r="D512" s="2">
        <v>45265</v>
      </c>
      <c r="E512" t="s">
        <v>352</v>
      </c>
      <c r="F512" t="str">
        <f>VLOOKUP($C512,Product_Dim!$A$2:$D$101,3,FALSE)</f>
        <v>Sullivan and Sons</v>
      </c>
      <c r="G512" t="str">
        <f>VLOOKUP($C512,Product_Dim!$A$2:$D$101,2,FALSE)</f>
        <v>Beauty</v>
      </c>
      <c r="H512">
        <v>4</v>
      </c>
      <c r="I512">
        <v>568.80999999999995</v>
      </c>
      <c r="J512">
        <v>0.25</v>
      </c>
      <c r="K512" s="3">
        <v>1706.43</v>
      </c>
      <c r="L512" t="s">
        <v>852</v>
      </c>
      <c r="M512" t="str">
        <f>VLOOKUP($E512,Customer_Dim!$A$2:$F$501,3,FALSE)</f>
        <v>Female</v>
      </c>
      <c r="N512" t="str">
        <f>VLOOKUP($E512,Customer_Dim!$A$2:$F$501,5,FALSE)</f>
        <v>USA</v>
      </c>
      <c r="O512" t="str">
        <f>VLOOKUP($E512,Customer_Dim!$A$2:$F$501,6,FALSE)</f>
        <v>Silver</v>
      </c>
      <c r="P512" t="str">
        <f>VLOOKUP($A512,Store_Dim!$A$2:$F$21,3,FALSE)</f>
        <v>EastJohnsonville</v>
      </c>
    </row>
    <row r="513" spans="1:16" x14ac:dyDescent="0.25">
      <c r="A513" t="s">
        <v>825</v>
      </c>
      <c r="B513" t="s">
        <v>2806</v>
      </c>
      <c r="C513" t="s">
        <v>680</v>
      </c>
      <c r="D513" s="2">
        <v>45525</v>
      </c>
      <c r="E513" t="s">
        <v>386</v>
      </c>
      <c r="F513" t="str">
        <f>VLOOKUP($C513,Product_Dim!$A$2:$D$101,3,FALSE)</f>
        <v>Harris Inc</v>
      </c>
      <c r="G513" t="str">
        <f>VLOOKUP($C513,Product_Dim!$A$2:$D$101,2,FALSE)</f>
        <v>Sports</v>
      </c>
      <c r="H513">
        <v>2</v>
      </c>
      <c r="I513">
        <v>945.92</v>
      </c>
      <c r="J513">
        <v>0.19</v>
      </c>
      <c r="K513" s="3">
        <v>1532.3904</v>
      </c>
      <c r="L513" t="s">
        <v>857</v>
      </c>
      <c r="M513" t="str">
        <f>VLOOKUP($E513,Customer_Dim!$A$2:$F$501,3,FALSE)</f>
        <v>Male</v>
      </c>
      <c r="N513" t="str">
        <f>VLOOKUP($E513,Customer_Dim!$A$2:$F$501,5,FALSE)</f>
        <v>USA</v>
      </c>
      <c r="O513" t="str">
        <f>VLOOKUP($E513,Customer_Dim!$A$2:$F$501,6,FALSE)</f>
        <v>Platinum</v>
      </c>
      <c r="P513" t="str">
        <f>VLOOKUP($A513,Store_Dim!$A$2:$F$21,3,FALSE)</f>
        <v>EastJohnsonville</v>
      </c>
    </row>
    <row r="514" spans="1:16" x14ac:dyDescent="0.25">
      <c r="A514" t="s">
        <v>825</v>
      </c>
      <c r="B514" t="s">
        <v>2365</v>
      </c>
      <c r="C514" t="s">
        <v>686</v>
      </c>
      <c r="D514" s="2">
        <v>45691</v>
      </c>
      <c r="E514" t="s">
        <v>316</v>
      </c>
      <c r="F514" t="str">
        <f>VLOOKUP($C514,Product_Dim!$A$2:$D$101,3,FALSE)</f>
        <v>Hatfield, Baird and Torres</v>
      </c>
      <c r="G514" t="str">
        <f>VLOOKUP($C514,Product_Dim!$A$2:$D$101,2,FALSE)</f>
        <v>Home</v>
      </c>
      <c r="H514">
        <v>1</v>
      </c>
      <c r="I514">
        <v>170.68</v>
      </c>
      <c r="J514">
        <v>0.13</v>
      </c>
      <c r="K514" s="3">
        <v>148.49160000000001</v>
      </c>
      <c r="L514" t="s">
        <v>854</v>
      </c>
      <c r="M514" t="str">
        <f>VLOOKUP($E514,Customer_Dim!$A$2:$F$501,3,FALSE)</f>
        <v>Male</v>
      </c>
      <c r="N514" t="str">
        <f>VLOOKUP($E514,Customer_Dim!$A$2:$F$501,5,FALSE)</f>
        <v>USA</v>
      </c>
      <c r="O514" t="str">
        <f>VLOOKUP($E514,Customer_Dim!$A$2:$F$501,6,FALSE)</f>
        <v>Platinum</v>
      </c>
      <c r="P514" t="str">
        <f>VLOOKUP($A514,Store_Dim!$A$2:$F$21,3,FALSE)</f>
        <v>EastJohnsonville</v>
      </c>
    </row>
    <row r="515" spans="1:16" x14ac:dyDescent="0.25">
      <c r="A515" t="s">
        <v>825</v>
      </c>
      <c r="B515" t="s">
        <v>2711</v>
      </c>
      <c r="C515" t="s">
        <v>688</v>
      </c>
      <c r="D515" s="2">
        <v>45354</v>
      </c>
      <c r="E515" t="s">
        <v>115</v>
      </c>
      <c r="F515" t="str">
        <f>VLOOKUP($C515,Product_Dim!$A$2:$D$101,3,FALSE)</f>
        <v>Hernandez, Kennedy and Porter</v>
      </c>
      <c r="G515" t="str">
        <f>VLOOKUP($C515,Product_Dim!$A$2:$D$101,2,FALSE)</f>
        <v>Home</v>
      </c>
      <c r="H515">
        <v>3</v>
      </c>
      <c r="I515">
        <v>184.67</v>
      </c>
      <c r="J515">
        <v>0.03</v>
      </c>
      <c r="K515" s="3">
        <v>537.38969999999995</v>
      </c>
      <c r="L515" t="s">
        <v>857</v>
      </c>
      <c r="M515" t="str">
        <f>VLOOKUP($E515,Customer_Dim!$A$2:$F$501,3,FALSE)</f>
        <v>Male</v>
      </c>
      <c r="N515" t="str">
        <f>VLOOKUP($E515,Customer_Dim!$A$2:$F$501,5,FALSE)</f>
        <v>USA</v>
      </c>
      <c r="O515" t="str">
        <f>VLOOKUP($E515,Customer_Dim!$A$2:$F$501,6,FALSE)</f>
        <v>Gold</v>
      </c>
      <c r="P515" t="str">
        <f>VLOOKUP($A515,Store_Dim!$A$2:$F$21,3,FALSE)</f>
        <v>EastJohnsonville</v>
      </c>
    </row>
    <row r="516" spans="1:16" x14ac:dyDescent="0.25">
      <c r="A516" t="s">
        <v>825</v>
      </c>
      <c r="B516" t="s">
        <v>1301</v>
      </c>
      <c r="C516" t="s">
        <v>690</v>
      </c>
      <c r="D516" s="2">
        <v>45939</v>
      </c>
      <c r="E516" t="s">
        <v>319</v>
      </c>
      <c r="F516" t="str">
        <f>VLOOKUP($C516,Product_Dim!$A$2:$D$101,3,FALSE)</f>
        <v>Atkinson, Camacho and Oliver</v>
      </c>
      <c r="G516" t="str">
        <f>VLOOKUP($C516,Product_Dim!$A$2:$D$101,2,FALSE)</f>
        <v>Sports</v>
      </c>
      <c r="H516">
        <v>3</v>
      </c>
      <c r="I516">
        <v>628.17999999999995</v>
      </c>
      <c r="J516">
        <v>0.26</v>
      </c>
      <c r="K516" s="3">
        <v>1394.5596</v>
      </c>
      <c r="L516" t="s">
        <v>852</v>
      </c>
      <c r="M516" t="str">
        <f>VLOOKUP($E516,Customer_Dim!$A$2:$F$501,3,FALSE)</f>
        <v>Male</v>
      </c>
      <c r="N516" t="str">
        <f>VLOOKUP($E516,Customer_Dim!$A$2:$F$501,5,FALSE)</f>
        <v>USA</v>
      </c>
      <c r="O516" t="str">
        <f>VLOOKUP($E516,Customer_Dim!$A$2:$F$501,6,FALSE)</f>
        <v>Bronze</v>
      </c>
      <c r="P516" t="str">
        <f>VLOOKUP($A516,Store_Dim!$A$2:$F$21,3,FALSE)</f>
        <v>EastJohnsonville</v>
      </c>
    </row>
    <row r="517" spans="1:16" x14ac:dyDescent="0.25">
      <c r="A517" t="s">
        <v>825</v>
      </c>
      <c r="B517" t="s">
        <v>1945</v>
      </c>
      <c r="C517" t="s">
        <v>690</v>
      </c>
      <c r="D517" s="2">
        <v>45867</v>
      </c>
      <c r="E517" t="s">
        <v>321</v>
      </c>
      <c r="F517" t="str">
        <f>VLOOKUP($C517,Product_Dim!$A$2:$D$101,3,FALSE)</f>
        <v>Atkinson, Camacho and Oliver</v>
      </c>
      <c r="G517" t="str">
        <f>VLOOKUP($C517,Product_Dim!$A$2:$D$101,2,FALSE)</f>
        <v>Sports</v>
      </c>
      <c r="H517">
        <v>2</v>
      </c>
      <c r="I517">
        <v>714.21</v>
      </c>
      <c r="J517">
        <v>0.14000000000000001</v>
      </c>
      <c r="K517" s="3">
        <v>1228.4412</v>
      </c>
      <c r="L517" t="s">
        <v>852</v>
      </c>
      <c r="M517" t="str">
        <f>VLOOKUP($E517,Customer_Dim!$A$2:$F$501,3,FALSE)</f>
        <v>Male</v>
      </c>
      <c r="N517" t="str">
        <f>VLOOKUP($E517,Customer_Dim!$A$2:$F$501,5,FALSE)</f>
        <v>USA</v>
      </c>
      <c r="O517" t="str">
        <f>VLOOKUP($E517,Customer_Dim!$A$2:$F$501,6,FALSE)</f>
        <v>Gold</v>
      </c>
      <c r="P517" t="str">
        <f>VLOOKUP($A517,Store_Dim!$A$2:$F$21,3,FALSE)</f>
        <v>EastJohnsonville</v>
      </c>
    </row>
    <row r="518" spans="1:16" x14ac:dyDescent="0.25">
      <c r="A518" t="s">
        <v>825</v>
      </c>
      <c r="B518" t="s">
        <v>1255</v>
      </c>
      <c r="C518" t="s">
        <v>690</v>
      </c>
      <c r="D518" s="2">
        <v>45380</v>
      </c>
      <c r="E518" t="s">
        <v>415</v>
      </c>
      <c r="F518" t="str">
        <f>VLOOKUP($C518,Product_Dim!$A$2:$D$101,3,FALSE)</f>
        <v>Atkinson, Camacho and Oliver</v>
      </c>
      <c r="G518" t="str">
        <f>VLOOKUP($C518,Product_Dim!$A$2:$D$101,2,FALSE)</f>
        <v>Sports</v>
      </c>
      <c r="H518">
        <v>4</v>
      </c>
      <c r="I518">
        <v>651.36</v>
      </c>
      <c r="J518">
        <v>0.13</v>
      </c>
      <c r="K518" s="3">
        <v>2266.7328000000002</v>
      </c>
      <c r="L518" t="s">
        <v>852</v>
      </c>
      <c r="M518" t="str">
        <f>VLOOKUP($E518,Customer_Dim!$A$2:$F$501,3,FALSE)</f>
        <v>Male</v>
      </c>
      <c r="N518" t="str">
        <f>VLOOKUP($E518,Customer_Dim!$A$2:$F$501,5,FALSE)</f>
        <v>USA</v>
      </c>
      <c r="O518" t="str">
        <f>VLOOKUP($E518,Customer_Dim!$A$2:$F$501,6,FALSE)</f>
        <v>Silver</v>
      </c>
      <c r="P518" t="str">
        <f>VLOOKUP($A518,Store_Dim!$A$2:$F$21,3,FALSE)</f>
        <v>EastJohnsonville</v>
      </c>
    </row>
    <row r="519" spans="1:16" hidden="1" x14ac:dyDescent="0.25">
      <c r="A519" t="s">
        <v>825</v>
      </c>
      <c r="B519" t="s">
        <v>1739</v>
      </c>
      <c r="C519" t="s">
        <v>694</v>
      </c>
      <c r="D519" s="2">
        <v>45466</v>
      </c>
      <c r="E519" t="s">
        <v>562</v>
      </c>
      <c r="F519" t="str">
        <f>VLOOKUP($C519,Product_Dim!$A$2:$D$101,3,FALSE)</f>
        <v>Cline-Mccarthy</v>
      </c>
      <c r="G519" t="str">
        <f>VLOOKUP($C519,Product_Dim!$A$2:$D$101,2,FALSE)</f>
        <v>Beauty</v>
      </c>
      <c r="H519">
        <v>1</v>
      </c>
      <c r="I519">
        <v>992.37</v>
      </c>
      <c r="J519">
        <v>0.24</v>
      </c>
      <c r="K519" s="3">
        <v>754.20119999999997</v>
      </c>
      <c r="L519" t="s">
        <v>857</v>
      </c>
      <c r="M519" t="str">
        <f>VLOOKUP($E519,Customer_Dim!$A$2:$F$501,3,FALSE)</f>
        <v>Female</v>
      </c>
      <c r="N519" t="str">
        <f>VLOOKUP($E519,Customer_Dim!$A$2:$F$501,5,FALSE)</f>
        <v>USA</v>
      </c>
      <c r="O519" t="str">
        <f>VLOOKUP($E519,Customer_Dim!$A$2:$F$501,6,FALSE)</f>
        <v>Bronze</v>
      </c>
      <c r="P519" t="str">
        <f>VLOOKUP($A519,Store_Dim!$A$2:$F$21,3,FALSE)</f>
        <v>EastJohnsonville</v>
      </c>
    </row>
    <row r="520" spans="1:16" hidden="1" x14ac:dyDescent="0.25">
      <c r="A520" t="s">
        <v>825</v>
      </c>
      <c r="B520" t="s">
        <v>873</v>
      </c>
      <c r="C520" t="s">
        <v>696</v>
      </c>
      <c r="D520" s="2">
        <v>45369</v>
      </c>
      <c r="E520" t="s">
        <v>305</v>
      </c>
      <c r="F520" t="str">
        <f>VLOOKUP($C520,Product_Dim!$A$2:$D$101,3,FALSE)</f>
        <v>Gibson, Green and Lopez</v>
      </c>
      <c r="G520" t="str">
        <f>VLOOKUP($C520,Product_Dim!$A$2:$D$101,2,FALSE)</f>
        <v>Beauty</v>
      </c>
      <c r="H520">
        <v>4</v>
      </c>
      <c r="I520" s="3">
        <f>K520/H520-J520</f>
        <v>445.57279999999997</v>
      </c>
      <c r="J520">
        <v>0.04</v>
      </c>
      <c r="K520" s="3">
        <v>1782.4512</v>
      </c>
      <c r="L520" t="s">
        <v>857</v>
      </c>
      <c r="M520" t="str">
        <f>VLOOKUP($E520,Customer_Dim!$A$2:$F$501,3,FALSE)</f>
        <v>Female</v>
      </c>
      <c r="N520" t="str">
        <f>VLOOKUP($E520,Customer_Dim!$A$2:$F$501,5,FALSE)</f>
        <v>USA</v>
      </c>
      <c r="O520" t="str">
        <f>VLOOKUP($E520,Customer_Dim!$A$2:$F$501,6,FALSE)</f>
        <v>Platinum</v>
      </c>
      <c r="P520" t="str">
        <f>VLOOKUP($A520,Store_Dim!$A$2:$F$21,3,FALSE)</f>
        <v>EastJohnsonville</v>
      </c>
    </row>
    <row r="521" spans="1:16" hidden="1" x14ac:dyDescent="0.25">
      <c r="A521" t="s">
        <v>825</v>
      </c>
      <c r="B521" t="s">
        <v>1868</v>
      </c>
      <c r="C521" t="s">
        <v>696</v>
      </c>
      <c r="D521" s="2">
        <v>45681</v>
      </c>
      <c r="E521" t="s">
        <v>376</v>
      </c>
      <c r="F521" t="str">
        <f>VLOOKUP($C521,Product_Dim!$A$2:$D$101,3,FALSE)</f>
        <v>Gibson, Green and Lopez</v>
      </c>
      <c r="G521" t="str">
        <f>VLOOKUP($C521,Product_Dim!$A$2:$D$101,2,FALSE)</f>
        <v>Beauty</v>
      </c>
      <c r="H521">
        <v>2</v>
      </c>
      <c r="I521">
        <v>92.64</v>
      </c>
      <c r="J521">
        <v>0.14000000000000001</v>
      </c>
      <c r="K521" s="3">
        <v>159.3408</v>
      </c>
      <c r="L521" t="s">
        <v>857</v>
      </c>
      <c r="M521" t="str">
        <f>VLOOKUP($E521,Customer_Dim!$A$2:$F$501,3,FALSE)</f>
        <v>Female</v>
      </c>
      <c r="N521" t="str">
        <f>VLOOKUP($E521,Customer_Dim!$A$2:$F$501,5,FALSE)</f>
        <v>USA</v>
      </c>
      <c r="O521" t="str">
        <f>VLOOKUP($E521,Customer_Dim!$A$2:$F$501,6,FALSE)</f>
        <v>Bronze</v>
      </c>
      <c r="P521" t="str">
        <f>VLOOKUP($A521,Store_Dim!$A$2:$F$21,3,FALSE)</f>
        <v>EastJohnsonville</v>
      </c>
    </row>
    <row r="522" spans="1:16" hidden="1" x14ac:dyDescent="0.25">
      <c r="A522" t="s">
        <v>825</v>
      </c>
      <c r="B522" t="s">
        <v>1748</v>
      </c>
      <c r="C522" t="s">
        <v>696</v>
      </c>
      <c r="D522" s="2">
        <v>45247</v>
      </c>
      <c r="E522" t="s">
        <v>556</v>
      </c>
      <c r="F522" t="str">
        <f>VLOOKUP($C522,Product_Dim!$A$2:$D$101,3,FALSE)</f>
        <v>Gibson, Green and Lopez</v>
      </c>
      <c r="G522" t="str">
        <f>VLOOKUP($C522,Product_Dim!$A$2:$D$101,2,FALSE)</f>
        <v>Beauty</v>
      </c>
      <c r="H522">
        <v>4</v>
      </c>
      <c r="I522">
        <v>106.48</v>
      </c>
      <c r="J522">
        <v>0.1</v>
      </c>
      <c r="K522" s="3">
        <v>383.32799999999997</v>
      </c>
      <c r="L522" t="s">
        <v>857</v>
      </c>
      <c r="M522" t="str">
        <f>VLOOKUP($E522,Customer_Dim!$A$2:$F$501,3,FALSE)</f>
        <v>Female</v>
      </c>
      <c r="N522" t="str">
        <f>VLOOKUP($E522,Customer_Dim!$A$2:$F$501,5,FALSE)</f>
        <v>USA</v>
      </c>
      <c r="O522" t="str">
        <f>VLOOKUP($E522,Customer_Dim!$A$2:$F$501,6,FALSE)</f>
        <v>Silver</v>
      </c>
      <c r="P522" t="str">
        <f>VLOOKUP($A522,Store_Dim!$A$2:$F$21,3,FALSE)</f>
        <v>EastJohnsonville</v>
      </c>
    </row>
    <row r="523" spans="1:16" hidden="1" x14ac:dyDescent="0.25">
      <c r="A523" t="s">
        <v>825</v>
      </c>
      <c r="B523" t="s">
        <v>2538</v>
      </c>
      <c r="C523" t="s">
        <v>700</v>
      </c>
      <c r="D523" s="2">
        <v>45845</v>
      </c>
      <c r="E523" t="s">
        <v>37</v>
      </c>
      <c r="F523" t="str">
        <f>VLOOKUP($C523,Product_Dim!$A$2:$D$101,3,FALSE)</f>
        <v>Murray, Gould and Ware</v>
      </c>
      <c r="G523" t="str">
        <f>VLOOKUP($C523,Product_Dim!$A$2:$D$101,2,FALSE)</f>
        <v>Electronics</v>
      </c>
      <c r="H523">
        <v>4</v>
      </c>
      <c r="I523">
        <v>676.58</v>
      </c>
      <c r="J523">
        <v>0.23</v>
      </c>
      <c r="K523" s="3">
        <v>2083.8663999999999</v>
      </c>
      <c r="L523" t="s">
        <v>857</v>
      </c>
      <c r="M523" t="str">
        <f>VLOOKUP($E523,Customer_Dim!$A$2:$F$501,3,FALSE)</f>
        <v>Female</v>
      </c>
      <c r="N523" t="str">
        <f>VLOOKUP($E523,Customer_Dim!$A$2:$F$501,5,FALSE)</f>
        <v>USA</v>
      </c>
      <c r="O523" t="str">
        <f>VLOOKUP($E523,Customer_Dim!$A$2:$F$501,6,FALSE)</f>
        <v>Platinum</v>
      </c>
      <c r="P523" t="str">
        <f>VLOOKUP($A523,Store_Dim!$A$2:$F$21,3,FALSE)</f>
        <v>EastJohnsonville</v>
      </c>
    </row>
    <row r="524" spans="1:16" hidden="1" x14ac:dyDescent="0.25">
      <c r="A524" t="s">
        <v>825</v>
      </c>
      <c r="B524" t="s">
        <v>1986</v>
      </c>
      <c r="C524" t="s">
        <v>700</v>
      </c>
      <c r="D524" s="2">
        <v>45746</v>
      </c>
      <c r="E524" t="s">
        <v>376</v>
      </c>
      <c r="F524" t="str">
        <f>VLOOKUP($C524,Product_Dim!$A$2:$D$101,3,FALSE)</f>
        <v>Murray, Gould and Ware</v>
      </c>
      <c r="G524" t="str">
        <f>VLOOKUP($C524,Product_Dim!$A$2:$D$101,2,FALSE)</f>
        <v>Electronics</v>
      </c>
      <c r="H524">
        <v>4</v>
      </c>
      <c r="I524">
        <v>267.36</v>
      </c>
      <c r="J524">
        <v>0.27</v>
      </c>
      <c r="K524" s="3">
        <v>780.69119999999998</v>
      </c>
      <c r="L524" t="s">
        <v>854</v>
      </c>
      <c r="M524" t="str">
        <f>VLOOKUP($E524,Customer_Dim!$A$2:$F$501,3,FALSE)</f>
        <v>Female</v>
      </c>
      <c r="N524" t="str">
        <f>VLOOKUP($E524,Customer_Dim!$A$2:$F$501,5,FALSE)</f>
        <v>USA</v>
      </c>
      <c r="O524" t="str">
        <f>VLOOKUP($E524,Customer_Dim!$A$2:$F$501,6,FALSE)</f>
        <v>Bronze</v>
      </c>
      <c r="P524" t="str">
        <f>VLOOKUP($A524,Store_Dim!$A$2:$F$21,3,FALSE)</f>
        <v>EastJohnsonville</v>
      </c>
    </row>
    <row r="525" spans="1:16" hidden="1" x14ac:dyDescent="0.25">
      <c r="A525" t="s">
        <v>825</v>
      </c>
      <c r="B525" t="s">
        <v>1532</v>
      </c>
      <c r="C525" t="s">
        <v>700</v>
      </c>
      <c r="D525" s="2">
        <v>45220</v>
      </c>
      <c r="E525" t="s">
        <v>484</v>
      </c>
      <c r="F525" t="str">
        <f>VLOOKUP($C525,Product_Dim!$A$2:$D$101,3,FALSE)</f>
        <v>Murray, Gould and Ware</v>
      </c>
      <c r="G525" t="str">
        <f>VLOOKUP($C525,Product_Dim!$A$2:$D$101,2,FALSE)</f>
        <v>Electronics</v>
      </c>
      <c r="H525">
        <v>1</v>
      </c>
      <c r="I525">
        <v>331.73</v>
      </c>
      <c r="J525">
        <v>0.04</v>
      </c>
      <c r="K525" s="3">
        <v>318.46080000000001</v>
      </c>
      <c r="L525" t="s">
        <v>852</v>
      </c>
      <c r="M525" t="str">
        <f>VLOOKUP($E525,Customer_Dim!$A$2:$F$501,3,FALSE)</f>
        <v>Female</v>
      </c>
      <c r="N525" t="str">
        <f>VLOOKUP($E525,Customer_Dim!$A$2:$F$501,5,FALSE)</f>
        <v>USA</v>
      </c>
      <c r="O525" t="str">
        <f>VLOOKUP($E525,Customer_Dim!$A$2:$F$501,6,FALSE)</f>
        <v>Bronze</v>
      </c>
      <c r="P525" t="str">
        <f>VLOOKUP($A525,Store_Dim!$A$2:$F$21,3,FALSE)</f>
        <v>EastJohnsonville</v>
      </c>
    </row>
    <row r="526" spans="1:16" hidden="1" x14ac:dyDescent="0.25">
      <c r="A526" t="s">
        <v>825</v>
      </c>
      <c r="B526" t="s">
        <v>1790</v>
      </c>
      <c r="C526" t="s">
        <v>702</v>
      </c>
      <c r="D526" s="2">
        <v>45824</v>
      </c>
      <c r="E526" t="s">
        <v>450</v>
      </c>
      <c r="F526" t="str">
        <f>VLOOKUP($C526,Product_Dim!$A$2:$D$101,3,FALSE)</f>
        <v>Anderson-Riley</v>
      </c>
      <c r="G526" t="str">
        <f>VLOOKUP($C526,Product_Dim!$A$2:$D$101,2,FALSE)</f>
        <v>Beauty</v>
      </c>
      <c r="H526">
        <v>3</v>
      </c>
      <c r="I526">
        <v>953.74</v>
      </c>
      <c r="J526">
        <v>0.04</v>
      </c>
      <c r="K526" s="3">
        <v>2746.7712000000001</v>
      </c>
      <c r="L526" t="s">
        <v>852</v>
      </c>
      <c r="M526" t="str">
        <f>VLOOKUP($E526,Customer_Dim!$A$2:$F$501,3,FALSE)</f>
        <v>Female</v>
      </c>
      <c r="N526" t="str">
        <f>VLOOKUP($E526,Customer_Dim!$A$2:$F$501,5,FALSE)</f>
        <v>USA</v>
      </c>
      <c r="O526" t="str">
        <f>VLOOKUP($E526,Customer_Dim!$A$2:$F$501,6,FALSE)</f>
        <v>Silver</v>
      </c>
      <c r="P526" t="str">
        <f>VLOOKUP($A526,Store_Dim!$A$2:$F$21,3,FALSE)</f>
        <v>EastJohnsonville</v>
      </c>
    </row>
    <row r="527" spans="1:16" hidden="1" x14ac:dyDescent="0.25">
      <c r="A527" t="s">
        <v>825</v>
      </c>
      <c r="B527" t="s">
        <v>2189</v>
      </c>
      <c r="C527" t="s">
        <v>702</v>
      </c>
      <c r="D527" s="2">
        <v>45539</v>
      </c>
      <c r="E527" t="s">
        <v>528</v>
      </c>
      <c r="F527" t="str">
        <f>VLOOKUP($C527,Product_Dim!$A$2:$D$101,3,FALSE)</f>
        <v>Anderson-Riley</v>
      </c>
      <c r="G527" t="str">
        <f>VLOOKUP($C527,Product_Dim!$A$2:$D$101,2,FALSE)</f>
        <v>Beauty</v>
      </c>
      <c r="H527">
        <v>3</v>
      </c>
      <c r="I527">
        <v>217.13</v>
      </c>
      <c r="J527">
        <v>0.28000000000000003</v>
      </c>
      <c r="K527" s="3">
        <v>469.00080000000003</v>
      </c>
      <c r="L527" t="s">
        <v>852</v>
      </c>
      <c r="M527" t="str">
        <f>VLOOKUP($E527,Customer_Dim!$A$2:$F$501,3,FALSE)</f>
        <v>Female</v>
      </c>
      <c r="N527" t="str">
        <f>VLOOKUP($E527,Customer_Dim!$A$2:$F$501,5,FALSE)</f>
        <v>USA</v>
      </c>
      <c r="O527" t="str">
        <f>VLOOKUP($E527,Customer_Dim!$A$2:$F$501,6,FALSE)</f>
        <v>Silver</v>
      </c>
      <c r="P527" t="str">
        <f>VLOOKUP($A527,Store_Dim!$A$2:$F$21,3,FALSE)</f>
        <v>EastJohnsonville</v>
      </c>
    </row>
    <row r="528" spans="1:16" hidden="1" x14ac:dyDescent="0.25">
      <c r="A528" t="s">
        <v>825</v>
      </c>
      <c r="B528" t="s">
        <v>2639</v>
      </c>
      <c r="C528" t="s">
        <v>710</v>
      </c>
      <c r="D528" s="2">
        <v>45915</v>
      </c>
      <c r="E528" t="s">
        <v>393</v>
      </c>
      <c r="F528" t="str">
        <f>VLOOKUP($C528,Product_Dim!$A$2:$D$101,3,FALSE)</f>
        <v>Flores-Davis</v>
      </c>
      <c r="G528" t="str">
        <f>VLOOKUP($C528,Product_Dim!$A$2:$D$101,2,FALSE)</f>
        <v>Electronics</v>
      </c>
      <c r="H528">
        <v>3</v>
      </c>
      <c r="I528">
        <v>115.39</v>
      </c>
      <c r="J528">
        <v>0.02</v>
      </c>
      <c r="K528" s="3">
        <v>339.2466</v>
      </c>
      <c r="L528" t="s">
        <v>854</v>
      </c>
      <c r="M528" t="str">
        <f>VLOOKUP($E528,Customer_Dim!$A$2:$F$501,3,FALSE)</f>
        <v>Female</v>
      </c>
      <c r="N528" t="str">
        <f>VLOOKUP($E528,Customer_Dim!$A$2:$F$501,5,FALSE)</f>
        <v>USA</v>
      </c>
      <c r="O528" t="str">
        <f>VLOOKUP($E528,Customer_Dim!$A$2:$F$501,6,FALSE)</f>
        <v>Gold</v>
      </c>
      <c r="P528" t="str">
        <f>VLOOKUP($A528,Store_Dim!$A$2:$F$21,3,FALSE)</f>
        <v>EastJohnsonville</v>
      </c>
    </row>
    <row r="529" spans="1:16" hidden="1" x14ac:dyDescent="0.25">
      <c r="A529" t="s">
        <v>825</v>
      </c>
      <c r="B529" t="s">
        <v>2429</v>
      </c>
      <c r="C529" t="s">
        <v>710</v>
      </c>
      <c r="D529" s="2">
        <v>45897</v>
      </c>
      <c r="E529" t="s">
        <v>404</v>
      </c>
      <c r="F529" t="str">
        <f>VLOOKUP($C529,Product_Dim!$A$2:$D$101,3,FALSE)</f>
        <v>Flores-Davis</v>
      </c>
      <c r="G529" t="str">
        <f>VLOOKUP($C529,Product_Dim!$A$2:$D$101,2,FALSE)</f>
        <v>Electronics</v>
      </c>
      <c r="H529">
        <v>1</v>
      </c>
      <c r="I529">
        <v>470.55</v>
      </c>
      <c r="J529">
        <v>0.23</v>
      </c>
      <c r="K529" s="3">
        <v>362.32350000000002</v>
      </c>
      <c r="L529" t="s">
        <v>854</v>
      </c>
      <c r="M529" t="str">
        <f>VLOOKUP($E529,Customer_Dim!$A$2:$F$501,3,FALSE)</f>
        <v>Female</v>
      </c>
      <c r="N529" t="str">
        <f>VLOOKUP($E529,Customer_Dim!$A$2:$F$501,5,FALSE)</f>
        <v>USA</v>
      </c>
      <c r="O529" t="str">
        <f>VLOOKUP($E529,Customer_Dim!$A$2:$F$501,6,FALSE)</f>
        <v>Bronze</v>
      </c>
      <c r="P529" t="str">
        <f>VLOOKUP($A529,Store_Dim!$A$2:$F$21,3,FALSE)</f>
        <v>EastJohnsonville</v>
      </c>
    </row>
    <row r="530" spans="1:16" x14ac:dyDescent="0.25">
      <c r="A530" t="s">
        <v>825</v>
      </c>
      <c r="B530" t="s">
        <v>2490</v>
      </c>
      <c r="C530" t="s">
        <v>712</v>
      </c>
      <c r="D530" s="2">
        <v>45912</v>
      </c>
      <c r="E530" t="s">
        <v>93</v>
      </c>
      <c r="F530" t="str">
        <f>VLOOKUP($C530,Product_Dim!$A$2:$D$101,3,FALSE)</f>
        <v>Wolfe, Ross and Hester</v>
      </c>
      <c r="G530" t="str">
        <f>VLOOKUP($C530,Product_Dim!$A$2:$D$101,2,FALSE)</f>
        <v>Home</v>
      </c>
      <c r="H530">
        <v>4</v>
      </c>
      <c r="I530">
        <v>463.16</v>
      </c>
      <c r="J530">
        <v>0.27</v>
      </c>
      <c r="K530" s="3">
        <v>1352.4272000000001</v>
      </c>
      <c r="L530" t="s">
        <v>854</v>
      </c>
      <c r="M530" t="str">
        <f>VLOOKUP($E530,Customer_Dim!$A$2:$F$501,3,FALSE)</f>
        <v>Male</v>
      </c>
      <c r="N530" t="str">
        <f>VLOOKUP($E530,Customer_Dim!$A$2:$F$501,5,FALSE)</f>
        <v>USA</v>
      </c>
      <c r="O530" t="str">
        <f>VLOOKUP($E530,Customer_Dim!$A$2:$F$501,6,FALSE)</f>
        <v>Platinum</v>
      </c>
      <c r="P530" t="str">
        <f>VLOOKUP($A530,Store_Dim!$A$2:$F$21,3,FALSE)</f>
        <v>EastJohnsonville</v>
      </c>
    </row>
    <row r="531" spans="1:16" x14ac:dyDescent="0.25">
      <c r="A531" t="s">
        <v>825</v>
      </c>
      <c r="B531" t="s">
        <v>1666</v>
      </c>
      <c r="C531" t="s">
        <v>712</v>
      </c>
      <c r="D531" s="2">
        <v>45486</v>
      </c>
      <c r="E531" t="s">
        <v>296</v>
      </c>
      <c r="F531" t="str">
        <f>VLOOKUP($C531,Product_Dim!$A$2:$D$101,3,FALSE)</f>
        <v>Wolfe, Ross and Hester</v>
      </c>
      <c r="G531" t="str">
        <f>VLOOKUP($C531,Product_Dim!$A$2:$D$101,2,FALSE)</f>
        <v>Home</v>
      </c>
      <c r="H531">
        <v>1</v>
      </c>
      <c r="I531">
        <v>289.82</v>
      </c>
      <c r="J531">
        <v>0.18</v>
      </c>
      <c r="K531" s="3">
        <v>237.6524</v>
      </c>
      <c r="L531" t="s">
        <v>857</v>
      </c>
      <c r="M531" t="str">
        <f>VLOOKUP($E531,Customer_Dim!$A$2:$F$501,3,FALSE)</f>
        <v>Male</v>
      </c>
      <c r="N531" t="str">
        <f>VLOOKUP($E531,Customer_Dim!$A$2:$F$501,5,FALSE)</f>
        <v>USA</v>
      </c>
      <c r="O531" t="str">
        <f>VLOOKUP($E531,Customer_Dim!$A$2:$F$501,6,FALSE)</f>
        <v>Bronze</v>
      </c>
      <c r="P531" t="str">
        <f>VLOOKUP($A531,Store_Dim!$A$2:$F$21,3,FALSE)</f>
        <v>EastJohnsonville</v>
      </c>
    </row>
    <row r="532" spans="1:16" x14ac:dyDescent="0.25">
      <c r="A532" t="s">
        <v>825</v>
      </c>
      <c r="B532" t="s">
        <v>1715</v>
      </c>
      <c r="C532" t="s">
        <v>712</v>
      </c>
      <c r="D532" s="2">
        <v>45608</v>
      </c>
      <c r="E532" t="s">
        <v>447</v>
      </c>
      <c r="F532" t="str">
        <f>VLOOKUP($C532,Product_Dim!$A$2:$D$101,3,FALSE)</f>
        <v>Wolfe, Ross and Hester</v>
      </c>
      <c r="G532" t="str">
        <f>VLOOKUP($C532,Product_Dim!$A$2:$D$101,2,FALSE)</f>
        <v>Home</v>
      </c>
      <c r="H532">
        <v>4</v>
      </c>
      <c r="I532">
        <v>408.72</v>
      </c>
      <c r="J532">
        <v>0.16</v>
      </c>
      <c r="K532" s="3">
        <v>1373.2991999999999</v>
      </c>
      <c r="L532" t="s">
        <v>857</v>
      </c>
      <c r="M532" t="str">
        <f>VLOOKUP($E532,Customer_Dim!$A$2:$F$501,3,FALSE)</f>
        <v>Male</v>
      </c>
      <c r="N532" t="str">
        <f>VLOOKUP($E532,Customer_Dim!$A$2:$F$501,5,FALSE)</f>
        <v>USA</v>
      </c>
      <c r="O532" t="str">
        <f>VLOOKUP($E532,Customer_Dim!$A$2:$F$501,6,FALSE)</f>
        <v>Gold</v>
      </c>
      <c r="P532" t="str">
        <f>VLOOKUP($A532,Store_Dim!$A$2:$F$21,3,FALSE)</f>
        <v>EastJohnsonville</v>
      </c>
    </row>
    <row r="533" spans="1:16" hidden="1" x14ac:dyDescent="0.25">
      <c r="A533" t="s">
        <v>825</v>
      </c>
      <c r="B533" t="s">
        <v>1430</v>
      </c>
      <c r="C533" t="s">
        <v>718</v>
      </c>
      <c r="D533" s="2">
        <v>45592</v>
      </c>
      <c r="E533" t="s">
        <v>354</v>
      </c>
      <c r="F533" t="str">
        <f>VLOOKUP($C533,Product_Dim!$A$2:$D$101,3,FALSE)</f>
        <v>Hopkins Ltd</v>
      </c>
      <c r="G533" t="str">
        <f>VLOOKUP($C533,Product_Dim!$A$2:$D$101,2,FALSE)</f>
        <v>Beauty</v>
      </c>
      <c r="H533">
        <v>2</v>
      </c>
      <c r="I533">
        <v>649.54999999999995</v>
      </c>
      <c r="J533">
        <v>0.28999999999999998</v>
      </c>
      <c r="K533" s="3">
        <v>922.36099999999988</v>
      </c>
      <c r="L533" t="s">
        <v>854</v>
      </c>
      <c r="M533" t="str">
        <f>VLOOKUP($E533,Customer_Dim!$A$2:$F$501,3,FALSE)</f>
        <v>Female</v>
      </c>
      <c r="N533" t="str">
        <f>VLOOKUP($E533,Customer_Dim!$A$2:$F$501,5,FALSE)</f>
        <v>USA</v>
      </c>
      <c r="O533" t="str">
        <f>VLOOKUP($E533,Customer_Dim!$A$2:$F$501,6,FALSE)</f>
        <v>Gold</v>
      </c>
      <c r="P533" t="str">
        <f>VLOOKUP($A533,Store_Dim!$A$2:$F$21,3,FALSE)</f>
        <v>EastJohnsonville</v>
      </c>
    </row>
    <row r="534" spans="1:16" hidden="1" x14ac:dyDescent="0.25">
      <c r="A534" t="s">
        <v>825</v>
      </c>
      <c r="B534" t="s">
        <v>1712</v>
      </c>
      <c r="C534" t="s">
        <v>720</v>
      </c>
      <c r="D534" s="2">
        <v>45619</v>
      </c>
      <c r="E534" t="s">
        <v>425</v>
      </c>
      <c r="F534" t="str">
        <f>VLOOKUP($C534,Product_Dim!$A$2:$D$101,3,FALSE)</f>
        <v>Davis PLC</v>
      </c>
      <c r="G534" t="str">
        <f>VLOOKUP($C534,Product_Dim!$A$2:$D$101,2,FALSE)</f>
        <v>Sports</v>
      </c>
      <c r="H534">
        <v>1</v>
      </c>
      <c r="I534">
        <v>735.1</v>
      </c>
      <c r="J534">
        <v>0.1</v>
      </c>
      <c r="K534" s="3">
        <v>661.59</v>
      </c>
      <c r="L534" t="s">
        <v>854</v>
      </c>
      <c r="M534" t="str">
        <f>VLOOKUP($E534,Customer_Dim!$A$2:$F$501,3,FALSE)</f>
        <v>Female</v>
      </c>
      <c r="N534" t="str">
        <f>VLOOKUP($E534,Customer_Dim!$A$2:$F$501,5,FALSE)</f>
        <v>USA</v>
      </c>
      <c r="O534" t="str">
        <f>VLOOKUP($E534,Customer_Dim!$A$2:$F$501,6,FALSE)</f>
        <v>Gold</v>
      </c>
      <c r="P534" t="str">
        <f>VLOOKUP($A534,Store_Dim!$A$2:$F$21,3,FALSE)</f>
        <v>EastJohnsonville</v>
      </c>
    </row>
    <row r="535" spans="1:16" hidden="1" x14ac:dyDescent="0.25">
      <c r="A535" t="s">
        <v>825</v>
      </c>
      <c r="B535" t="s">
        <v>1801</v>
      </c>
      <c r="C535" t="s">
        <v>722</v>
      </c>
      <c r="D535" s="2">
        <v>45415</v>
      </c>
      <c r="E535" t="s">
        <v>39</v>
      </c>
      <c r="F535" t="str">
        <f>VLOOKUP($C535,Product_Dim!$A$2:$D$101,3,FALSE)</f>
        <v>French Ltd</v>
      </c>
      <c r="G535" t="str">
        <f>VLOOKUP($C535,Product_Dim!$A$2:$D$101,2,FALSE)</f>
        <v>Sports</v>
      </c>
      <c r="H535">
        <v>3</v>
      </c>
      <c r="I535">
        <v>239.57</v>
      </c>
      <c r="J535">
        <v>0.16</v>
      </c>
      <c r="K535" s="3">
        <v>603.71640000000002</v>
      </c>
      <c r="L535" t="s">
        <v>852</v>
      </c>
      <c r="M535" t="str">
        <f>VLOOKUP($E535,Customer_Dim!$A$2:$F$501,3,FALSE)</f>
        <v>Female</v>
      </c>
      <c r="N535" t="str">
        <f>VLOOKUP($E535,Customer_Dim!$A$2:$F$501,5,FALSE)</f>
        <v>USA</v>
      </c>
      <c r="O535" t="str">
        <f>VLOOKUP($E535,Customer_Dim!$A$2:$F$501,6,FALSE)</f>
        <v>Silver</v>
      </c>
      <c r="P535" t="str">
        <f>VLOOKUP($A535,Store_Dim!$A$2:$F$21,3,FALSE)</f>
        <v>EastJohnsonville</v>
      </c>
    </row>
    <row r="536" spans="1:16" hidden="1" x14ac:dyDescent="0.25">
      <c r="A536" t="s">
        <v>825</v>
      </c>
      <c r="B536" t="s">
        <v>1639</v>
      </c>
      <c r="C536" t="s">
        <v>722</v>
      </c>
      <c r="D536" s="2">
        <v>45279</v>
      </c>
      <c r="E536" t="s">
        <v>94</v>
      </c>
      <c r="F536" t="str">
        <f>VLOOKUP($C536,Product_Dim!$A$2:$D$101,3,FALSE)</f>
        <v>French Ltd</v>
      </c>
      <c r="G536" t="str">
        <f>VLOOKUP($C536,Product_Dim!$A$2:$D$101,2,FALSE)</f>
        <v>Sports</v>
      </c>
      <c r="H536">
        <v>4</v>
      </c>
      <c r="I536">
        <v>457.33</v>
      </c>
      <c r="J536">
        <v>0.1</v>
      </c>
      <c r="K536" s="3">
        <v>1646.3879999999999</v>
      </c>
      <c r="L536" t="s">
        <v>852</v>
      </c>
      <c r="M536" t="str">
        <f>VLOOKUP($E536,Customer_Dim!$A$2:$F$501,3,FALSE)</f>
        <v>Female</v>
      </c>
      <c r="N536" t="str">
        <f>VLOOKUP($E536,Customer_Dim!$A$2:$F$501,5,FALSE)</f>
        <v>USA</v>
      </c>
      <c r="O536" t="str">
        <f>VLOOKUP($E536,Customer_Dim!$A$2:$F$501,6,FALSE)</f>
        <v>Gold</v>
      </c>
      <c r="P536" t="str">
        <f>VLOOKUP($A536,Store_Dim!$A$2:$F$21,3,FALSE)</f>
        <v>EastJohnsonville</v>
      </c>
    </row>
    <row r="537" spans="1:16" hidden="1" x14ac:dyDescent="0.25">
      <c r="A537" t="s">
        <v>825</v>
      </c>
      <c r="B537" t="s">
        <v>1916</v>
      </c>
      <c r="C537" t="s">
        <v>722</v>
      </c>
      <c r="D537" s="2">
        <v>45385</v>
      </c>
      <c r="E537" t="s">
        <v>167</v>
      </c>
      <c r="F537" t="str">
        <f>VLOOKUP($C537,Product_Dim!$A$2:$D$101,3,FALSE)</f>
        <v>French Ltd</v>
      </c>
      <c r="G537" t="str">
        <f>VLOOKUP($C537,Product_Dim!$A$2:$D$101,2,FALSE)</f>
        <v>Sports</v>
      </c>
      <c r="H537">
        <v>4</v>
      </c>
      <c r="I537">
        <v>528.22</v>
      </c>
      <c r="J537">
        <v>0.2</v>
      </c>
      <c r="K537" s="3">
        <v>1690.3040000000001</v>
      </c>
      <c r="L537" t="s">
        <v>854</v>
      </c>
      <c r="M537" t="str">
        <f>VLOOKUP($E537,Customer_Dim!$A$2:$F$501,3,FALSE)</f>
        <v>Female</v>
      </c>
      <c r="N537" t="str">
        <f>VLOOKUP($E537,Customer_Dim!$A$2:$F$501,5,FALSE)</f>
        <v>USA</v>
      </c>
      <c r="O537" t="str">
        <f>VLOOKUP($E537,Customer_Dim!$A$2:$F$501,6,FALSE)</f>
        <v>Gold</v>
      </c>
      <c r="P537" t="str">
        <f>VLOOKUP($A537,Store_Dim!$A$2:$F$21,3,FALSE)</f>
        <v>EastJohnsonville</v>
      </c>
    </row>
    <row r="538" spans="1:16" x14ac:dyDescent="0.25">
      <c r="A538" t="s">
        <v>825</v>
      </c>
      <c r="B538" t="s">
        <v>2693</v>
      </c>
      <c r="C538" t="s">
        <v>722</v>
      </c>
      <c r="D538" s="2">
        <v>45340</v>
      </c>
      <c r="E538" t="s">
        <v>426</v>
      </c>
      <c r="F538" t="str">
        <f>VLOOKUP($C538,Product_Dim!$A$2:$D$101,3,FALSE)</f>
        <v>French Ltd</v>
      </c>
      <c r="G538" t="str">
        <f>VLOOKUP($C538,Product_Dim!$A$2:$D$101,2,FALSE)</f>
        <v>Sports</v>
      </c>
      <c r="H538">
        <v>3</v>
      </c>
      <c r="I538">
        <v>717.32</v>
      </c>
      <c r="J538">
        <v>0.23</v>
      </c>
      <c r="K538" s="3">
        <v>1657.0092</v>
      </c>
      <c r="L538" t="s">
        <v>857</v>
      </c>
      <c r="M538" t="str">
        <f>VLOOKUP($E538,Customer_Dim!$A$2:$F$501,3,FALSE)</f>
        <v>Male</v>
      </c>
      <c r="N538" t="str">
        <f>VLOOKUP($E538,Customer_Dim!$A$2:$F$501,5,FALSE)</f>
        <v>USA</v>
      </c>
      <c r="O538" t="str">
        <f>VLOOKUP($E538,Customer_Dim!$A$2:$F$501,6,FALSE)</f>
        <v>Silver</v>
      </c>
      <c r="P538" t="str">
        <f>VLOOKUP($A538,Store_Dim!$A$2:$F$21,3,FALSE)</f>
        <v>EastJohnsonville</v>
      </c>
    </row>
    <row r="539" spans="1:16" hidden="1" x14ac:dyDescent="0.25">
      <c r="A539" t="s">
        <v>825</v>
      </c>
      <c r="B539" t="s">
        <v>1342</v>
      </c>
      <c r="C539" t="s">
        <v>722</v>
      </c>
      <c r="D539" s="2">
        <v>45726</v>
      </c>
      <c r="E539" t="s">
        <v>472</v>
      </c>
      <c r="F539" t="str">
        <f>VLOOKUP($C539,Product_Dim!$A$2:$D$101,3,FALSE)</f>
        <v>French Ltd</v>
      </c>
      <c r="G539" t="str">
        <f>VLOOKUP($C539,Product_Dim!$A$2:$D$101,2,FALSE)</f>
        <v>Sports</v>
      </c>
      <c r="H539">
        <v>4</v>
      </c>
      <c r="I539">
        <v>922.69</v>
      </c>
      <c r="J539">
        <v>0.16</v>
      </c>
      <c r="K539" s="3">
        <v>3100.2384000000002</v>
      </c>
      <c r="L539" t="s">
        <v>852</v>
      </c>
      <c r="M539" t="str">
        <f>VLOOKUP($E539,Customer_Dim!$A$2:$F$501,3,FALSE)</f>
        <v>Female</v>
      </c>
      <c r="N539" t="str">
        <f>VLOOKUP($E539,Customer_Dim!$A$2:$F$501,5,FALSE)</f>
        <v>USA</v>
      </c>
      <c r="O539" t="str">
        <f>VLOOKUP($E539,Customer_Dim!$A$2:$F$501,6,FALSE)</f>
        <v>Gold</v>
      </c>
      <c r="P539" t="str">
        <f>VLOOKUP($A539,Store_Dim!$A$2:$F$21,3,FALSE)</f>
        <v>EastJohnsonville</v>
      </c>
    </row>
    <row r="540" spans="1:16" hidden="1" x14ac:dyDescent="0.25">
      <c r="A540" t="s">
        <v>825</v>
      </c>
      <c r="B540" t="s">
        <v>1685</v>
      </c>
      <c r="C540" t="s">
        <v>728</v>
      </c>
      <c r="D540" s="2">
        <v>45698</v>
      </c>
      <c r="E540" t="s">
        <v>37</v>
      </c>
      <c r="F540" t="str">
        <f>VLOOKUP($C540,Product_Dim!$A$2:$D$101,3,FALSE)</f>
        <v>Larson Ltd</v>
      </c>
      <c r="G540" t="str">
        <f>VLOOKUP($C540,Product_Dim!$A$2:$D$101,2,FALSE)</f>
        <v>Electronics</v>
      </c>
      <c r="H540">
        <v>4</v>
      </c>
      <c r="I540">
        <v>528.23</v>
      </c>
      <c r="J540">
        <v>0.15</v>
      </c>
      <c r="K540" s="3">
        <v>1795.982</v>
      </c>
      <c r="L540" t="s">
        <v>857</v>
      </c>
      <c r="M540" t="str">
        <f>VLOOKUP($E540,Customer_Dim!$A$2:$F$501,3,FALSE)</f>
        <v>Female</v>
      </c>
      <c r="N540" t="str">
        <f>VLOOKUP($E540,Customer_Dim!$A$2:$F$501,5,FALSE)</f>
        <v>USA</v>
      </c>
      <c r="O540" t="str">
        <f>VLOOKUP($E540,Customer_Dim!$A$2:$F$501,6,FALSE)</f>
        <v>Platinum</v>
      </c>
      <c r="P540" t="str">
        <f>VLOOKUP($A540,Store_Dim!$A$2:$F$21,3,FALSE)</f>
        <v>EastJohnsonville</v>
      </c>
    </row>
    <row r="541" spans="1:16" hidden="1" x14ac:dyDescent="0.25">
      <c r="A541" t="s">
        <v>825</v>
      </c>
      <c r="B541" t="s">
        <v>966</v>
      </c>
      <c r="C541" t="s">
        <v>728</v>
      </c>
      <c r="D541" s="2">
        <v>45705</v>
      </c>
      <c r="E541" t="s">
        <v>145</v>
      </c>
      <c r="F541" t="str">
        <f>VLOOKUP($C541,Product_Dim!$A$2:$D$101,3,FALSE)</f>
        <v>Larson Ltd</v>
      </c>
      <c r="G541" t="str">
        <f>VLOOKUP($C541,Product_Dim!$A$2:$D$101,2,FALSE)</f>
        <v>Electronics</v>
      </c>
      <c r="H541">
        <v>3</v>
      </c>
      <c r="I541">
        <v>948.69</v>
      </c>
      <c r="J541">
        <v>0.28999999999999998</v>
      </c>
      <c r="K541" s="3">
        <v>2020.7097000000001</v>
      </c>
      <c r="L541" t="s">
        <v>852</v>
      </c>
      <c r="M541" t="str">
        <f>VLOOKUP($E541,Customer_Dim!$A$2:$F$501,3,FALSE)</f>
        <v>Female</v>
      </c>
      <c r="N541" t="str">
        <f>VLOOKUP($E541,Customer_Dim!$A$2:$F$501,5,FALSE)</f>
        <v>USA</v>
      </c>
      <c r="O541" t="str">
        <f>VLOOKUP($E541,Customer_Dim!$A$2:$F$501,6,FALSE)</f>
        <v>Bronze</v>
      </c>
      <c r="P541" t="str">
        <f>VLOOKUP($A541,Store_Dim!$A$2:$F$21,3,FALSE)</f>
        <v>EastJohnsonville</v>
      </c>
    </row>
    <row r="542" spans="1:16" hidden="1" x14ac:dyDescent="0.25">
      <c r="A542" t="s">
        <v>825</v>
      </c>
      <c r="B542" t="s">
        <v>1500</v>
      </c>
      <c r="C542" t="s">
        <v>730</v>
      </c>
      <c r="D542" s="2">
        <v>45778</v>
      </c>
      <c r="E542" t="s">
        <v>528</v>
      </c>
      <c r="F542" t="str">
        <f>VLOOKUP($C542,Product_Dim!$A$2:$D$101,3,FALSE)</f>
        <v>White, Reeves and Woods</v>
      </c>
      <c r="G542" t="str">
        <f>VLOOKUP($C542,Product_Dim!$A$2:$D$101,2,FALSE)</f>
        <v>Electronics</v>
      </c>
      <c r="H542">
        <v>3</v>
      </c>
      <c r="I542">
        <v>865.96</v>
      </c>
      <c r="J542">
        <v>0.12</v>
      </c>
      <c r="K542" s="3">
        <v>2286.1343999999999</v>
      </c>
      <c r="L542" t="s">
        <v>854</v>
      </c>
      <c r="M542" t="str">
        <f>VLOOKUP($E542,Customer_Dim!$A$2:$F$501,3,FALSE)</f>
        <v>Female</v>
      </c>
      <c r="N542" t="str">
        <f>VLOOKUP($E542,Customer_Dim!$A$2:$F$501,5,FALSE)</f>
        <v>USA</v>
      </c>
      <c r="O542" t="str">
        <f>VLOOKUP($E542,Customer_Dim!$A$2:$F$501,6,FALSE)</f>
        <v>Silver</v>
      </c>
      <c r="P542" t="str">
        <f>VLOOKUP($A542,Store_Dim!$A$2:$F$21,3,FALSE)</f>
        <v>EastJohnsonville</v>
      </c>
    </row>
    <row r="543" spans="1:16" x14ac:dyDescent="0.25">
      <c r="A543" t="s">
        <v>825</v>
      </c>
      <c r="B543" t="s">
        <v>1913</v>
      </c>
      <c r="C543" t="s">
        <v>732</v>
      </c>
      <c r="D543" s="2">
        <v>45222</v>
      </c>
      <c r="E543" t="s">
        <v>32</v>
      </c>
      <c r="F543" t="str">
        <f>VLOOKUP($C543,Product_Dim!$A$2:$D$101,3,FALSE)</f>
        <v>Hernandez Inc</v>
      </c>
      <c r="G543" t="str">
        <f>VLOOKUP($C543,Product_Dim!$A$2:$D$101,2,FALSE)</f>
        <v>Home</v>
      </c>
      <c r="H543">
        <v>2</v>
      </c>
      <c r="I543">
        <v>838.22</v>
      </c>
      <c r="J543">
        <v>0.3</v>
      </c>
      <c r="K543" s="3">
        <v>1173.508</v>
      </c>
      <c r="L543" t="s">
        <v>852</v>
      </c>
      <c r="M543" t="str">
        <f>VLOOKUP($E543,Customer_Dim!$A$2:$F$501,3,FALSE)</f>
        <v>Male</v>
      </c>
      <c r="N543" t="str">
        <f>VLOOKUP($E543,Customer_Dim!$A$2:$F$501,5,FALSE)</f>
        <v>USA</v>
      </c>
      <c r="O543" t="str">
        <f>VLOOKUP($E543,Customer_Dim!$A$2:$F$501,6,FALSE)</f>
        <v>Platinum</v>
      </c>
      <c r="P543" t="str">
        <f>VLOOKUP($A543,Store_Dim!$A$2:$F$21,3,FALSE)</f>
        <v>EastJohnsonville</v>
      </c>
    </row>
    <row r="544" spans="1:16" hidden="1" x14ac:dyDescent="0.25">
      <c r="A544" t="s">
        <v>825</v>
      </c>
      <c r="B544" t="s">
        <v>1278</v>
      </c>
      <c r="C544" t="s">
        <v>734</v>
      </c>
      <c r="D544" s="2">
        <v>45220</v>
      </c>
      <c r="E544" t="s">
        <v>77</v>
      </c>
      <c r="F544" t="str">
        <f>VLOOKUP($C544,Product_Dim!$A$2:$D$101,3,FALSE)</f>
        <v>Ramirez-Hanson</v>
      </c>
      <c r="G544" t="str">
        <f>VLOOKUP($C544,Product_Dim!$A$2:$D$101,2,FALSE)</f>
        <v>Home</v>
      </c>
      <c r="H544">
        <v>1</v>
      </c>
      <c r="I544">
        <v>823.61</v>
      </c>
      <c r="J544">
        <v>0.28000000000000003</v>
      </c>
      <c r="K544" s="3">
        <v>592.99919999999997</v>
      </c>
      <c r="L544" t="s">
        <v>857</v>
      </c>
      <c r="M544" t="str">
        <f>VLOOKUP($E544,Customer_Dim!$A$2:$F$501,3,FALSE)</f>
        <v>Female</v>
      </c>
      <c r="N544" t="str">
        <f>VLOOKUP($E544,Customer_Dim!$A$2:$F$501,5,FALSE)</f>
        <v>USA</v>
      </c>
      <c r="O544" t="str">
        <f>VLOOKUP($E544,Customer_Dim!$A$2:$F$501,6,FALSE)</f>
        <v>UNKNOWN</v>
      </c>
      <c r="P544" t="str">
        <f>VLOOKUP($A544,Store_Dim!$A$2:$F$21,3,FALSE)</f>
        <v>EastJohnsonville</v>
      </c>
    </row>
    <row r="545" spans="1:16" x14ac:dyDescent="0.25">
      <c r="A545" t="s">
        <v>825</v>
      </c>
      <c r="B545" t="s">
        <v>2642</v>
      </c>
      <c r="C545" t="s">
        <v>590</v>
      </c>
      <c r="D545" s="2">
        <v>45735</v>
      </c>
      <c r="E545" t="s">
        <v>275</v>
      </c>
      <c r="F545" t="str">
        <f>VLOOKUP($C545,Product_Dim!$A$2:$D$101,3,FALSE)</f>
        <v>Perez-Johnston</v>
      </c>
      <c r="G545" t="str">
        <f>VLOOKUP($C545,Product_Dim!$A$2:$D$101,2,FALSE)</f>
        <v>Electronics</v>
      </c>
      <c r="H545">
        <v>2</v>
      </c>
      <c r="I545">
        <v>194.09</v>
      </c>
      <c r="J545">
        <v>0.18</v>
      </c>
      <c r="K545" s="3">
        <v>318.30759999999998</v>
      </c>
      <c r="L545" t="s">
        <v>854</v>
      </c>
      <c r="M545" t="str">
        <f>VLOOKUP($E545,Customer_Dim!$A$2:$F$501,3,FALSE)</f>
        <v>Male</v>
      </c>
      <c r="N545" t="str">
        <f>VLOOKUP($E545,Customer_Dim!$A$2:$F$501,5,FALSE)</f>
        <v>USA</v>
      </c>
      <c r="O545" t="str">
        <f>VLOOKUP($E545,Customer_Dim!$A$2:$F$501,6,FALSE)</f>
        <v>Silver</v>
      </c>
      <c r="P545" t="str">
        <f>VLOOKUP($A545,Store_Dim!$A$2:$F$21,3,FALSE)</f>
        <v>EastJohnsonville</v>
      </c>
    </row>
    <row r="546" spans="1:16" hidden="1" x14ac:dyDescent="0.25">
      <c r="A546" t="s">
        <v>825</v>
      </c>
      <c r="B546" t="s">
        <v>2156</v>
      </c>
      <c r="C546" t="s">
        <v>738</v>
      </c>
      <c r="D546" s="2">
        <v>45418</v>
      </c>
      <c r="E546" t="s">
        <v>350</v>
      </c>
      <c r="F546" t="str">
        <f>VLOOKUP($C546,Product_Dim!$A$2:$D$101,3,FALSE)</f>
        <v>Robinson-Brown</v>
      </c>
      <c r="G546" t="str">
        <f>VLOOKUP($C546,Product_Dim!$A$2:$D$101,2,FALSE)</f>
        <v>Sports</v>
      </c>
      <c r="H546">
        <v>1</v>
      </c>
      <c r="I546">
        <v>747.9</v>
      </c>
      <c r="J546">
        <v>0.21</v>
      </c>
      <c r="K546" s="3">
        <v>590.84100000000001</v>
      </c>
      <c r="L546" t="s">
        <v>857</v>
      </c>
      <c r="M546" t="str">
        <f>VLOOKUP($E546,Customer_Dim!$A$2:$F$501,3,FALSE)</f>
        <v>Female</v>
      </c>
      <c r="N546" t="str">
        <f>VLOOKUP($E546,Customer_Dim!$A$2:$F$501,5,FALSE)</f>
        <v>USA</v>
      </c>
      <c r="O546" t="str">
        <f>VLOOKUP($E546,Customer_Dim!$A$2:$F$501,6,FALSE)</f>
        <v>Silver</v>
      </c>
      <c r="P546" t="str">
        <f>VLOOKUP($A546,Store_Dim!$A$2:$F$21,3,FALSE)</f>
        <v>EastJohnsonville</v>
      </c>
    </row>
    <row r="547" spans="1:16" x14ac:dyDescent="0.25">
      <c r="A547" t="s">
        <v>825</v>
      </c>
      <c r="B547" t="s">
        <v>2616</v>
      </c>
      <c r="C547" t="s">
        <v>744</v>
      </c>
      <c r="D547" s="2">
        <v>45610</v>
      </c>
      <c r="E547" t="s">
        <v>101</v>
      </c>
      <c r="F547" t="str">
        <f>VLOOKUP($C547,Product_Dim!$A$2:$D$101,3,FALSE)</f>
        <v>Collins-Stephenson</v>
      </c>
      <c r="G547" t="str">
        <f>VLOOKUP($C547,Product_Dim!$A$2:$D$101,2,FALSE)</f>
        <v>Home</v>
      </c>
      <c r="H547">
        <v>4</v>
      </c>
      <c r="I547">
        <v>341.95</v>
      </c>
      <c r="J547">
        <v>0.25</v>
      </c>
      <c r="K547" s="3">
        <v>1025.8499999999999</v>
      </c>
      <c r="L547" t="s">
        <v>852</v>
      </c>
      <c r="M547" t="str">
        <f>VLOOKUP($E547,Customer_Dim!$A$2:$F$501,3,FALSE)</f>
        <v>Male</v>
      </c>
      <c r="N547" t="str">
        <f>VLOOKUP($E547,Customer_Dim!$A$2:$F$501,5,FALSE)</f>
        <v>USA</v>
      </c>
      <c r="O547" t="str">
        <f>VLOOKUP($E547,Customer_Dim!$A$2:$F$501,6,FALSE)</f>
        <v>Platinum</v>
      </c>
      <c r="P547" t="str">
        <f>VLOOKUP($A547,Store_Dim!$A$2:$F$21,3,FALSE)</f>
        <v>EastJohnsonville</v>
      </c>
    </row>
    <row r="548" spans="1:16" x14ac:dyDescent="0.25">
      <c r="A548" t="s">
        <v>825</v>
      </c>
      <c r="B548" t="s">
        <v>1714</v>
      </c>
      <c r="C548" t="s">
        <v>744</v>
      </c>
      <c r="D548" s="2">
        <v>45691</v>
      </c>
      <c r="E548" t="s">
        <v>108</v>
      </c>
      <c r="F548" t="str">
        <f>VLOOKUP($C548,Product_Dim!$A$2:$D$101,3,FALSE)</f>
        <v>Collins-Stephenson</v>
      </c>
      <c r="G548" t="str">
        <f>VLOOKUP($C548,Product_Dim!$A$2:$D$101,2,FALSE)</f>
        <v>Home</v>
      </c>
      <c r="H548">
        <v>3</v>
      </c>
      <c r="I548">
        <v>904.96</v>
      </c>
      <c r="J548">
        <v>7.0000000000000007E-2</v>
      </c>
      <c r="K548" s="3">
        <v>2524.8384000000001</v>
      </c>
      <c r="L548" t="s">
        <v>857</v>
      </c>
      <c r="M548" t="str">
        <f>VLOOKUP($E548,Customer_Dim!$A$2:$F$501,3,FALSE)</f>
        <v>Male</v>
      </c>
      <c r="N548" t="str">
        <f>VLOOKUP($E548,Customer_Dim!$A$2:$F$501,5,FALSE)</f>
        <v>USA</v>
      </c>
      <c r="O548" t="str">
        <f>VLOOKUP($E548,Customer_Dim!$A$2:$F$501,6,FALSE)</f>
        <v>Platinum</v>
      </c>
      <c r="P548" t="str">
        <f>VLOOKUP($A548,Store_Dim!$A$2:$F$21,3,FALSE)</f>
        <v>EastJohnsonville</v>
      </c>
    </row>
    <row r="549" spans="1:16" hidden="1" x14ac:dyDescent="0.25">
      <c r="A549" t="s">
        <v>825</v>
      </c>
      <c r="B549" t="s">
        <v>1138</v>
      </c>
      <c r="C549" t="s">
        <v>744</v>
      </c>
      <c r="D549" s="2">
        <v>45518</v>
      </c>
      <c r="E549" t="s">
        <v>326</v>
      </c>
      <c r="F549" t="str">
        <f>VLOOKUP($C549,Product_Dim!$A$2:$D$101,3,FALSE)</f>
        <v>Collins-Stephenson</v>
      </c>
      <c r="G549" t="str">
        <f>VLOOKUP($C549,Product_Dim!$A$2:$D$101,2,FALSE)</f>
        <v>Home</v>
      </c>
      <c r="H549">
        <v>1</v>
      </c>
      <c r="I549">
        <v>520.92999999999995</v>
      </c>
      <c r="J549">
        <v>0.15</v>
      </c>
      <c r="K549" s="3">
        <v>442.79050000000001</v>
      </c>
      <c r="L549" t="s">
        <v>852</v>
      </c>
      <c r="M549" t="str">
        <f>VLOOKUP($E549,Customer_Dim!$A$2:$F$501,3,FALSE)</f>
        <v>Female</v>
      </c>
      <c r="N549" t="str">
        <f>VLOOKUP($E549,Customer_Dim!$A$2:$F$501,5,FALSE)</f>
        <v>USA</v>
      </c>
      <c r="O549" t="str">
        <f>VLOOKUP($E549,Customer_Dim!$A$2:$F$501,6,FALSE)</f>
        <v>Platinum</v>
      </c>
      <c r="P549" t="str">
        <f>VLOOKUP($A549,Store_Dim!$A$2:$F$21,3,FALSE)</f>
        <v>EastJohnsonville</v>
      </c>
    </row>
    <row r="550" spans="1:16" x14ac:dyDescent="0.25">
      <c r="A550" t="s">
        <v>825</v>
      </c>
      <c r="B550" t="s">
        <v>2118</v>
      </c>
      <c r="C550" t="s">
        <v>744</v>
      </c>
      <c r="D550" s="2">
        <v>45491</v>
      </c>
      <c r="E550" t="s">
        <v>347</v>
      </c>
      <c r="F550" t="str">
        <f>VLOOKUP($C550,Product_Dim!$A$2:$D$101,3,FALSE)</f>
        <v>Collins-Stephenson</v>
      </c>
      <c r="G550" t="str">
        <f>VLOOKUP($C550,Product_Dim!$A$2:$D$101,2,FALSE)</f>
        <v>Home</v>
      </c>
      <c r="H550">
        <v>2</v>
      </c>
      <c r="I550">
        <v>905.26</v>
      </c>
      <c r="J550">
        <v>0.15</v>
      </c>
      <c r="K550" s="3">
        <v>1538.942</v>
      </c>
      <c r="L550" t="s">
        <v>857</v>
      </c>
      <c r="M550" t="str">
        <f>VLOOKUP($E550,Customer_Dim!$A$2:$F$501,3,FALSE)</f>
        <v>Male</v>
      </c>
      <c r="N550" t="str">
        <f>VLOOKUP($E550,Customer_Dim!$A$2:$F$501,5,FALSE)</f>
        <v>USA</v>
      </c>
      <c r="O550" t="str">
        <f>VLOOKUP($E550,Customer_Dim!$A$2:$F$501,6,FALSE)</f>
        <v>Bronze</v>
      </c>
      <c r="P550" t="str">
        <f>VLOOKUP($A550,Store_Dim!$A$2:$F$21,3,FALSE)</f>
        <v>EastJohnsonville</v>
      </c>
    </row>
    <row r="551" spans="1:16" hidden="1" x14ac:dyDescent="0.25">
      <c r="A551" t="s">
        <v>825</v>
      </c>
      <c r="B551" t="s">
        <v>1733</v>
      </c>
      <c r="C551" t="s">
        <v>746</v>
      </c>
      <c r="D551" s="2">
        <v>45281</v>
      </c>
      <c r="E551" t="s">
        <v>224</v>
      </c>
      <c r="F551" t="str">
        <f>VLOOKUP($C551,Product_Dim!$A$2:$D$101,3,FALSE)</f>
        <v>Richardson-Carrillo</v>
      </c>
      <c r="G551" t="str">
        <f>VLOOKUP($C551,Product_Dim!$A$2:$D$101,2,FALSE)</f>
        <v>Clothing</v>
      </c>
      <c r="H551">
        <v>2</v>
      </c>
      <c r="I551">
        <v>652.29999999999995</v>
      </c>
      <c r="J551">
        <v>0.16</v>
      </c>
      <c r="K551" s="3">
        <v>1095.864</v>
      </c>
      <c r="L551" t="s">
        <v>857</v>
      </c>
      <c r="M551" t="str">
        <f>VLOOKUP($E551,Customer_Dim!$A$2:$F$501,3,FALSE)</f>
        <v>Female</v>
      </c>
      <c r="N551" t="str">
        <f>VLOOKUP($E551,Customer_Dim!$A$2:$F$501,5,FALSE)</f>
        <v>USA</v>
      </c>
      <c r="O551" t="str">
        <f>VLOOKUP($E551,Customer_Dim!$A$2:$F$501,6,FALSE)</f>
        <v>Platinum</v>
      </c>
      <c r="P551" t="str">
        <f>VLOOKUP($A551,Store_Dim!$A$2:$F$21,3,FALSE)</f>
        <v>EastJohnsonville</v>
      </c>
    </row>
    <row r="552" spans="1:16" hidden="1" x14ac:dyDescent="0.25">
      <c r="A552" t="s">
        <v>825</v>
      </c>
      <c r="B552" t="s">
        <v>2497</v>
      </c>
      <c r="C552" t="s">
        <v>748</v>
      </c>
      <c r="D552" s="2">
        <v>45547</v>
      </c>
      <c r="E552" t="s">
        <v>46</v>
      </c>
      <c r="F552" t="str">
        <f>VLOOKUP($C552,Product_Dim!$A$2:$D$101,3,FALSE)</f>
        <v>Taylor, Dodson and Johnston</v>
      </c>
      <c r="G552" t="str">
        <f>VLOOKUP($C552,Product_Dim!$A$2:$D$101,2,FALSE)</f>
        <v>Home</v>
      </c>
      <c r="H552">
        <v>4</v>
      </c>
      <c r="I552">
        <v>292.31</v>
      </c>
      <c r="J552">
        <v>0.27</v>
      </c>
      <c r="K552" s="3">
        <v>853.54520000000002</v>
      </c>
      <c r="L552" t="s">
        <v>854</v>
      </c>
      <c r="M552" t="str">
        <f>VLOOKUP($E552,Customer_Dim!$A$2:$F$501,3,FALSE)</f>
        <v>Female</v>
      </c>
      <c r="N552" t="str">
        <f>VLOOKUP($E552,Customer_Dim!$A$2:$F$501,5,FALSE)</f>
        <v>USA</v>
      </c>
      <c r="O552" t="str">
        <f>VLOOKUP($E552,Customer_Dim!$A$2:$F$501,6,FALSE)</f>
        <v>Platinum</v>
      </c>
      <c r="P552" t="str">
        <f>VLOOKUP($A552,Store_Dim!$A$2:$F$21,3,FALSE)</f>
        <v>EastJohnsonville</v>
      </c>
    </row>
    <row r="553" spans="1:16" hidden="1" x14ac:dyDescent="0.25">
      <c r="A553" t="s">
        <v>825</v>
      </c>
      <c r="B553" t="s">
        <v>1386</v>
      </c>
      <c r="C553" t="s">
        <v>748</v>
      </c>
      <c r="D553" s="2">
        <v>45447</v>
      </c>
      <c r="E553" t="s">
        <v>235</v>
      </c>
      <c r="F553" t="str">
        <f>VLOOKUP($C553,Product_Dim!$A$2:$D$101,3,FALSE)</f>
        <v>Taylor, Dodson and Johnston</v>
      </c>
      <c r="G553" t="str">
        <f>VLOOKUP($C553,Product_Dim!$A$2:$D$101,2,FALSE)</f>
        <v>Home</v>
      </c>
      <c r="H553">
        <v>4</v>
      </c>
      <c r="I553">
        <v>817.92</v>
      </c>
      <c r="J553">
        <v>0.21</v>
      </c>
      <c r="K553" s="3">
        <v>2584.6271999999999</v>
      </c>
      <c r="L553" t="s">
        <v>852</v>
      </c>
      <c r="M553" t="str">
        <f>VLOOKUP($E553,Customer_Dim!$A$2:$F$501,3,FALSE)</f>
        <v>Female</v>
      </c>
      <c r="N553" t="str">
        <f>VLOOKUP($E553,Customer_Dim!$A$2:$F$501,5,FALSE)</f>
        <v>USA</v>
      </c>
      <c r="O553" t="str">
        <f>VLOOKUP($E553,Customer_Dim!$A$2:$F$501,6,FALSE)</f>
        <v>Platinum</v>
      </c>
      <c r="P553" t="str">
        <f>VLOOKUP($A553,Store_Dim!$A$2:$F$21,3,FALSE)</f>
        <v>EastJohnsonville</v>
      </c>
    </row>
    <row r="554" spans="1:16" hidden="1" x14ac:dyDescent="0.25">
      <c r="A554" t="s">
        <v>825</v>
      </c>
      <c r="B554" t="s">
        <v>1461</v>
      </c>
      <c r="C554" t="s">
        <v>750</v>
      </c>
      <c r="D554" s="2">
        <v>45583</v>
      </c>
      <c r="E554" t="s">
        <v>497</v>
      </c>
      <c r="F554" t="str">
        <f>VLOOKUP($C554,Product_Dim!$A$2:$D$101,3,FALSE)</f>
        <v>Aguilar, Horton and Lewis</v>
      </c>
      <c r="G554" t="str">
        <f>VLOOKUP($C554,Product_Dim!$A$2:$D$101,2,FALSE)</f>
        <v>Home</v>
      </c>
      <c r="H554">
        <v>3</v>
      </c>
      <c r="I554">
        <v>926.85</v>
      </c>
      <c r="J554">
        <v>0.18</v>
      </c>
      <c r="K554" s="3">
        <v>2280.0509999999999</v>
      </c>
      <c r="L554" t="s">
        <v>857</v>
      </c>
      <c r="M554" t="str">
        <f>VLOOKUP($E554,Customer_Dim!$A$2:$F$501,3,FALSE)</f>
        <v>Female</v>
      </c>
      <c r="N554" t="str">
        <f>VLOOKUP($E554,Customer_Dim!$A$2:$F$501,5,FALSE)</f>
        <v>USA</v>
      </c>
      <c r="O554" t="str">
        <f>VLOOKUP($E554,Customer_Dim!$A$2:$F$501,6,FALSE)</f>
        <v>Gold</v>
      </c>
      <c r="P554" t="str">
        <f>VLOOKUP($A554,Store_Dim!$A$2:$F$21,3,FALSE)</f>
        <v>EastJohnsonville</v>
      </c>
    </row>
    <row r="555" spans="1:16" hidden="1" x14ac:dyDescent="0.25">
      <c r="A555" t="s">
        <v>825</v>
      </c>
      <c r="B555" t="s">
        <v>1948</v>
      </c>
      <c r="C555" t="s">
        <v>750</v>
      </c>
      <c r="D555" s="2">
        <v>45816</v>
      </c>
      <c r="E555" t="s">
        <v>564</v>
      </c>
      <c r="F555" t="str">
        <f>VLOOKUP($C555,Product_Dim!$A$2:$D$101,3,FALSE)</f>
        <v>Aguilar, Horton and Lewis</v>
      </c>
      <c r="G555" t="str">
        <f>VLOOKUP($C555,Product_Dim!$A$2:$D$101,2,FALSE)</f>
        <v>Home</v>
      </c>
      <c r="H555">
        <v>1</v>
      </c>
      <c r="I555">
        <v>575.94000000000005</v>
      </c>
      <c r="J555">
        <v>0.17</v>
      </c>
      <c r="K555" s="3">
        <v>478.03019999999998</v>
      </c>
      <c r="L555" t="s">
        <v>852</v>
      </c>
      <c r="M555" t="str">
        <f>VLOOKUP($E555,Customer_Dim!$A$2:$F$501,3,FALSE)</f>
        <v>Female</v>
      </c>
      <c r="N555" t="str">
        <f>VLOOKUP($E555,Customer_Dim!$A$2:$F$501,5,FALSE)</f>
        <v>USA</v>
      </c>
      <c r="O555" t="str">
        <f>VLOOKUP($E555,Customer_Dim!$A$2:$F$501,6,FALSE)</f>
        <v>Gold</v>
      </c>
      <c r="P555" t="str">
        <f>VLOOKUP($A555,Store_Dim!$A$2:$F$21,3,FALSE)</f>
        <v>EastJohnsonville</v>
      </c>
    </row>
    <row r="556" spans="1:16" hidden="1" x14ac:dyDescent="0.25">
      <c r="A556" t="s">
        <v>825</v>
      </c>
      <c r="B556" t="s">
        <v>1539</v>
      </c>
      <c r="C556" t="s">
        <v>752</v>
      </c>
      <c r="D556" s="2">
        <v>45270</v>
      </c>
      <c r="E556" t="s">
        <v>523</v>
      </c>
      <c r="F556" t="str">
        <f>VLOOKUP($C556,Product_Dim!$A$2:$D$101,3,FALSE)</f>
        <v>Olsen-Daniels</v>
      </c>
      <c r="G556" t="str">
        <f>VLOOKUP($C556,Product_Dim!$A$2:$D$101,2,FALSE)</f>
        <v>Sports</v>
      </c>
      <c r="H556">
        <v>4</v>
      </c>
      <c r="I556">
        <v>451.41</v>
      </c>
      <c r="J556">
        <v>0.06</v>
      </c>
      <c r="K556" s="3">
        <v>1697.3016</v>
      </c>
      <c r="L556" t="s">
        <v>854</v>
      </c>
      <c r="M556" t="str">
        <f>VLOOKUP($E556,Customer_Dim!$A$2:$F$501,3,FALSE)</f>
        <v>Female</v>
      </c>
      <c r="N556" t="str">
        <f>VLOOKUP($E556,Customer_Dim!$A$2:$F$501,5,FALSE)</f>
        <v>USA</v>
      </c>
      <c r="O556" t="str">
        <f>VLOOKUP($E556,Customer_Dim!$A$2:$F$501,6,FALSE)</f>
        <v>Gold</v>
      </c>
      <c r="P556" t="str">
        <f>VLOOKUP($A556,Store_Dim!$A$2:$F$21,3,FALSE)</f>
        <v>EastJohnsonville</v>
      </c>
    </row>
    <row r="557" spans="1:16" x14ac:dyDescent="0.25">
      <c r="A557" t="s">
        <v>825</v>
      </c>
      <c r="B557" t="s">
        <v>2800</v>
      </c>
      <c r="C557" t="s">
        <v>593</v>
      </c>
      <c r="D557" s="2">
        <v>45607</v>
      </c>
      <c r="E557" t="s">
        <v>443</v>
      </c>
      <c r="F557" t="str">
        <f>VLOOKUP($C557,Product_Dim!$A$2:$D$101,3,FALSE)</f>
        <v>Hill PLC</v>
      </c>
      <c r="G557" t="str">
        <f>VLOOKUP($C557,Product_Dim!$A$2:$D$101,2,FALSE)</f>
        <v>Sports</v>
      </c>
      <c r="H557">
        <v>4</v>
      </c>
      <c r="I557">
        <v>243.13</v>
      </c>
      <c r="J557">
        <v>0.25</v>
      </c>
      <c r="K557" s="3">
        <v>729.39</v>
      </c>
      <c r="L557" t="s">
        <v>857</v>
      </c>
      <c r="M557" t="str">
        <f>VLOOKUP($E557,Customer_Dim!$A$2:$F$501,3,FALSE)</f>
        <v>Male</v>
      </c>
      <c r="N557" t="str">
        <f>VLOOKUP($E557,Customer_Dim!$A$2:$F$501,5,FALSE)</f>
        <v>USA</v>
      </c>
      <c r="O557" t="str">
        <f>VLOOKUP($E557,Customer_Dim!$A$2:$F$501,6,FALSE)</f>
        <v>Bronze</v>
      </c>
      <c r="P557" t="str">
        <f>VLOOKUP($A557,Store_Dim!$A$2:$F$21,3,FALSE)</f>
        <v>EastJohnsonville</v>
      </c>
    </row>
    <row r="558" spans="1:16" x14ac:dyDescent="0.25">
      <c r="A558" t="s">
        <v>825</v>
      </c>
      <c r="B558" t="s">
        <v>2091</v>
      </c>
      <c r="C558" t="s">
        <v>756</v>
      </c>
      <c r="D558" s="2">
        <v>45912</v>
      </c>
      <c r="E558" t="s">
        <v>198</v>
      </c>
      <c r="F558" t="str">
        <f>VLOOKUP($C558,Product_Dim!$A$2:$D$101,3,FALSE)</f>
        <v>Sharp, Taylor and Rodriguez</v>
      </c>
      <c r="G558" t="str">
        <f>VLOOKUP($C558,Product_Dim!$A$2:$D$101,2,FALSE)</f>
        <v>Electronics</v>
      </c>
      <c r="H558">
        <v>1</v>
      </c>
      <c r="I558">
        <v>822.6</v>
      </c>
      <c r="J558">
        <v>0.28999999999999998</v>
      </c>
      <c r="K558" s="3">
        <v>584.04599999999994</v>
      </c>
      <c r="L558" t="s">
        <v>854</v>
      </c>
      <c r="M558" t="str">
        <f>VLOOKUP($E558,Customer_Dim!$A$2:$F$501,3,FALSE)</f>
        <v>Male</v>
      </c>
      <c r="N558" t="str">
        <f>VLOOKUP($E558,Customer_Dim!$A$2:$F$501,5,FALSE)</f>
        <v>USA</v>
      </c>
      <c r="O558" t="str">
        <f>VLOOKUP($E558,Customer_Dim!$A$2:$F$501,6,FALSE)</f>
        <v>Gold</v>
      </c>
      <c r="P558" t="str">
        <f>VLOOKUP($A558,Store_Dim!$A$2:$F$21,3,FALSE)</f>
        <v>EastJohnsonville</v>
      </c>
    </row>
    <row r="559" spans="1:16" hidden="1" x14ac:dyDescent="0.25">
      <c r="A559" t="s">
        <v>825</v>
      </c>
      <c r="B559" t="s">
        <v>1225</v>
      </c>
      <c r="C559" t="s">
        <v>756</v>
      </c>
      <c r="D559" s="2">
        <v>45520</v>
      </c>
      <c r="E559" t="s">
        <v>297</v>
      </c>
      <c r="F559" t="str">
        <f>VLOOKUP($C559,Product_Dim!$A$2:$D$101,3,FALSE)</f>
        <v>Sharp, Taylor and Rodriguez</v>
      </c>
      <c r="G559" t="str">
        <f>VLOOKUP($C559,Product_Dim!$A$2:$D$101,2,FALSE)</f>
        <v>Electronics</v>
      </c>
      <c r="H559">
        <v>1</v>
      </c>
      <c r="I559">
        <v>752.45</v>
      </c>
      <c r="J559">
        <v>0.21</v>
      </c>
      <c r="K559" s="3">
        <v>594.43550000000005</v>
      </c>
      <c r="L559" t="s">
        <v>857</v>
      </c>
      <c r="M559" t="str">
        <f>VLOOKUP($E559,Customer_Dim!$A$2:$F$501,3,FALSE)</f>
        <v>Female</v>
      </c>
      <c r="N559" t="str">
        <f>VLOOKUP($E559,Customer_Dim!$A$2:$F$501,5,FALSE)</f>
        <v>USA</v>
      </c>
      <c r="O559" t="str">
        <f>VLOOKUP($E559,Customer_Dim!$A$2:$F$501,6,FALSE)</f>
        <v>Bronze</v>
      </c>
      <c r="P559" t="str">
        <f>VLOOKUP($A559,Store_Dim!$A$2:$F$21,3,FALSE)</f>
        <v>EastJohnsonville</v>
      </c>
    </row>
    <row r="560" spans="1:16" x14ac:dyDescent="0.25">
      <c r="A560" t="s">
        <v>825</v>
      </c>
      <c r="B560" t="s">
        <v>1825</v>
      </c>
      <c r="C560" t="s">
        <v>758</v>
      </c>
      <c r="D560" s="2">
        <v>45530</v>
      </c>
      <c r="E560" t="s">
        <v>347</v>
      </c>
      <c r="F560" t="str">
        <f>VLOOKUP($C560,Product_Dim!$A$2:$D$101,3,FALSE)</f>
        <v>Smith-Charles</v>
      </c>
      <c r="G560" t="str">
        <f>VLOOKUP($C560,Product_Dim!$A$2:$D$101,2,FALSE)</f>
        <v>Clothing</v>
      </c>
      <c r="H560">
        <v>4</v>
      </c>
      <c r="I560">
        <v>853.26</v>
      </c>
      <c r="J560">
        <v>0.24</v>
      </c>
      <c r="K560" s="3">
        <v>2593.9104000000002</v>
      </c>
      <c r="L560" t="s">
        <v>857</v>
      </c>
      <c r="M560" t="str">
        <f>VLOOKUP($E560,Customer_Dim!$A$2:$F$501,3,FALSE)</f>
        <v>Male</v>
      </c>
      <c r="N560" t="str">
        <f>VLOOKUP($E560,Customer_Dim!$A$2:$F$501,5,FALSE)</f>
        <v>USA</v>
      </c>
      <c r="O560" t="str">
        <f>VLOOKUP($E560,Customer_Dim!$A$2:$F$501,6,FALSE)</f>
        <v>Bronze</v>
      </c>
      <c r="P560" t="str">
        <f>VLOOKUP($A560,Store_Dim!$A$2:$F$21,3,FALSE)</f>
        <v>EastJohnsonville</v>
      </c>
    </row>
    <row r="561" spans="1:16" x14ac:dyDescent="0.25">
      <c r="A561" t="s">
        <v>825</v>
      </c>
      <c r="B561" t="s">
        <v>1245</v>
      </c>
      <c r="C561" t="s">
        <v>762</v>
      </c>
      <c r="D561" s="2">
        <v>45478</v>
      </c>
      <c r="E561" t="s">
        <v>205</v>
      </c>
      <c r="F561" t="str">
        <f>VLOOKUP($C561,Product_Dim!$A$2:$D$101,3,FALSE)</f>
        <v>Martin LLC</v>
      </c>
      <c r="G561" t="str">
        <f>VLOOKUP($C561,Product_Dim!$A$2:$D$101,2,FALSE)</f>
        <v>Electronics</v>
      </c>
      <c r="H561">
        <v>2</v>
      </c>
      <c r="I561">
        <v>153.84</v>
      </c>
      <c r="J561">
        <v>0.27</v>
      </c>
      <c r="K561" s="3">
        <v>224.60640000000001</v>
      </c>
      <c r="L561" t="s">
        <v>854</v>
      </c>
      <c r="M561" t="str">
        <f>VLOOKUP($E561,Customer_Dim!$A$2:$F$501,3,FALSE)</f>
        <v>Male</v>
      </c>
      <c r="N561" t="str">
        <f>VLOOKUP($E561,Customer_Dim!$A$2:$F$501,5,FALSE)</f>
        <v>USA</v>
      </c>
      <c r="O561" t="str">
        <f>VLOOKUP($E561,Customer_Dim!$A$2:$F$501,6,FALSE)</f>
        <v>Bronze</v>
      </c>
      <c r="P561" t="str">
        <f>VLOOKUP($A561,Store_Dim!$A$2:$F$21,3,FALSE)</f>
        <v>EastJohnsonville</v>
      </c>
    </row>
    <row r="562" spans="1:16" hidden="1" x14ac:dyDescent="0.25">
      <c r="A562" t="s">
        <v>825</v>
      </c>
      <c r="B562" t="s">
        <v>1226</v>
      </c>
      <c r="C562" t="s">
        <v>764</v>
      </c>
      <c r="D562" s="2">
        <v>45373</v>
      </c>
      <c r="E562" t="s">
        <v>77</v>
      </c>
      <c r="F562" t="str">
        <f>VLOOKUP($C562,Product_Dim!$A$2:$D$101,3,FALSE)</f>
        <v>Hoffman-Williams</v>
      </c>
      <c r="G562" t="str">
        <f>VLOOKUP($C562,Product_Dim!$A$2:$D$101,2,FALSE)</f>
        <v>Beauty</v>
      </c>
      <c r="H562">
        <v>2</v>
      </c>
      <c r="I562">
        <v>209.66</v>
      </c>
      <c r="J562">
        <v>0.21</v>
      </c>
      <c r="K562" s="3">
        <v>331.26280000000003</v>
      </c>
      <c r="L562" t="s">
        <v>852</v>
      </c>
      <c r="M562" t="str">
        <f>VLOOKUP($E562,Customer_Dim!$A$2:$F$501,3,FALSE)</f>
        <v>Female</v>
      </c>
      <c r="N562" t="str">
        <f>VLOOKUP($E562,Customer_Dim!$A$2:$F$501,5,FALSE)</f>
        <v>USA</v>
      </c>
      <c r="O562" t="str">
        <f>VLOOKUP($E562,Customer_Dim!$A$2:$F$501,6,FALSE)</f>
        <v>UNKNOWN</v>
      </c>
      <c r="P562" t="str">
        <f>VLOOKUP($A562,Store_Dim!$A$2:$F$21,3,FALSE)</f>
        <v>EastJohnsonville</v>
      </c>
    </row>
    <row r="563" spans="1:16" hidden="1" x14ac:dyDescent="0.25">
      <c r="A563" t="s">
        <v>825</v>
      </c>
      <c r="B563" t="s">
        <v>2283</v>
      </c>
      <c r="C563" t="s">
        <v>764</v>
      </c>
      <c r="D563" s="2">
        <v>45804</v>
      </c>
      <c r="E563" t="s">
        <v>311</v>
      </c>
      <c r="F563" t="str">
        <f>VLOOKUP($C563,Product_Dim!$A$2:$D$101,3,FALSE)</f>
        <v>Hoffman-Williams</v>
      </c>
      <c r="G563" t="str">
        <f>VLOOKUP($C563,Product_Dim!$A$2:$D$101,2,FALSE)</f>
        <v>Beauty</v>
      </c>
      <c r="H563">
        <v>2</v>
      </c>
      <c r="I563">
        <v>822.59</v>
      </c>
      <c r="J563">
        <v>0.22</v>
      </c>
      <c r="K563" s="3">
        <v>1283.2403999999999</v>
      </c>
      <c r="L563" t="s">
        <v>854</v>
      </c>
      <c r="M563" t="str">
        <f>VLOOKUP($E563,Customer_Dim!$A$2:$F$501,3,FALSE)</f>
        <v>Female</v>
      </c>
      <c r="N563" t="str">
        <f>VLOOKUP($E563,Customer_Dim!$A$2:$F$501,5,FALSE)</f>
        <v>USA</v>
      </c>
      <c r="O563" t="str">
        <f>VLOOKUP($E563,Customer_Dim!$A$2:$F$501,6,FALSE)</f>
        <v>Platinum</v>
      </c>
      <c r="P563" t="str">
        <f>VLOOKUP($A563,Store_Dim!$A$2:$F$21,3,FALSE)</f>
        <v>EastJohnsonville</v>
      </c>
    </row>
    <row r="564" spans="1:16" x14ac:dyDescent="0.25">
      <c r="A564" t="s">
        <v>825</v>
      </c>
      <c r="B564" t="s">
        <v>2793</v>
      </c>
      <c r="C564" t="s">
        <v>768</v>
      </c>
      <c r="D564" s="2">
        <v>45382</v>
      </c>
      <c r="E564" t="s">
        <v>220</v>
      </c>
      <c r="F564" t="str">
        <f>VLOOKUP($C564,Product_Dim!$A$2:$D$101,3,FALSE)</f>
        <v>Phillips and Sons</v>
      </c>
      <c r="G564" t="str">
        <f>VLOOKUP($C564,Product_Dim!$A$2:$D$101,2,FALSE)</f>
        <v>Clothing</v>
      </c>
      <c r="H564">
        <v>2</v>
      </c>
      <c r="I564">
        <v>629.86</v>
      </c>
      <c r="J564">
        <v>0.15</v>
      </c>
      <c r="K564" s="3">
        <v>1070.7619999999999</v>
      </c>
      <c r="L564" t="s">
        <v>854</v>
      </c>
      <c r="M564" t="str">
        <f>VLOOKUP($E564,Customer_Dim!$A$2:$F$501,3,FALSE)</f>
        <v>Male</v>
      </c>
      <c r="N564" t="str">
        <f>VLOOKUP($E564,Customer_Dim!$A$2:$F$501,5,FALSE)</f>
        <v>USA</v>
      </c>
      <c r="O564" t="str">
        <f>VLOOKUP($E564,Customer_Dim!$A$2:$F$501,6,FALSE)</f>
        <v>Bronze</v>
      </c>
      <c r="P564" t="str">
        <f>VLOOKUP($A564,Store_Dim!$A$2:$F$21,3,FALSE)</f>
        <v>EastJohnsonville</v>
      </c>
    </row>
    <row r="565" spans="1:16" hidden="1" x14ac:dyDescent="0.25">
      <c r="A565" t="s">
        <v>825</v>
      </c>
      <c r="B565" t="s">
        <v>2335</v>
      </c>
      <c r="C565" t="s">
        <v>770</v>
      </c>
      <c r="D565" s="2">
        <v>45375</v>
      </c>
      <c r="E565" t="s">
        <v>57</v>
      </c>
      <c r="F565" t="str">
        <f>VLOOKUP($C565,Product_Dim!$A$2:$D$101,3,FALSE)</f>
        <v>Khan LLC</v>
      </c>
      <c r="G565" t="str">
        <f>VLOOKUP($C565,Product_Dim!$A$2:$D$101,2,FALSE)</f>
        <v>Sports</v>
      </c>
      <c r="H565">
        <v>1</v>
      </c>
      <c r="I565">
        <v>439.55</v>
      </c>
      <c r="J565">
        <v>0.28999999999999998</v>
      </c>
      <c r="K565" s="3">
        <v>312.08049999999997</v>
      </c>
      <c r="L565" t="s">
        <v>857</v>
      </c>
      <c r="M565" t="str">
        <f>VLOOKUP($E565,Customer_Dim!$A$2:$F$501,3,FALSE)</f>
        <v>Female</v>
      </c>
      <c r="N565" t="str">
        <f>VLOOKUP($E565,Customer_Dim!$A$2:$F$501,5,FALSE)</f>
        <v>USA</v>
      </c>
      <c r="O565" t="str">
        <f>VLOOKUP($E565,Customer_Dim!$A$2:$F$501,6,FALSE)</f>
        <v>Silver</v>
      </c>
      <c r="P565" t="str">
        <f>VLOOKUP($A565,Store_Dim!$A$2:$F$21,3,FALSE)</f>
        <v>EastJohnsonville</v>
      </c>
    </row>
    <row r="566" spans="1:16" x14ac:dyDescent="0.25">
      <c r="A566" t="s">
        <v>825</v>
      </c>
      <c r="B566" t="s">
        <v>1473</v>
      </c>
      <c r="C566" t="s">
        <v>770</v>
      </c>
      <c r="D566" s="2">
        <v>45765</v>
      </c>
      <c r="E566" t="s">
        <v>538</v>
      </c>
      <c r="F566" t="str">
        <f>VLOOKUP($C566,Product_Dim!$A$2:$D$101,3,FALSE)</f>
        <v>Khan LLC</v>
      </c>
      <c r="G566" t="str">
        <f>VLOOKUP($C566,Product_Dim!$A$2:$D$101,2,FALSE)</f>
        <v>Sports</v>
      </c>
      <c r="H566">
        <v>2</v>
      </c>
      <c r="I566">
        <v>394.5</v>
      </c>
      <c r="J566">
        <v>0.28999999999999998</v>
      </c>
      <c r="K566" s="3">
        <v>560.18999999999994</v>
      </c>
      <c r="L566" t="s">
        <v>857</v>
      </c>
      <c r="M566" t="str">
        <f>VLOOKUP($E566,Customer_Dim!$A$2:$F$501,3,FALSE)</f>
        <v>Male</v>
      </c>
      <c r="N566" t="str">
        <f>VLOOKUP($E566,Customer_Dim!$A$2:$F$501,5,FALSE)</f>
        <v>USA</v>
      </c>
      <c r="O566" t="str">
        <f>VLOOKUP($E566,Customer_Dim!$A$2:$F$501,6,FALSE)</f>
        <v>Platinum</v>
      </c>
      <c r="P566" t="str">
        <f>VLOOKUP($A566,Store_Dim!$A$2:$F$21,3,FALSE)</f>
        <v>EastJohnsonville</v>
      </c>
    </row>
    <row r="567" spans="1:16" x14ac:dyDescent="0.25">
      <c r="A567" t="s">
        <v>825</v>
      </c>
      <c r="B567" t="s">
        <v>2306</v>
      </c>
      <c r="C567" t="s">
        <v>772</v>
      </c>
      <c r="D567" s="2">
        <v>45788</v>
      </c>
      <c r="E567" t="s">
        <v>171</v>
      </c>
      <c r="F567" t="str">
        <f>VLOOKUP($C567,Product_Dim!$A$2:$D$101,3,FALSE)</f>
        <v>Flores-King</v>
      </c>
      <c r="G567" t="str">
        <f>VLOOKUP($C567,Product_Dim!$A$2:$D$101,2,FALSE)</f>
        <v>Electronics</v>
      </c>
      <c r="H567">
        <v>3</v>
      </c>
      <c r="I567">
        <v>758.87</v>
      </c>
      <c r="J567">
        <v>0.11</v>
      </c>
      <c r="K567" s="3">
        <v>2026.1829</v>
      </c>
      <c r="L567" t="s">
        <v>854</v>
      </c>
      <c r="M567" t="str">
        <f>VLOOKUP($E567,Customer_Dim!$A$2:$F$501,3,FALSE)</f>
        <v>Male</v>
      </c>
      <c r="N567" t="str">
        <f>VLOOKUP($E567,Customer_Dim!$A$2:$F$501,5,FALSE)</f>
        <v>USA</v>
      </c>
      <c r="O567" t="str">
        <f>VLOOKUP($E567,Customer_Dim!$A$2:$F$501,6,FALSE)</f>
        <v>Silver</v>
      </c>
      <c r="P567" t="str">
        <f>VLOOKUP($A567,Store_Dim!$A$2:$F$21,3,FALSE)</f>
        <v>EastJohnsonville</v>
      </c>
    </row>
    <row r="568" spans="1:16" hidden="1" x14ac:dyDescent="0.25">
      <c r="A568" t="s">
        <v>825</v>
      </c>
      <c r="B568" t="s">
        <v>1848</v>
      </c>
      <c r="C568" t="s">
        <v>774</v>
      </c>
      <c r="D568" s="2">
        <v>45926</v>
      </c>
      <c r="E568" t="s">
        <v>396</v>
      </c>
      <c r="F568" t="str">
        <f>VLOOKUP($C568,Product_Dim!$A$2:$D$101,3,FALSE)</f>
        <v>Campbell Ltd</v>
      </c>
      <c r="G568" t="str">
        <f>VLOOKUP($C568,Product_Dim!$A$2:$D$101,2,FALSE)</f>
        <v>Home</v>
      </c>
      <c r="H568">
        <v>2</v>
      </c>
      <c r="I568">
        <v>314.39999999999998</v>
      </c>
      <c r="J568">
        <v>7.0000000000000007E-2</v>
      </c>
      <c r="K568" s="3">
        <v>584.78399999999988</v>
      </c>
      <c r="L568" t="s">
        <v>854</v>
      </c>
      <c r="M568" t="str">
        <f>VLOOKUP($E568,Customer_Dim!$A$2:$F$501,3,FALSE)</f>
        <v>Female</v>
      </c>
      <c r="N568" t="str">
        <f>VLOOKUP($E568,Customer_Dim!$A$2:$F$501,5,FALSE)</f>
        <v>USA</v>
      </c>
      <c r="O568" t="str">
        <f>VLOOKUP($E568,Customer_Dim!$A$2:$F$501,6,FALSE)</f>
        <v>Bronze</v>
      </c>
      <c r="P568" t="str">
        <f>VLOOKUP($A568,Store_Dim!$A$2:$F$21,3,FALSE)</f>
        <v>EastJohnsonville</v>
      </c>
    </row>
    <row r="569" spans="1:16" hidden="1" x14ac:dyDescent="0.25">
      <c r="A569" t="s">
        <v>827</v>
      </c>
      <c r="B569" t="s">
        <v>2131</v>
      </c>
      <c r="C569" t="s">
        <v>571</v>
      </c>
      <c r="D569" s="2">
        <v>45524</v>
      </c>
      <c r="E569" t="s">
        <v>18</v>
      </c>
      <c r="F569" t="str">
        <f>VLOOKUP($C569,Product_Dim!$A$2:$D$101,3,FALSE)</f>
        <v>Hunt Inc</v>
      </c>
      <c r="G569" t="str">
        <f>VLOOKUP($C569,Product_Dim!$A$2:$D$101,2,FALSE)</f>
        <v>Electronics</v>
      </c>
      <c r="H569">
        <v>1</v>
      </c>
      <c r="I569">
        <v>449.6</v>
      </c>
      <c r="J569">
        <v>0.01</v>
      </c>
      <c r="K569" s="3">
        <v>445.10399999999998</v>
      </c>
      <c r="L569" t="s">
        <v>854</v>
      </c>
      <c r="M569" t="str">
        <f>VLOOKUP($E569,Customer_Dim!$A$2:$F$501,3,FALSE)</f>
        <v>Female</v>
      </c>
      <c r="N569" t="str">
        <f>VLOOKUP($E569,Customer_Dim!$A$2:$F$501,5,FALSE)</f>
        <v>USA</v>
      </c>
      <c r="O569" t="str">
        <f>VLOOKUP($E569,Customer_Dim!$A$2:$F$501,6,FALSE)</f>
        <v>Bronze</v>
      </c>
      <c r="P569" t="str">
        <f>VLOOKUP($A569,Store_Dim!$A$2:$F$21,3,FALSE)</f>
        <v>SouthChristopherland</v>
      </c>
    </row>
    <row r="570" spans="1:16" x14ac:dyDescent="0.25">
      <c r="A570" t="s">
        <v>827</v>
      </c>
      <c r="B570" t="s">
        <v>2583</v>
      </c>
      <c r="C570" t="s">
        <v>574</v>
      </c>
      <c r="D570" s="2">
        <v>45296</v>
      </c>
      <c r="E570" t="s">
        <v>359</v>
      </c>
      <c r="F570" t="str">
        <f>VLOOKUP($C570,Product_Dim!$A$2:$D$101,3,FALSE)</f>
        <v>Terry-Moore</v>
      </c>
      <c r="G570" t="str">
        <f>VLOOKUP($C570,Product_Dim!$A$2:$D$101,2,FALSE)</f>
        <v>Clothing</v>
      </c>
      <c r="H570">
        <v>4</v>
      </c>
      <c r="I570">
        <v>146.12</v>
      </c>
      <c r="J570">
        <v>0.12</v>
      </c>
      <c r="K570" s="3">
        <v>514.3424</v>
      </c>
      <c r="L570" t="s">
        <v>857</v>
      </c>
      <c r="M570" t="str">
        <f>VLOOKUP($E570,Customer_Dim!$A$2:$F$501,3,FALSE)</f>
        <v>Male</v>
      </c>
      <c r="N570" t="str">
        <f>VLOOKUP($E570,Customer_Dim!$A$2:$F$501,5,FALSE)</f>
        <v>USA</v>
      </c>
      <c r="O570" t="str">
        <f>VLOOKUP($E570,Customer_Dim!$A$2:$F$501,6,FALSE)</f>
        <v>Silver</v>
      </c>
      <c r="P570" t="str">
        <f>VLOOKUP($A570,Store_Dim!$A$2:$F$21,3,FALSE)</f>
        <v>SouthChristopherland</v>
      </c>
    </row>
    <row r="571" spans="1:16" hidden="1" x14ac:dyDescent="0.25">
      <c r="A571" t="s">
        <v>827</v>
      </c>
      <c r="B571" t="s">
        <v>1462</v>
      </c>
      <c r="C571" t="s">
        <v>596</v>
      </c>
      <c r="D571" s="2">
        <v>45662</v>
      </c>
      <c r="E571" t="s">
        <v>384</v>
      </c>
      <c r="F571" t="str">
        <f>VLOOKUP($C571,Product_Dim!$A$2:$D$101,3,FALSE)</f>
        <v>Hamilton Group</v>
      </c>
      <c r="G571" t="str">
        <f>VLOOKUP($C571,Product_Dim!$A$2:$D$101,2,FALSE)</f>
        <v>Home</v>
      </c>
      <c r="H571">
        <v>1</v>
      </c>
      <c r="I571">
        <v>874.59</v>
      </c>
      <c r="J571">
        <v>0.28999999999999998</v>
      </c>
      <c r="K571" s="3">
        <v>620.95889999999997</v>
      </c>
      <c r="L571" t="s">
        <v>854</v>
      </c>
      <c r="M571" t="str">
        <f>VLOOKUP($E571,Customer_Dim!$A$2:$F$501,3,FALSE)</f>
        <v>Female</v>
      </c>
      <c r="N571" t="str">
        <f>VLOOKUP($E571,Customer_Dim!$A$2:$F$501,5,FALSE)</f>
        <v>USA</v>
      </c>
      <c r="O571" t="str">
        <f>VLOOKUP($E571,Customer_Dim!$A$2:$F$501,6,FALSE)</f>
        <v>Gold</v>
      </c>
      <c r="P571" t="str">
        <f>VLOOKUP($A571,Store_Dim!$A$2:$F$21,3,FALSE)</f>
        <v>SouthChristopherland</v>
      </c>
    </row>
    <row r="572" spans="1:16" x14ac:dyDescent="0.25">
      <c r="A572" t="s">
        <v>827</v>
      </c>
      <c r="B572" t="s">
        <v>2024</v>
      </c>
      <c r="C572" t="s">
        <v>600</v>
      </c>
      <c r="D572" s="2">
        <v>45900</v>
      </c>
      <c r="E572" t="s">
        <v>410</v>
      </c>
      <c r="F572" t="str">
        <f>VLOOKUP($C572,Product_Dim!$A$2:$D$101,3,FALSE)</f>
        <v>Rice LLC</v>
      </c>
      <c r="G572" t="str">
        <f>VLOOKUP($C572,Product_Dim!$A$2:$D$101,2,FALSE)</f>
        <v>Beauty</v>
      </c>
      <c r="H572">
        <v>1</v>
      </c>
      <c r="I572">
        <v>424.83</v>
      </c>
      <c r="J572">
        <v>0.05</v>
      </c>
      <c r="K572" s="3">
        <v>403.58850000000001</v>
      </c>
      <c r="L572" t="s">
        <v>857</v>
      </c>
      <c r="M572" t="str">
        <f>VLOOKUP($E572,Customer_Dim!$A$2:$F$501,3,FALSE)</f>
        <v>Male</v>
      </c>
      <c r="N572" t="str">
        <f>VLOOKUP($E572,Customer_Dim!$A$2:$F$501,5,FALSE)</f>
        <v>USA</v>
      </c>
      <c r="O572" t="str">
        <f>VLOOKUP($E572,Customer_Dim!$A$2:$F$501,6,FALSE)</f>
        <v>Bronze</v>
      </c>
      <c r="P572" t="str">
        <f>VLOOKUP($A572,Store_Dim!$A$2:$F$21,3,FALSE)</f>
        <v>SouthChristopherland</v>
      </c>
    </row>
    <row r="573" spans="1:16" x14ac:dyDescent="0.25">
      <c r="A573" t="s">
        <v>827</v>
      </c>
      <c r="B573" t="s">
        <v>2540</v>
      </c>
      <c r="C573" t="s">
        <v>602</v>
      </c>
      <c r="D573" s="2">
        <v>45761</v>
      </c>
      <c r="E573" t="s">
        <v>422</v>
      </c>
      <c r="F573" t="str">
        <f>VLOOKUP($C573,Product_Dim!$A$2:$D$101,3,FALSE)</f>
        <v>Dawson-Perkins</v>
      </c>
      <c r="G573" t="str">
        <f>VLOOKUP($C573,Product_Dim!$A$2:$D$101,2,FALSE)</f>
        <v>Electronics</v>
      </c>
      <c r="H573">
        <v>2</v>
      </c>
      <c r="I573">
        <v>859.47</v>
      </c>
      <c r="J573">
        <v>0.01</v>
      </c>
      <c r="K573" s="3">
        <v>1701.7506000000001</v>
      </c>
      <c r="L573" t="s">
        <v>852</v>
      </c>
      <c r="M573" t="str">
        <f>VLOOKUP($E573,Customer_Dim!$A$2:$F$501,3,FALSE)</f>
        <v>Male</v>
      </c>
      <c r="N573" t="str">
        <f>VLOOKUP($E573,Customer_Dim!$A$2:$F$501,5,FALSE)</f>
        <v>USA</v>
      </c>
      <c r="O573" t="str">
        <f>VLOOKUP($E573,Customer_Dim!$A$2:$F$501,6,FALSE)</f>
        <v>Gold</v>
      </c>
      <c r="P573" t="str">
        <f>VLOOKUP($A573,Store_Dim!$A$2:$F$21,3,FALSE)</f>
        <v>SouthChristopherland</v>
      </c>
    </row>
    <row r="574" spans="1:16" hidden="1" x14ac:dyDescent="0.25">
      <c r="A574" t="s">
        <v>827</v>
      </c>
      <c r="B574" t="s">
        <v>1458</v>
      </c>
      <c r="C574" t="s">
        <v>604</v>
      </c>
      <c r="D574" s="2">
        <v>45635</v>
      </c>
      <c r="E574" t="s">
        <v>530</v>
      </c>
      <c r="F574" t="str">
        <f>VLOOKUP($C574,Product_Dim!$A$2:$D$101,3,FALSE)</f>
        <v>Luna, Anderson and Bowman</v>
      </c>
      <c r="G574" t="str">
        <f>VLOOKUP($C574,Product_Dim!$A$2:$D$101,2,FALSE)</f>
        <v>Home</v>
      </c>
      <c r="H574">
        <v>3</v>
      </c>
      <c r="I574">
        <v>970.89</v>
      </c>
      <c r="J574">
        <v>0.11</v>
      </c>
      <c r="K574" s="3">
        <v>2592.2763</v>
      </c>
      <c r="L574" t="s">
        <v>857</v>
      </c>
      <c r="M574" t="str">
        <f>VLOOKUP($E574,Customer_Dim!$A$2:$F$501,3,FALSE)</f>
        <v>Female</v>
      </c>
      <c r="N574" t="str">
        <f>VLOOKUP($E574,Customer_Dim!$A$2:$F$501,5,FALSE)</f>
        <v>USA</v>
      </c>
      <c r="O574" t="str">
        <f>VLOOKUP($E574,Customer_Dim!$A$2:$F$501,6,FALSE)</f>
        <v>Bronze</v>
      </c>
      <c r="P574" t="str">
        <f>VLOOKUP($A574,Store_Dim!$A$2:$F$21,3,FALSE)</f>
        <v>SouthChristopherland</v>
      </c>
    </row>
    <row r="575" spans="1:16" x14ac:dyDescent="0.25">
      <c r="A575" t="s">
        <v>827</v>
      </c>
      <c r="B575" t="s">
        <v>1576</v>
      </c>
      <c r="C575" t="s">
        <v>606</v>
      </c>
      <c r="D575" s="2">
        <v>45379</v>
      </c>
      <c r="E575" t="s">
        <v>307</v>
      </c>
      <c r="F575" t="str">
        <f>VLOOKUP($C575,Product_Dim!$A$2:$D$101,3,FALSE)</f>
        <v>Thomas LLC</v>
      </c>
      <c r="G575" t="str">
        <f>VLOOKUP($C575,Product_Dim!$A$2:$D$101,2,FALSE)</f>
        <v>Electronics</v>
      </c>
      <c r="H575">
        <v>1</v>
      </c>
      <c r="I575">
        <v>31.36</v>
      </c>
      <c r="J575">
        <v>0.21</v>
      </c>
      <c r="K575" s="3">
        <v>24.7744</v>
      </c>
      <c r="L575" t="s">
        <v>857</v>
      </c>
      <c r="M575" t="str">
        <f>VLOOKUP($E575,Customer_Dim!$A$2:$F$501,3,FALSE)</f>
        <v>Male</v>
      </c>
      <c r="N575" t="str">
        <f>VLOOKUP($E575,Customer_Dim!$A$2:$F$501,5,FALSE)</f>
        <v>USA</v>
      </c>
      <c r="O575" t="str">
        <f>VLOOKUP($E575,Customer_Dim!$A$2:$F$501,6,FALSE)</f>
        <v>Platinum</v>
      </c>
      <c r="P575" t="str">
        <f>VLOOKUP($A575,Store_Dim!$A$2:$F$21,3,FALSE)</f>
        <v>SouthChristopherland</v>
      </c>
    </row>
    <row r="576" spans="1:16" hidden="1" x14ac:dyDescent="0.25">
      <c r="A576" t="s">
        <v>827</v>
      </c>
      <c r="B576" t="s">
        <v>2309</v>
      </c>
      <c r="C576" t="s">
        <v>608</v>
      </c>
      <c r="D576" s="2">
        <v>45763</v>
      </c>
      <c r="E576" t="s">
        <v>302</v>
      </c>
      <c r="F576" t="str">
        <f>VLOOKUP($C576,Product_Dim!$A$2:$D$101,3,FALSE)</f>
        <v>Erickson-Green</v>
      </c>
      <c r="G576" t="str">
        <f>VLOOKUP($C576,Product_Dim!$A$2:$D$101,2,FALSE)</f>
        <v>Beauty</v>
      </c>
      <c r="H576">
        <v>4</v>
      </c>
      <c r="I576">
        <v>761.35</v>
      </c>
      <c r="J576">
        <v>0.08</v>
      </c>
      <c r="K576" s="3">
        <v>2801.768</v>
      </c>
      <c r="L576" t="s">
        <v>852</v>
      </c>
      <c r="M576" t="str">
        <f>VLOOKUP($E576,Customer_Dim!$A$2:$F$501,3,FALSE)</f>
        <v>Female</v>
      </c>
      <c r="N576" t="str">
        <f>VLOOKUP($E576,Customer_Dim!$A$2:$F$501,5,FALSE)</f>
        <v>USA</v>
      </c>
      <c r="O576" t="str">
        <f>VLOOKUP($E576,Customer_Dim!$A$2:$F$501,6,FALSE)</f>
        <v>Bronze</v>
      </c>
      <c r="P576" t="str">
        <f>VLOOKUP($A576,Store_Dim!$A$2:$F$21,3,FALSE)</f>
        <v>SouthChristopherland</v>
      </c>
    </row>
    <row r="577" spans="1:16" x14ac:dyDescent="0.25">
      <c r="A577" t="s">
        <v>827</v>
      </c>
      <c r="B577" t="s">
        <v>2644</v>
      </c>
      <c r="C577" t="s">
        <v>610</v>
      </c>
      <c r="D577" s="2">
        <v>45721</v>
      </c>
      <c r="E577" t="s">
        <v>131</v>
      </c>
      <c r="F577" t="str">
        <f>VLOOKUP($C577,Product_Dim!$A$2:$D$101,3,FALSE)</f>
        <v>Ford, Murphy and Wilson</v>
      </c>
      <c r="G577" t="str">
        <f>VLOOKUP($C577,Product_Dim!$A$2:$D$101,2,FALSE)</f>
        <v>Sports</v>
      </c>
      <c r="H577">
        <v>1</v>
      </c>
      <c r="I577">
        <v>878.69</v>
      </c>
      <c r="J577">
        <v>0.3</v>
      </c>
      <c r="K577" s="3">
        <v>615.08299999999997</v>
      </c>
      <c r="L577" t="s">
        <v>854</v>
      </c>
      <c r="M577" t="str">
        <f>VLOOKUP($E577,Customer_Dim!$A$2:$F$501,3,FALSE)</f>
        <v>Male</v>
      </c>
      <c r="N577" t="str">
        <f>VLOOKUP($E577,Customer_Dim!$A$2:$F$501,5,FALSE)</f>
        <v>USA</v>
      </c>
      <c r="O577" t="str">
        <f>VLOOKUP($E577,Customer_Dim!$A$2:$F$501,6,FALSE)</f>
        <v>Gold</v>
      </c>
      <c r="P577" t="str">
        <f>VLOOKUP($A577,Store_Dim!$A$2:$F$21,3,FALSE)</f>
        <v>SouthChristopherland</v>
      </c>
    </row>
    <row r="578" spans="1:16" x14ac:dyDescent="0.25">
      <c r="A578" t="s">
        <v>827</v>
      </c>
      <c r="B578" t="s">
        <v>1977</v>
      </c>
      <c r="C578" t="s">
        <v>610</v>
      </c>
      <c r="D578" s="2">
        <v>45910</v>
      </c>
      <c r="E578" t="s">
        <v>205</v>
      </c>
      <c r="F578" t="str">
        <f>VLOOKUP($C578,Product_Dim!$A$2:$D$101,3,FALSE)</f>
        <v>Ford, Murphy and Wilson</v>
      </c>
      <c r="G578" t="str">
        <f>VLOOKUP($C578,Product_Dim!$A$2:$D$101,2,FALSE)</f>
        <v>Sports</v>
      </c>
      <c r="H578">
        <v>2</v>
      </c>
      <c r="I578">
        <v>456.38</v>
      </c>
      <c r="J578">
        <v>0.12</v>
      </c>
      <c r="K578" s="3">
        <v>803.22879999999998</v>
      </c>
      <c r="L578" t="s">
        <v>852</v>
      </c>
      <c r="M578" t="str">
        <f>VLOOKUP($E578,Customer_Dim!$A$2:$F$501,3,FALSE)</f>
        <v>Male</v>
      </c>
      <c r="N578" t="str">
        <f>VLOOKUP($E578,Customer_Dim!$A$2:$F$501,5,FALSE)</f>
        <v>USA</v>
      </c>
      <c r="O578" t="str">
        <f>VLOOKUP($E578,Customer_Dim!$A$2:$F$501,6,FALSE)</f>
        <v>Bronze</v>
      </c>
      <c r="P578" t="str">
        <f>VLOOKUP($A578,Store_Dim!$A$2:$F$21,3,FALSE)</f>
        <v>SouthChristopherland</v>
      </c>
    </row>
    <row r="579" spans="1:16" hidden="1" x14ac:dyDescent="0.25">
      <c r="A579" t="s">
        <v>827</v>
      </c>
      <c r="B579" t="s">
        <v>1322</v>
      </c>
      <c r="C579" t="s">
        <v>610</v>
      </c>
      <c r="D579" s="2">
        <v>45279</v>
      </c>
      <c r="E579" t="s">
        <v>271</v>
      </c>
      <c r="F579" t="str">
        <f>VLOOKUP($C579,Product_Dim!$A$2:$D$101,3,FALSE)</f>
        <v>Ford, Murphy and Wilson</v>
      </c>
      <c r="G579" t="str">
        <f>VLOOKUP($C579,Product_Dim!$A$2:$D$101,2,FALSE)</f>
        <v>Sports</v>
      </c>
      <c r="H579">
        <v>1</v>
      </c>
      <c r="I579">
        <v>880.89</v>
      </c>
      <c r="J579">
        <v>0.13</v>
      </c>
      <c r="K579" s="3">
        <v>766.37429999999995</v>
      </c>
      <c r="L579" t="s">
        <v>857</v>
      </c>
      <c r="M579" t="str">
        <f>VLOOKUP($E579,Customer_Dim!$A$2:$F$501,3,FALSE)</f>
        <v>Female</v>
      </c>
      <c r="N579" t="str">
        <f>VLOOKUP($E579,Customer_Dim!$A$2:$F$501,5,FALSE)</f>
        <v>USA</v>
      </c>
      <c r="O579" t="str">
        <f>VLOOKUP($E579,Customer_Dim!$A$2:$F$501,6,FALSE)</f>
        <v>Silver</v>
      </c>
      <c r="P579" t="str">
        <f>VLOOKUP($A579,Store_Dim!$A$2:$F$21,3,FALSE)</f>
        <v>SouthChristopherland</v>
      </c>
    </row>
    <row r="580" spans="1:16" hidden="1" x14ac:dyDescent="0.25">
      <c r="A580" t="s">
        <v>827</v>
      </c>
      <c r="B580" t="s">
        <v>1703</v>
      </c>
      <c r="C580" t="s">
        <v>610</v>
      </c>
      <c r="D580" s="2">
        <v>45627</v>
      </c>
      <c r="E580" t="s">
        <v>300</v>
      </c>
      <c r="F580" t="str">
        <f>VLOOKUP($C580,Product_Dim!$A$2:$D$101,3,FALSE)</f>
        <v>Ford, Murphy and Wilson</v>
      </c>
      <c r="G580" t="str">
        <f>VLOOKUP($C580,Product_Dim!$A$2:$D$101,2,FALSE)</f>
        <v>Sports</v>
      </c>
      <c r="H580">
        <v>4</v>
      </c>
      <c r="I580">
        <v>329.06</v>
      </c>
      <c r="J580">
        <v>0.04</v>
      </c>
      <c r="K580" s="3">
        <v>1263.5904</v>
      </c>
      <c r="L580" t="s">
        <v>857</v>
      </c>
      <c r="M580" t="str">
        <f>VLOOKUP($E580,Customer_Dim!$A$2:$F$501,3,FALSE)</f>
        <v>Female</v>
      </c>
      <c r="N580" t="str">
        <f>VLOOKUP($E580,Customer_Dim!$A$2:$F$501,5,FALSE)</f>
        <v>USA</v>
      </c>
      <c r="O580" t="str">
        <f>VLOOKUP($E580,Customer_Dim!$A$2:$F$501,6,FALSE)</f>
        <v>Gold</v>
      </c>
      <c r="P580" t="str">
        <f>VLOOKUP($A580,Store_Dim!$A$2:$F$21,3,FALSE)</f>
        <v>SouthChristopherland</v>
      </c>
    </row>
    <row r="581" spans="1:16" x14ac:dyDescent="0.25">
      <c r="A581" t="s">
        <v>827</v>
      </c>
      <c r="B581" t="s">
        <v>2066</v>
      </c>
      <c r="C581" t="s">
        <v>610</v>
      </c>
      <c r="D581" s="2">
        <v>45472</v>
      </c>
      <c r="E581" t="s">
        <v>561</v>
      </c>
      <c r="F581" t="str">
        <f>VLOOKUP($C581,Product_Dim!$A$2:$D$101,3,FALSE)</f>
        <v>Ford, Murphy and Wilson</v>
      </c>
      <c r="G581" t="str">
        <f>VLOOKUP($C581,Product_Dim!$A$2:$D$101,2,FALSE)</f>
        <v>Sports</v>
      </c>
      <c r="H581">
        <v>4</v>
      </c>
      <c r="I581">
        <v>884.71</v>
      </c>
      <c r="J581">
        <v>0.09</v>
      </c>
      <c r="K581" s="3">
        <v>3220.3444</v>
      </c>
      <c r="L581" t="s">
        <v>854</v>
      </c>
      <c r="M581" t="str">
        <f>VLOOKUP($E581,Customer_Dim!$A$2:$F$501,3,FALSE)</f>
        <v>Male</v>
      </c>
      <c r="N581" t="str">
        <f>VLOOKUP($E581,Customer_Dim!$A$2:$F$501,5,FALSE)</f>
        <v>USA</v>
      </c>
      <c r="O581" t="str">
        <f>VLOOKUP($E581,Customer_Dim!$A$2:$F$501,6,FALSE)</f>
        <v>Gold</v>
      </c>
      <c r="P581" t="str">
        <f>VLOOKUP($A581,Store_Dim!$A$2:$F$21,3,FALSE)</f>
        <v>SouthChristopherland</v>
      </c>
    </row>
    <row r="582" spans="1:16" hidden="1" x14ac:dyDescent="0.25">
      <c r="A582" t="s">
        <v>827</v>
      </c>
      <c r="B582" t="s">
        <v>1250</v>
      </c>
      <c r="C582" t="s">
        <v>612</v>
      </c>
      <c r="D582" s="2">
        <v>45407</v>
      </c>
      <c r="E582" t="s">
        <v>43</v>
      </c>
      <c r="F582" t="str">
        <f>VLOOKUP($C582,Product_Dim!$A$2:$D$101,3,FALSE)</f>
        <v>Guerra-Hendrix</v>
      </c>
      <c r="G582" t="str">
        <f>VLOOKUP($C582,Product_Dim!$A$2:$D$101,2,FALSE)</f>
        <v>Clothing</v>
      </c>
      <c r="H582">
        <v>3</v>
      </c>
      <c r="I582">
        <v>991.37</v>
      </c>
      <c r="J582">
        <v>0.1</v>
      </c>
      <c r="K582" s="3">
        <v>2676.6990000000001</v>
      </c>
      <c r="L582" t="s">
        <v>854</v>
      </c>
      <c r="M582" t="str">
        <f>VLOOKUP($E582,Customer_Dim!$A$2:$F$501,3,FALSE)</f>
        <v>Female</v>
      </c>
      <c r="N582" t="str">
        <f>VLOOKUP($E582,Customer_Dim!$A$2:$F$501,5,FALSE)</f>
        <v>USA</v>
      </c>
      <c r="O582" t="str">
        <f>VLOOKUP($E582,Customer_Dim!$A$2:$F$501,6,FALSE)</f>
        <v>Platinum</v>
      </c>
      <c r="P582" t="str">
        <f>VLOOKUP($A582,Store_Dim!$A$2:$F$21,3,FALSE)</f>
        <v>SouthChristopherland</v>
      </c>
    </row>
    <row r="583" spans="1:16" hidden="1" x14ac:dyDescent="0.25">
      <c r="A583" t="s">
        <v>827</v>
      </c>
      <c r="B583" t="s">
        <v>2407</v>
      </c>
      <c r="C583" t="s">
        <v>612</v>
      </c>
      <c r="D583" s="2">
        <v>45724</v>
      </c>
      <c r="E583" t="s">
        <v>446</v>
      </c>
      <c r="F583" t="str">
        <f>VLOOKUP($C583,Product_Dim!$A$2:$D$101,3,FALSE)</f>
        <v>Guerra-Hendrix</v>
      </c>
      <c r="G583" t="str">
        <f>VLOOKUP($C583,Product_Dim!$A$2:$D$101,2,FALSE)</f>
        <v>Clothing</v>
      </c>
      <c r="H583">
        <v>4</v>
      </c>
      <c r="I583">
        <v>317.11</v>
      </c>
      <c r="J583">
        <v>0.16</v>
      </c>
      <c r="K583" s="3">
        <v>1065.4896000000001</v>
      </c>
      <c r="L583" t="s">
        <v>854</v>
      </c>
      <c r="M583" t="str">
        <f>VLOOKUP($E583,Customer_Dim!$A$2:$F$501,3,FALSE)</f>
        <v>Female</v>
      </c>
      <c r="N583" t="str">
        <f>VLOOKUP($E583,Customer_Dim!$A$2:$F$501,5,FALSE)</f>
        <v>USA</v>
      </c>
      <c r="O583" t="str">
        <f>VLOOKUP($E583,Customer_Dim!$A$2:$F$501,6,FALSE)</f>
        <v>Gold</v>
      </c>
      <c r="P583" t="str">
        <f>VLOOKUP($A583,Store_Dim!$A$2:$F$21,3,FALSE)</f>
        <v>SouthChristopherland</v>
      </c>
    </row>
    <row r="584" spans="1:16" hidden="1" x14ac:dyDescent="0.25">
      <c r="A584" t="s">
        <v>827</v>
      </c>
      <c r="B584" t="s">
        <v>1889</v>
      </c>
      <c r="C584" t="s">
        <v>614</v>
      </c>
      <c r="D584" s="2">
        <v>45394</v>
      </c>
      <c r="E584" t="s">
        <v>435</v>
      </c>
      <c r="F584" t="str">
        <f>VLOOKUP($C584,Product_Dim!$A$2:$D$101,3,FALSE)</f>
        <v>May-Reese</v>
      </c>
      <c r="G584" t="str">
        <f>VLOOKUP($C584,Product_Dim!$A$2:$D$101,2,FALSE)</f>
        <v>Sports</v>
      </c>
      <c r="H584">
        <v>2</v>
      </c>
      <c r="I584">
        <v>760.14</v>
      </c>
      <c r="J584">
        <v>0.02</v>
      </c>
      <c r="K584" s="3">
        <v>1489.8743999999999</v>
      </c>
      <c r="L584" t="s">
        <v>857</v>
      </c>
      <c r="M584" t="str">
        <f>VLOOKUP($E584,Customer_Dim!$A$2:$F$501,3,FALSE)</f>
        <v>Female</v>
      </c>
      <c r="N584" t="str">
        <f>VLOOKUP($E584,Customer_Dim!$A$2:$F$501,5,FALSE)</f>
        <v>USA</v>
      </c>
      <c r="O584" t="str">
        <f>VLOOKUP($E584,Customer_Dim!$A$2:$F$501,6,FALSE)</f>
        <v>Platinum</v>
      </c>
      <c r="P584" t="str">
        <f>VLOOKUP($A584,Store_Dim!$A$2:$F$21,3,FALSE)</f>
        <v>SouthChristopherland</v>
      </c>
    </row>
    <row r="585" spans="1:16" x14ac:dyDescent="0.25">
      <c r="A585" t="s">
        <v>827</v>
      </c>
      <c r="B585" t="s">
        <v>2020</v>
      </c>
      <c r="C585" t="s">
        <v>614</v>
      </c>
      <c r="D585" s="2">
        <v>45722</v>
      </c>
      <c r="E585" t="s">
        <v>561</v>
      </c>
      <c r="F585" t="str">
        <f>VLOOKUP($C585,Product_Dim!$A$2:$D$101,3,FALSE)</f>
        <v>May-Reese</v>
      </c>
      <c r="G585" t="str">
        <f>VLOOKUP($C585,Product_Dim!$A$2:$D$101,2,FALSE)</f>
        <v>Sports</v>
      </c>
      <c r="H585">
        <v>1</v>
      </c>
      <c r="I585">
        <v>90.72</v>
      </c>
      <c r="J585">
        <v>0.1</v>
      </c>
      <c r="K585" s="3">
        <v>81.647999999999996</v>
      </c>
      <c r="L585" t="s">
        <v>854</v>
      </c>
      <c r="M585" t="str">
        <f>VLOOKUP($E585,Customer_Dim!$A$2:$F$501,3,FALSE)</f>
        <v>Male</v>
      </c>
      <c r="N585" t="str">
        <f>VLOOKUP($E585,Customer_Dim!$A$2:$F$501,5,FALSE)</f>
        <v>USA</v>
      </c>
      <c r="O585" t="str">
        <f>VLOOKUP($E585,Customer_Dim!$A$2:$F$501,6,FALSE)</f>
        <v>Gold</v>
      </c>
      <c r="P585" t="str">
        <f>VLOOKUP($A585,Store_Dim!$A$2:$F$21,3,FALSE)</f>
        <v>SouthChristopherland</v>
      </c>
    </row>
    <row r="586" spans="1:16" hidden="1" x14ac:dyDescent="0.25">
      <c r="A586" t="s">
        <v>827</v>
      </c>
      <c r="B586" t="s">
        <v>1189</v>
      </c>
      <c r="C586" t="s">
        <v>577</v>
      </c>
      <c r="D586" s="2">
        <v>45309</v>
      </c>
      <c r="E586" t="s">
        <v>525</v>
      </c>
      <c r="F586" t="str">
        <f>VLOOKUP($C586,Product_Dim!$A$2:$D$101,3,FALSE)</f>
        <v>Sims Inc</v>
      </c>
      <c r="G586" t="str">
        <f>VLOOKUP($C586,Product_Dim!$A$2:$D$101,2,FALSE)</f>
        <v>Clothing</v>
      </c>
      <c r="H586">
        <v>4</v>
      </c>
      <c r="I586">
        <v>971.9</v>
      </c>
      <c r="J586">
        <v>0.28000000000000003</v>
      </c>
      <c r="K586" s="3">
        <v>2799.0720000000001</v>
      </c>
      <c r="L586" t="s">
        <v>854</v>
      </c>
      <c r="M586" t="str">
        <f>VLOOKUP($E586,Customer_Dim!$A$2:$F$501,3,FALSE)</f>
        <v>Female</v>
      </c>
      <c r="N586" t="str">
        <f>VLOOKUP($E586,Customer_Dim!$A$2:$F$501,5,FALSE)</f>
        <v>USA</v>
      </c>
      <c r="O586" t="str">
        <f>VLOOKUP($E586,Customer_Dim!$A$2:$F$501,6,FALSE)</f>
        <v>Silver</v>
      </c>
      <c r="P586" t="str">
        <f>VLOOKUP($A586,Store_Dim!$A$2:$F$21,3,FALSE)</f>
        <v>SouthChristopherland</v>
      </c>
    </row>
    <row r="587" spans="1:16" hidden="1" x14ac:dyDescent="0.25">
      <c r="A587" t="s">
        <v>827</v>
      </c>
      <c r="B587" t="s">
        <v>2240</v>
      </c>
      <c r="C587" t="s">
        <v>616</v>
      </c>
      <c r="D587" s="2">
        <v>45733</v>
      </c>
      <c r="E587" t="s">
        <v>520</v>
      </c>
      <c r="F587" t="str">
        <f>VLOOKUP($C587,Product_Dim!$A$2:$D$101,3,FALSE)</f>
        <v>Soto-Ellis</v>
      </c>
      <c r="G587" t="str">
        <f>VLOOKUP($C587,Product_Dim!$A$2:$D$101,2,FALSE)</f>
        <v>Sports</v>
      </c>
      <c r="H587">
        <v>2</v>
      </c>
      <c r="I587">
        <v>740.57</v>
      </c>
      <c r="J587">
        <v>0.06</v>
      </c>
      <c r="K587" s="3">
        <v>1392.2716</v>
      </c>
      <c r="L587" t="s">
        <v>852</v>
      </c>
      <c r="M587" t="str">
        <f>VLOOKUP($E587,Customer_Dim!$A$2:$F$501,3,FALSE)</f>
        <v>Female</v>
      </c>
      <c r="N587" t="str">
        <f>VLOOKUP($E587,Customer_Dim!$A$2:$F$501,5,FALSE)</f>
        <v>USA</v>
      </c>
      <c r="O587" t="str">
        <f>VLOOKUP($E587,Customer_Dim!$A$2:$F$501,6,FALSE)</f>
        <v>Platinum</v>
      </c>
      <c r="P587" t="str">
        <f>VLOOKUP($A587,Store_Dim!$A$2:$F$21,3,FALSE)</f>
        <v>SouthChristopherland</v>
      </c>
    </row>
    <row r="588" spans="1:16" x14ac:dyDescent="0.25">
      <c r="A588" t="s">
        <v>827</v>
      </c>
      <c r="B588" t="s">
        <v>1687</v>
      </c>
      <c r="C588" t="s">
        <v>618</v>
      </c>
      <c r="D588" s="2">
        <v>45236</v>
      </c>
      <c r="E588" t="s">
        <v>245</v>
      </c>
      <c r="F588" t="str">
        <f>VLOOKUP($C588,Product_Dim!$A$2:$D$101,3,FALSE)</f>
        <v>Gardner-Montes</v>
      </c>
      <c r="G588" t="str">
        <f>VLOOKUP($C588,Product_Dim!$A$2:$D$101,2,FALSE)</f>
        <v>Home</v>
      </c>
      <c r="H588">
        <v>1</v>
      </c>
      <c r="I588">
        <v>977.97</v>
      </c>
      <c r="J588">
        <v>0.06</v>
      </c>
      <c r="K588" s="3">
        <v>919.29179999999997</v>
      </c>
      <c r="L588" t="s">
        <v>857</v>
      </c>
      <c r="M588" t="str">
        <f>VLOOKUP($E588,Customer_Dim!$A$2:$F$501,3,FALSE)</f>
        <v>Male</v>
      </c>
      <c r="N588" t="str">
        <f>VLOOKUP($E588,Customer_Dim!$A$2:$F$501,5,FALSE)</f>
        <v>USA</v>
      </c>
      <c r="O588" t="str">
        <f>VLOOKUP($E588,Customer_Dim!$A$2:$F$501,6,FALSE)</f>
        <v>Bronze</v>
      </c>
      <c r="P588" t="str">
        <f>VLOOKUP($A588,Store_Dim!$A$2:$F$21,3,FALSE)</f>
        <v>SouthChristopherland</v>
      </c>
    </row>
    <row r="589" spans="1:16" hidden="1" x14ac:dyDescent="0.25">
      <c r="A589" t="s">
        <v>827</v>
      </c>
      <c r="B589" t="s">
        <v>2767</v>
      </c>
      <c r="C589" t="s">
        <v>620</v>
      </c>
      <c r="D589" s="2">
        <v>45589</v>
      </c>
      <c r="E589" t="s">
        <v>30</v>
      </c>
      <c r="F589" t="str">
        <f>VLOOKUP($C589,Product_Dim!$A$2:$D$101,3,FALSE)</f>
        <v>Flores, Pineda and Rodriguez</v>
      </c>
      <c r="G589" t="str">
        <f>VLOOKUP($C589,Product_Dim!$A$2:$D$101,2,FALSE)</f>
        <v>Sports</v>
      </c>
      <c r="H589">
        <v>1</v>
      </c>
      <c r="I589">
        <v>958.44</v>
      </c>
      <c r="J589">
        <v>0.21</v>
      </c>
      <c r="K589" s="3">
        <v>757.16760000000011</v>
      </c>
      <c r="L589" t="s">
        <v>852</v>
      </c>
      <c r="M589" t="str">
        <f>VLOOKUP($E589,Customer_Dim!$A$2:$F$501,3,FALSE)</f>
        <v>Female</v>
      </c>
      <c r="N589" t="str">
        <f>VLOOKUP($E589,Customer_Dim!$A$2:$F$501,5,FALSE)</f>
        <v>USA</v>
      </c>
      <c r="O589" t="str">
        <f>VLOOKUP($E589,Customer_Dim!$A$2:$F$501,6,FALSE)</f>
        <v>Gold</v>
      </c>
      <c r="P589" t="str">
        <f>VLOOKUP($A589,Store_Dim!$A$2:$F$21,3,FALSE)</f>
        <v>SouthChristopherland</v>
      </c>
    </row>
    <row r="590" spans="1:16" hidden="1" x14ac:dyDescent="0.25">
      <c r="A590" t="s">
        <v>827</v>
      </c>
      <c r="B590" t="s">
        <v>2507</v>
      </c>
      <c r="C590" t="s">
        <v>620</v>
      </c>
      <c r="D590" s="2">
        <v>45466</v>
      </c>
      <c r="E590" t="s">
        <v>224</v>
      </c>
      <c r="F590" t="str">
        <f>VLOOKUP($C590,Product_Dim!$A$2:$D$101,3,FALSE)</f>
        <v>Flores, Pineda and Rodriguez</v>
      </c>
      <c r="G590" t="str">
        <f>VLOOKUP($C590,Product_Dim!$A$2:$D$101,2,FALSE)</f>
        <v>Sports</v>
      </c>
      <c r="H590">
        <v>2</v>
      </c>
      <c r="I590">
        <v>833.62</v>
      </c>
      <c r="J590">
        <v>0.18</v>
      </c>
      <c r="K590" s="3">
        <v>1367.1368</v>
      </c>
      <c r="L590" t="s">
        <v>852</v>
      </c>
      <c r="M590" t="str">
        <f>VLOOKUP($E590,Customer_Dim!$A$2:$F$501,3,FALSE)</f>
        <v>Female</v>
      </c>
      <c r="N590" t="str">
        <f>VLOOKUP($E590,Customer_Dim!$A$2:$F$501,5,FALSE)</f>
        <v>USA</v>
      </c>
      <c r="O590" t="str">
        <f>VLOOKUP($E590,Customer_Dim!$A$2:$F$501,6,FALSE)</f>
        <v>Platinum</v>
      </c>
      <c r="P590" t="str">
        <f>VLOOKUP($A590,Store_Dim!$A$2:$F$21,3,FALSE)</f>
        <v>SouthChristopherland</v>
      </c>
    </row>
    <row r="591" spans="1:16" hidden="1" x14ac:dyDescent="0.25">
      <c r="A591" t="s">
        <v>827</v>
      </c>
      <c r="B591" t="s">
        <v>2340</v>
      </c>
      <c r="C591" t="s">
        <v>620</v>
      </c>
      <c r="D591" s="2">
        <v>45664</v>
      </c>
      <c r="E591" t="s">
        <v>529</v>
      </c>
      <c r="F591" t="str">
        <f>VLOOKUP($C591,Product_Dim!$A$2:$D$101,3,FALSE)</f>
        <v>Flores, Pineda and Rodriguez</v>
      </c>
      <c r="G591" t="str">
        <f>VLOOKUP($C591,Product_Dim!$A$2:$D$101,2,FALSE)</f>
        <v>Sports</v>
      </c>
      <c r="H591">
        <v>1</v>
      </c>
      <c r="I591">
        <v>588.29999999999995</v>
      </c>
      <c r="J591">
        <v>0.26</v>
      </c>
      <c r="K591" s="3">
        <v>435.34199999999998</v>
      </c>
      <c r="L591" t="s">
        <v>857</v>
      </c>
      <c r="M591" t="str">
        <f>VLOOKUP($E591,Customer_Dim!$A$2:$F$501,3,FALSE)</f>
        <v>Female</v>
      </c>
      <c r="N591" t="str">
        <f>VLOOKUP($E591,Customer_Dim!$A$2:$F$501,5,FALSE)</f>
        <v>USA</v>
      </c>
      <c r="O591" t="str">
        <f>VLOOKUP($E591,Customer_Dim!$A$2:$F$501,6,FALSE)</f>
        <v>Silver</v>
      </c>
      <c r="P591" t="str">
        <f>VLOOKUP($A591,Store_Dim!$A$2:$F$21,3,FALSE)</f>
        <v>SouthChristopherland</v>
      </c>
    </row>
    <row r="592" spans="1:16" hidden="1" x14ac:dyDescent="0.25">
      <c r="A592" t="s">
        <v>827</v>
      </c>
      <c r="B592" t="s">
        <v>864</v>
      </c>
      <c r="C592" t="s">
        <v>624</v>
      </c>
      <c r="D592" s="2">
        <v>45335</v>
      </c>
      <c r="E592" t="s">
        <v>116</v>
      </c>
      <c r="F592" t="str">
        <f>VLOOKUP($C592,Product_Dim!$A$2:$D$101,3,FALSE)</f>
        <v>Cook Ltd</v>
      </c>
      <c r="G592" t="str">
        <f>VLOOKUP($C592,Product_Dim!$A$2:$D$101,2,FALSE)</f>
        <v>Sports</v>
      </c>
      <c r="H592">
        <v>1</v>
      </c>
      <c r="I592">
        <v>278.63</v>
      </c>
      <c r="J592">
        <v>7.0000000000000007E-2</v>
      </c>
      <c r="K592" s="3">
        <v>259.1259</v>
      </c>
      <c r="L592" t="s">
        <v>852</v>
      </c>
      <c r="M592" t="str">
        <f>VLOOKUP($E592,Customer_Dim!$A$2:$F$501,3,FALSE)</f>
        <v>Female</v>
      </c>
      <c r="N592" t="str">
        <f>VLOOKUP($E592,Customer_Dim!$A$2:$F$501,5,FALSE)</f>
        <v>USA</v>
      </c>
      <c r="O592" t="str">
        <f>VLOOKUP($E592,Customer_Dim!$A$2:$F$501,6,FALSE)</f>
        <v>Silver</v>
      </c>
      <c r="P592" t="str">
        <f>VLOOKUP($A592,Store_Dim!$A$2:$F$21,3,FALSE)</f>
        <v>SouthChristopherland</v>
      </c>
    </row>
    <row r="593" spans="1:16" hidden="1" x14ac:dyDescent="0.25">
      <c r="A593" t="s">
        <v>827</v>
      </c>
      <c r="B593" t="s">
        <v>1813</v>
      </c>
      <c r="C593" t="s">
        <v>626</v>
      </c>
      <c r="D593" s="2">
        <v>45893</v>
      </c>
      <c r="E593" t="s">
        <v>449</v>
      </c>
      <c r="F593" t="str">
        <f>VLOOKUP($C593,Product_Dim!$A$2:$D$101,3,FALSE)</f>
        <v>Brown and Sons</v>
      </c>
      <c r="G593" t="str">
        <f>VLOOKUP($C593,Product_Dim!$A$2:$D$101,2,FALSE)</f>
        <v>Clothing</v>
      </c>
      <c r="H593">
        <v>2</v>
      </c>
      <c r="I593">
        <v>855.4</v>
      </c>
      <c r="J593">
        <v>0.08</v>
      </c>
      <c r="K593" s="3">
        <v>1573.9359999999999</v>
      </c>
      <c r="L593" t="s">
        <v>857</v>
      </c>
      <c r="M593" t="str">
        <f>VLOOKUP($E593,Customer_Dim!$A$2:$F$501,3,FALSE)</f>
        <v>Female</v>
      </c>
      <c r="N593" t="str">
        <f>VLOOKUP($E593,Customer_Dim!$A$2:$F$501,5,FALSE)</f>
        <v>USA</v>
      </c>
      <c r="O593" t="str">
        <f>VLOOKUP($E593,Customer_Dim!$A$2:$F$501,6,FALSE)</f>
        <v>Gold</v>
      </c>
      <c r="P593" t="str">
        <f>VLOOKUP($A593,Store_Dim!$A$2:$F$21,3,FALSE)</f>
        <v>SouthChristopherland</v>
      </c>
    </row>
    <row r="594" spans="1:16" x14ac:dyDescent="0.25">
      <c r="A594" t="s">
        <v>827</v>
      </c>
      <c r="B594" t="s">
        <v>1075</v>
      </c>
      <c r="C594" t="s">
        <v>628</v>
      </c>
      <c r="D594" s="2">
        <v>45729</v>
      </c>
      <c r="E594" t="s">
        <v>160</v>
      </c>
      <c r="F594" t="str">
        <f>VLOOKUP($C594,Product_Dim!$A$2:$D$101,3,FALSE)</f>
        <v>Reed-Schmidt</v>
      </c>
      <c r="G594" t="str">
        <f>VLOOKUP($C594,Product_Dim!$A$2:$D$101,2,FALSE)</f>
        <v>Electronics</v>
      </c>
      <c r="H594">
        <v>4</v>
      </c>
      <c r="I594">
        <v>652.28</v>
      </c>
      <c r="J594">
        <v>0.15</v>
      </c>
      <c r="K594" s="3">
        <v>2217.752</v>
      </c>
      <c r="L594" t="s">
        <v>852</v>
      </c>
      <c r="M594" t="str">
        <f>VLOOKUP($E594,Customer_Dim!$A$2:$F$501,3,FALSE)</f>
        <v>Male</v>
      </c>
      <c r="N594" t="str">
        <f>VLOOKUP($E594,Customer_Dim!$A$2:$F$501,5,FALSE)</f>
        <v>USA</v>
      </c>
      <c r="O594" t="str">
        <f>VLOOKUP($E594,Customer_Dim!$A$2:$F$501,6,FALSE)</f>
        <v>Silver</v>
      </c>
      <c r="P594" t="str">
        <f>VLOOKUP($A594,Store_Dim!$A$2:$F$21,3,FALSE)</f>
        <v>SouthChristopherland</v>
      </c>
    </row>
    <row r="595" spans="1:16" hidden="1" x14ac:dyDescent="0.25">
      <c r="A595" t="s">
        <v>827</v>
      </c>
      <c r="B595" t="s">
        <v>2541</v>
      </c>
      <c r="C595" t="s">
        <v>630</v>
      </c>
      <c r="D595" s="2">
        <v>45363</v>
      </c>
      <c r="E595" t="s">
        <v>105</v>
      </c>
      <c r="F595" t="str">
        <f>VLOOKUP($C595,Product_Dim!$A$2:$D$101,3,FALSE)</f>
        <v>Khan, Jones and Paul</v>
      </c>
      <c r="G595" t="str">
        <f>VLOOKUP($C595,Product_Dim!$A$2:$D$101,2,FALSE)</f>
        <v>Home</v>
      </c>
      <c r="H595">
        <v>3</v>
      </c>
      <c r="I595">
        <v>672.98</v>
      </c>
      <c r="J595">
        <v>0.23</v>
      </c>
      <c r="K595" s="3">
        <v>1554.5838000000001</v>
      </c>
      <c r="L595" t="s">
        <v>854</v>
      </c>
      <c r="M595" t="str">
        <f>VLOOKUP($E595,Customer_Dim!$A$2:$F$501,3,FALSE)</f>
        <v>Female</v>
      </c>
      <c r="N595" t="str">
        <f>VLOOKUP($E595,Customer_Dim!$A$2:$F$501,5,FALSE)</f>
        <v>USA</v>
      </c>
      <c r="O595" t="str">
        <f>VLOOKUP($E595,Customer_Dim!$A$2:$F$501,6,FALSE)</f>
        <v>Platinum</v>
      </c>
      <c r="P595" t="str">
        <f>VLOOKUP($A595,Store_Dim!$A$2:$F$21,3,FALSE)</f>
        <v>SouthChristopherland</v>
      </c>
    </row>
    <row r="596" spans="1:16" hidden="1" x14ac:dyDescent="0.25">
      <c r="A596" t="s">
        <v>827</v>
      </c>
      <c r="B596" t="s">
        <v>2553</v>
      </c>
      <c r="C596" t="s">
        <v>630</v>
      </c>
      <c r="D596" s="2">
        <v>45675</v>
      </c>
      <c r="E596" t="s">
        <v>120</v>
      </c>
      <c r="F596" t="str">
        <f>VLOOKUP($C596,Product_Dim!$A$2:$D$101,3,FALSE)</f>
        <v>Khan, Jones and Paul</v>
      </c>
      <c r="G596" t="str">
        <f>VLOOKUP($C596,Product_Dim!$A$2:$D$101,2,FALSE)</f>
        <v>Home</v>
      </c>
      <c r="H596">
        <v>4</v>
      </c>
      <c r="I596">
        <v>459.83</v>
      </c>
      <c r="J596">
        <v>0.12</v>
      </c>
      <c r="K596" s="3">
        <v>1618.6016</v>
      </c>
      <c r="L596" t="s">
        <v>857</v>
      </c>
      <c r="M596" t="str">
        <f>VLOOKUP($E596,Customer_Dim!$A$2:$F$501,3,FALSE)</f>
        <v>Female</v>
      </c>
      <c r="N596" t="str">
        <f>VLOOKUP($E596,Customer_Dim!$A$2:$F$501,5,FALSE)</f>
        <v>USA</v>
      </c>
      <c r="O596" t="str">
        <f>VLOOKUP($E596,Customer_Dim!$A$2:$F$501,6,FALSE)</f>
        <v>Silver</v>
      </c>
      <c r="P596" t="str">
        <f>VLOOKUP($A596,Store_Dim!$A$2:$F$21,3,FALSE)</f>
        <v>SouthChristopherland</v>
      </c>
    </row>
    <row r="597" spans="1:16" hidden="1" x14ac:dyDescent="0.25">
      <c r="A597" t="s">
        <v>827</v>
      </c>
      <c r="B597" t="s">
        <v>1477</v>
      </c>
      <c r="C597" t="s">
        <v>630</v>
      </c>
      <c r="D597" s="2">
        <v>45608</v>
      </c>
      <c r="E597" t="s">
        <v>125</v>
      </c>
      <c r="F597" t="str">
        <f>VLOOKUP($C597,Product_Dim!$A$2:$D$101,3,FALSE)</f>
        <v>Khan, Jones and Paul</v>
      </c>
      <c r="G597" t="str">
        <f>VLOOKUP($C597,Product_Dim!$A$2:$D$101,2,FALSE)</f>
        <v>Home</v>
      </c>
      <c r="H597">
        <v>4</v>
      </c>
      <c r="I597">
        <v>757.71</v>
      </c>
      <c r="J597">
        <v>0.26</v>
      </c>
      <c r="K597" s="3">
        <v>2242.8216000000002</v>
      </c>
      <c r="L597" t="s">
        <v>857</v>
      </c>
      <c r="M597" t="str">
        <f>VLOOKUP($E597,Customer_Dim!$A$2:$F$501,3,FALSE)</f>
        <v>Female</v>
      </c>
      <c r="N597" t="str">
        <f>VLOOKUP($E597,Customer_Dim!$A$2:$F$501,5,FALSE)</f>
        <v>USA</v>
      </c>
      <c r="O597" t="str">
        <f>VLOOKUP($E597,Customer_Dim!$A$2:$F$501,6,FALSE)</f>
        <v>Gold</v>
      </c>
      <c r="P597" t="str">
        <f>VLOOKUP($A597,Store_Dim!$A$2:$F$21,3,FALSE)</f>
        <v>SouthChristopherland</v>
      </c>
    </row>
    <row r="598" spans="1:16" hidden="1" x14ac:dyDescent="0.25">
      <c r="A598" t="s">
        <v>827</v>
      </c>
      <c r="B598" t="s">
        <v>1163</v>
      </c>
      <c r="C598" t="s">
        <v>634</v>
      </c>
      <c r="D598" s="2">
        <v>45264</v>
      </c>
      <c r="E598" t="s">
        <v>285</v>
      </c>
      <c r="F598" t="str">
        <f>VLOOKUP($C598,Product_Dim!$A$2:$D$101,3,FALSE)</f>
        <v>Hoffman Group</v>
      </c>
      <c r="G598" t="str">
        <f>VLOOKUP($C598,Product_Dim!$A$2:$D$101,2,FALSE)</f>
        <v>Home</v>
      </c>
      <c r="H598">
        <v>2</v>
      </c>
      <c r="I598">
        <v>722.45</v>
      </c>
      <c r="J598">
        <v>0.22</v>
      </c>
      <c r="K598" s="3">
        <v>1127.0219999999999</v>
      </c>
      <c r="L598" t="s">
        <v>854</v>
      </c>
      <c r="M598" t="str">
        <f>VLOOKUP($E598,Customer_Dim!$A$2:$F$501,3,FALSE)</f>
        <v>Female</v>
      </c>
      <c r="N598" t="str">
        <f>VLOOKUP($E598,Customer_Dim!$A$2:$F$501,5,FALSE)</f>
        <v>usa</v>
      </c>
      <c r="O598" t="str">
        <f>VLOOKUP($E598,Customer_Dim!$A$2:$F$501,6,FALSE)</f>
        <v>Bronze</v>
      </c>
      <c r="P598" t="str">
        <f>VLOOKUP($A598,Store_Dim!$A$2:$F$21,3,FALSE)</f>
        <v>SouthChristopherland</v>
      </c>
    </row>
    <row r="599" spans="1:16" hidden="1" x14ac:dyDescent="0.25">
      <c r="A599" t="s">
        <v>827</v>
      </c>
      <c r="B599" t="s">
        <v>1564</v>
      </c>
      <c r="C599" t="s">
        <v>638</v>
      </c>
      <c r="D599" s="2">
        <v>45939</v>
      </c>
      <c r="E599" t="s">
        <v>190</v>
      </c>
      <c r="F599" t="str">
        <f>VLOOKUP($C599,Product_Dim!$A$2:$D$101,3,FALSE)</f>
        <v>Nolan-Snow</v>
      </c>
      <c r="G599" t="str">
        <f>VLOOKUP($C599,Product_Dim!$A$2:$D$101,2,FALSE)</f>
        <v>Sports</v>
      </c>
      <c r="H599">
        <v>4</v>
      </c>
      <c r="I599">
        <v>471.89</v>
      </c>
      <c r="J599">
        <v>0.12</v>
      </c>
      <c r="K599" s="3">
        <v>1661.0527999999999</v>
      </c>
      <c r="L599" t="s">
        <v>857</v>
      </c>
      <c r="M599" t="str">
        <f>VLOOKUP($E599,Customer_Dim!$A$2:$F$501,3,FALSE)</f>
        <v>Female</v>
      </c>
      <c r="N599" t="str">
        <f>VLOOKUP($E599,Customer_Dim!$A$2:$F$501,5,FALSE)</f>
        <v>USA</v>
      </c>
      <c r="O599" t="str">
        <f>VLOOKUP($E599,Customer_Dim!$A$2:$F$501,6,FALSE)</f>
        <v>Gold</v>
      </c>
      <c r="P599" t="str">
        <f>VLOOKUP($A599,Store_Dim!$A$2:$F$21,3,FALSE)</f>
        <v>SouthChristopherland</v>
      </c>
    </row>
    <row r="600" spans="1:16" hidden="1" x14ac:dyDescent="0.25">
      <c r="A600" t="s">
        <v>827</v>
      </c>
      <c r="B600" t="s">
        <v>2557</v>
      </c>
      <c r="C600" t="s">
        <v>642</v>
      </c>
      <c r="D600" s="2">
        <v>45521</v>
      </c>
      <c r="E600" t="s">
        <v>252</v>
      </c>
      <c r="F600" t="str">
        <f>VLOOKUP($C600,Product_Dim!$A$2:$D$101,3,FALSE)</f>
        <v>Weiss-Watson</v>
      </c>
      <c r="G600" t="str">
        <f>VLOOKUP($C600,Product_Dim!$A$2:$D$101,2,FALSE)</f>
        <v>Home</v>
      </c>
      <c r="H600">
        <v>1</v>
      </c>
      <c r="I600">
        <v>255.02</v>
      </c>
      <c r="J600">
        <v>0.3</v>
      </c>
      <c r="K600" s="3">
        <v>178.51400000000001</v>
      </c>
      <c r="L600" t="s">
        <v>852</v>
      </c>
      <c r="M600" t="str">
        <f>VLOOKUP($E600,Customer_Dim!$A$2:$F$501,3,FALSE)</f>
        <v>Female</v>
      </c>
      <c r="N600" t="str">
        <f>VLOOKUP($E600,Customer_Dim!$A$2:$F$501,5,FALSE)</f>
        <v>USA</v>
      </c>
      <c r="O600" t="str">
        <f>VLOOKUP($E600,Customer_Dim!$A$2:$F$501,6,FALSE)</f>
        <v>Platinum</v>
      </c>
      <c r="P600" t="str">
        <f>VLOOKUP($A600,Store_Dim!$A$2:$F$21,3,FALSE)</f>
        <v>SouthChristopherland</v>
      </c>
    </row>
    <row r="601" spans="1:16" x14ac:dyDescent="0.25">
      <c r="A601" t="s">
        <v>827</v>
      </c>
      <c r="B601" t="s">
        <v>1318</v>
      </c>
      <c r="C601" t="s">
        <v>648</v>
      </c>
      <c r="D601" s="2">
        <v>45938</v>
      </c>
      <c r="E601" t="s">
        <v>367</v>
      </c>
      <c r="F601" t="str">
        <f>VLOOKUP($C601,Product_Dim!$A$2:$D$101,3,FALSE)</f>
        <v>Smith-Mills</v>
      </c>
      <c r="G601" t="str">
        <f>VLOOKUP($C601,Product_Dim!$A$2:$D$101,2,FALSE)</f>
        <v>Clothing</v>
      </c>
      <c r="H601">
        <v>1</v>
      </c>
      <c r="I601">
        <v>850.83</v>
      </c>
      <c r="J601">
        <v>0.28000000000000003</v>
      </c>
      <c r="K601" s="3">
        <v>612.59760000000006</v>
      </c>
      <c r="L601" t="s">
        <v>854</v>
      </c>
      <c r="M601" t="str">
        <f>VLOOKUP($E601,Customer_Dim!$A$2:$F$501,3,FALSE)</f>
        <v>Male</v>
      </c>
      <c r="N601" t="str">
        <f>VLOOKUP($E601,Customer_Dim!$A$2:$F$501,5,FALSE)</f>
        <v>USA</v>
      </c>
      <c r="O601" t="str">
        <f>VLOOKUP($E601,Customer_Dim!$A$2:$F$501,6,FALSE)</f>
        <v>Silver</v>
      </c>
      <c r="P601" t="str">
        <f>VLOOKUP($A601,Store_Dim!$A$2:$F$21,3,FALSE)</f>
        <v>SouthChristopherland</v>
      </c>
    </row>
    <row r="602" spans="1:16" hidden="1" x14ac:dyDescent="0.25">
      <c r="A602" t="s">
        <v>827</v>
      </c>
      <c r="B602" t="s">
        <v>2568</v>
      </c>
      <c r="C602" t="s">
        <v>650</v>
      </c>
      <c r="D602" s="2">
        <v>45347</v>
      </c>
      <c r="E602" t="s">
        <v>552</v>
      </c>
      <c r="F602" t="str">
        <f>VLOOKUP($C602,Product_Dim!$A$2:$D$101,3,FALSE)</f>
        <v>Hogan-Lee</v>
      </c>
      <c r="G602" t="str">
        <f>VLOOKUP($C602,Product_Dim!$A$2:$D$101,2,FALSE)</f>
        <v>Clothing</v>
      </c>
      <c r="H602">
        <v>4</v>
      </c>
      <c r="I602">
        <v>746.36</v>
      </c>
      <c r="J602">
        <v>0.02</v>
      </c>
      <c r="K602" s="3">
        <v>2925.7312000000002</v>
      </c>
      <c r="L602" t="s">
        <v>852</v>
      </c>
      <c r="M602" t="str">
        <f>VLOOKUP($E602,Customer_Dim!$A$2:$F$501,3,FALSE)</f>
        <v>Female</v>
      </c>
      <c r="N602" t="str">
        <f>VLOOKUP($E602,Customer_Dim!$A$2:$F$501,5,FALSE)</f>
        <v>USA</v>
      </c>
      <c r="O602" t="str">
        <f>VLOOKUP($E602,Customer_Dim!$A$2:$F$501,6,FALSE)</f>
        <v>Bronze</v>
      </c>
      <c r="P602" t="str">
        <f>VLOOKUP($A602,Store_Dim!$A$2:$F$21,3,FALSE)</f>
        <v>SouthChristopherland</v>
      </c>
    </row>
    <row r="603" spans="1:16" hidden="1" x14ac:dyDescent="0.25">
      <c r="A603" t="s">
        <v>827</v>
      </c>
      <c r="B603" t="s">
        <v>1407</v>
      </c>
      <c r="C603" t="s">
        <v>652</v>
      </c>
      <c r="D603" s="2">
        <v>45822</v>
      </c>
      <c r="E603" t="s">
        <v>105</v>
      </c>
      <c r="F603" t="str">
        <f>VLOOKUP($C603,Product_Dim!$A$2:$D$101,3,FALSE)</f>
        <v>Sims-Smith</v>
      </c>
      <c r="G603" t="str">
        <f>VLOOKUP($C603,Product_Dim!$A$2:$D$101,2,FALSE)</f>
        <v>Sports</v>
      </c>
      <c r="H603">
        <v>2</v>
      </c>
      <c r="I603">
        <v>833.64</v>
      </c>
      <c r="J603">
        <v>0.24</v>
      </c>
      <c r="K603" s="3">
        <v>1267.1328000000001</v>
      </c>
      <c r="L603" t="s">
        <v>854</v>
      </c>
      <c r="M603" t="str">
        <f>VLOOKUP($E603,Customer_Dim!$A$2:$F$501,3,FALSE)</f>
        <v>Female</v>
      </c>
      <c r="N603" t="str">
        <f>VLOOKUP($E603,Customer_Dim!$A$2:$F$501,5,FALSE)</f>
        <v>USA</v>
      </c>
      <c r="O603" t="str">
        <f>VLOOKUP($E603,Customer_Dim!$A$2:$F$501,6,FALSE)</f>
        <v>Platinum</v>
      </c>
      <c r="P603" t="str">
        <f>VLOOKUP($A603,Store_Dim!$A$2:$F$21,3,FALSE)</f>
        <v>SouthChristopherland</v>
      </c>
    </row>
    <row r="604" spans="1:16" hidden="1" x14ac:dyDescent="0.25">
      <c r="A604" t="s">
        <v>827</v>
      </c>
      <c r="B604" t="s">
        <v>2007</v>
      </c>
      <c r="C604" t="s">
        <v>652</v>
      </c>
      <c r="D604" s="2">
        <v>45694</v>
      </c>
      <c r="E604" t="s">
        <v>379</v>
      </c>
      <c r="F604" t="str">
        <f>VLOOKUP($C604,Product_Dim!$A$2:$D$101,3,FALSE)</f>
        <v>Sims-Smith</v>
      </c>
      <c r="G604" t="str">
        <f>VLOOKUP($C604,Product_Dim!$A$2:$D$101,2,FALSE)</f>
        <v>Sports</v>
      </c>
      <c r="H604">
        <v>2</v>
      </c>
      <c r="I604">
        <v>574.58000000000004</v>
      </c>
      <c r="J604">
        <v>0.06</v>
      </c>
      <c r="K604" s="3">
        <v>1080.2103999999999</v>
      </c>
      <c r="L604" t="s">
        <v>852</v>
      </c>
      <c r="M604" t="str">
        <f>VLOOKUP($E604,Customer_Dim!$A$2:$F$501,3,FALSE)</f>
        <v>Female</v>
      </c>
      <c r="N604" t="str">
        <f>VLOOKUP($E604,Customer_Dim!$A$2:$F$501,5,FALSE)</f>
        <v>USA</v>
      </c>
      <c r="O604" t="str">
        <f>VLOOKUP($E604,Customer_Dim!$A$2:$F$501,6,FALSE)</f>
        <v>Silver</v>
      </c>
      <c r="P604" t="str">
        <f>VLOOKUP($A604,Store_Dim!$A$2:$F$21,3,FALSE)</f>
        <v>SouthChristopherland</v>
      </c>
    </row>
    <row r="605" spans="1:16" x14ac:dyDescent="0.25">
      <c r="A605" t="s">
        <v>827</v>
      </c>
      <c r="B605" t="s">
        <v>2004</v>
      </c>
      <c r="C605" t="s">
        <v>652</v>
      </c>
      <c r="D605" s="2">
        <v>45352</v>
      </c>
      <c r="E605" t="s">
        <v>499</v>
      </c>
      <c r="F605" t="str">
        <f>VLOOKUP($C605,Product_Dim!$A$2:$D$101,3,FALSE)</f>
        <v>Sims-Smith</v>
      </c>
      <c r="G605" t="str">
        <f>VLOOKUP($C605,Product_Dim!$A$2:$D$101,2,FALSE)</f>
        <v>Sports</v>
      </c>
      <c r="H605">
        <v>4</v>
      </c>
      <c r="I605">
        <v>867.19</v>
      </c>
      <c r="J605">
        <v>7.0000000000000007E-2</v>
      </c>
      <c r="K605" s="3">
        <v>3225.9468000000002</v>
      </c>
      <c r="L605" t="s">
        <v>857</v>
      </c>
      <c r="M605" t="str">
        <f>VLOOKUP($E605,Customer_Dim!$A$2:$F$501,3,FALSE)</f>
        <v>Male</v>
      </c>
      <c r="N605" t="str">
        <f>VLOOKUP($E605,Customer_Dim!$A$2:$F$501,5,FALSE)</f>
        <v>USA</v>
      </c>
      <c r="O605" t="str">
        <f>VLOOKUP($E605,Customer_Dim!$A$2:$F$501,6,FALSE)</f>
        <v>Bronze</v>
      </c>
      <c r="P605" t="str">
        <f>VLOOKUP($A605,Store_Dim!$A$2:$F$21,3,FALSE)</f>
        <v>SouthChristopherland</v>
      </c>
    </row>
    <row r="606" spans="1:16" x14ac:dyDescent="0.25">
      <c r="A606" t="s">
        <v>827</v>
      </c>
      <c r="B606" t="s">
        <v>2426</v>
      </c>
      <c r="C606" t="s">
        <v>654</v>
      </c>
      <c r="D606" s="2">
        <v>45465</v>
      </c>
      <c r="E606" t="s">
        <v>68</v>
      </c>
      <c r="F606" t="str">
        <f>VLOOKUP($C606,Product_Dim!$A$2:$D$101,3,FALSE)</f>
        <v>Cummings and Sons</v>
      </c>
      <c r="G606" t="str">
        <f>VLOOKUP($C606,Product_Dim!$A$2:$D$101,2,FALSE)</f>
        <v>Electronics</v>
      </c>
      <c r="H606">
        <v>1</v>
      </c>
      <c r="I606">
        <v>405.8</v>
      </c>
      <c r="J606">
        <v>0.11</v>
      </c>
      <c r="K606" s="3">
        <v>361.16199999999998</v>
      </c>
      <c r="L606" t="s">
        <v>854</v>
      </c>
      <c r="M606" t="str">
        <f>VLOOKUP($E606,Customer_Dim!$A$2:$F$501,3,FALSE)</f>
        <v>Male</v>
      </c>
      <c r="N606" t="str">
        <f>VLOOKUP($E606,Customer_Dim!$A$2:$F$501,5,FALSE)</f>
        <v>USA</v>
      </c>
      <c r="O606" t="str">
        <f>VLOOKUP($E606,Customer_Dim!$A$2:$F$501,6,FALSE)</f>
        <v>Silver</v>
      </c>
      <c r="P606" t="str">
        <f>VLOOKUP($A606,Store_Dim!$A$2:$F$21,3,FALSE)</f>
        <v>SouthChristopherland</v>
      </c>
    </row>
    <row r="607" spans="1:16" hidden="1" x14ac:dyDescent="0.25">
      <c r="A607" t="s">
        <v>827</v>
      </c>
      <c r="B607" t="s">
        <v>2518</v>
      </c>
      <c r="C607" t="s">
        <v>654</v>
      </c>
      <c r="D607" s="2">
        <v>45798</v>
      </c>
      <c r="E607" t="s">
        <v>216</v>
      </c>
      <c r="F607" t="str">
        <f>VLOOKUP($C607,Product_Dim!$A$2:$D$101,3,FALSE)</f>
        <v>Cummings and Sons</v>
      </c>
      <c r="G607" t="str">
        <f>VLOOKUP($C607,Product_Dim!$A$2:$D$101,2,FALSE)</f>
        <v>Electronics</v>
      </c>
      <c r="H607">
        <v>3</v>
      </c>
      <c r="I607">
        <v>343.97</v>
      </c>
      <c r="J607">
        <v>0.04</v>
      </c>
      <c r="K607" s="3">
        <v>990.6336</v>
      </c>
      <c r="L607" t="s">
        <v>857</v>
      </c>
      <c r="M607" t="str">
        <f>VLOOKUP($E607,Customer_Dim!$A$2:$F$501,3,FALSE)</f>
        <v>Female</v>
      </c>
      <c r="N607" t="str">
        <f>VLOOKUP($E607,Customer_Dim!$A$2:$F$501,5,FALSE)</f>
        <v>USA</v>
      </c>
      <c r="O607" t="str">
        <f>VLOOKUP($E607,Customer_Dim!$A$2:$F$501,6,FALSE)</f>
        <v>Platinum</v>
      </c>
      <c r="P607" t="str">
        <f>VLOOKUP($A607,Store_Dim!$A$2:$F$21,3,FALSE)</f>
        <v>SouthChristopherland</v>
      </c>
    </row>
    <row r="608" spans="1:16" hidden="1" x14ac:dyDescent="0.25">
      <c r="A608" t="s">
        <v>827</v>
      </c>
      <c r="B608" t="s">
        <v>2384</v>
      </c>
      <c r="C608" t="s">
        <v>656</v>
      </c>
      <c r="D608" s="2">
        <v>45346</v>
      </c>
      <c r="E608" t="s">
        <v>311</v>
      </c>
      <c r="F608" t="str">
        <f>VLOOKUP($C608,Product_Dim!$A$2:$D$101,3,FALSE)</f>
        <v>Taylor-Hart</v>
      </c>
      <c r="G608" t="str">
        <f>VLOOKUP($C608,Product_Dim!$A$2:$D$101,2,FALSE)</f>
        <v>Electronics</v>
      </c>
      <c r="H608">
        <v>3</v>
      </c>
      <c r="I608">
        <v>62.03</v>
      </c>
      <c r="J608">
        <v>0.01</v>
      </c>
      <c r="K608" s="3">
        <v>184.22909999999999</v>
      </c>
      <c r="L608" t="s">
        <v>857</v>
      </c>
      <c r="M608" t="str">
        <f>VLOOKUP($E608,Customer_Dim!$A$2:$F$501,3,FALSE)</f>
        <v>Female</v>
      </c>
      <c r="N608" t="str">
        <f>VLOOKUP($E608,Customer_Dim!$A$2:$F$501,5,FALSE)</f>
        <v>USA</v>
      </c>
      <c r="O608" t="str">
        <f>VLOOKUP($E608,Customer_Dim!$A$2:$F$501,6,FALSE)</f>
        <v>Platinum</v>
      </c>
      <c r="P608" t="str">
        <f>VLOOKUP($A608,Store_Dim!$A$2:$F$21,3,FALSE)</f>
        <v>SouthChristopherland</v>
      </c>
    </row>
    <row r="609" spans="1:16" x14ac:dyDescent="0.25">
      <c r="A609" t="s">
        <v>827</v>
      </c>
      <c r="B609" t="s">
        <v>1150</v>
      </c>
      <c r="C609" t="s">
        <v>658</v>
      </c>
      <c r="D609" s="2">
        <v>45434</v>
      </c>
      <c r="E609" t="s">
        <v>139</v>
      </c>
      <c r="F609" t="str">
        <f>VLOOKUP($C609,Product_Dim!$A$2:$D$101,3,FALSE)</f>
        <v>Carroll, Long and Mendoza</v>
      </c>
      <c r="G609" t="str">
        <f>VLOOKUP($C609,Product_Dim!$A$2:$D$101,2,FALSE)</f>
        <v>Sports</v>
      </c>
      <c r="H609">
        <v>4</v>
      </c>
      <c r="I609">
        <v>108.55</v>
      </c>
      <c r="J609">
        <v>0.18</v>
      </c>
      <c r="K609" s="3">
        <v>356.04399999999998</v>
      </c>
      <c r="L609" t="s">
        <v>854</v>
      </c>
      <c r="M609" t="str">
        <f>VLOOKUP($E609,Customer_Dim!$A$2:$F$501,3,FALSE)</f>
        <v>Male</v>
      </c>
      <c r="N609" t="str">
        <f>VLOOKUP($E609,Customer_Dim!$A$2:$F$501,5,FALSE)</f>
        <v>USA</v>
      </c>
      <c r="O609" t="str">
        <f>VLOOKUP($E609,Customer_Dim!$A$2:$F$501,6,FALSE)</f>
        <v>Bronze</v>
      </c>
      <c r="P609" t="str">
        <f>VLOOKUP($A609,Store_Dim!$A$2:$F$21,3,FALSE)</f>
        <v>SouthChristopherland</v>
      </c>
    </row>
    <row r="610" spans="1:16" x14ac:dyDescent="0.25">
      <c r="A610" t="s">
        <v>827</v>
      </c>
      <c r="B610" t="s">
        <v>1608</v>
      </c>
      <c r="C610" t="s">
        <v>660</v>
      </c>
      <c r="D610" s="2">
        <v>45546</v>
      </c>
      <c r="E610" t="s">
        <v>241</v>
      </c>
      <c r="F610" t="str">
        <f>VLOOKUP($C610,Product_Dim!$A$2:$D$101,3,FALSE)</f>
        <v>Holmes LLC</v>
      </c>
      <c r="G610" t="str">
        <f>VLOOKUP($C610,Product_Dim!$A$2:$D$101,2,FALSE)</f>
        <v>Electronics</v>
      </c>
      <c r="H610">
        <v>2</v>
      </c>
      <c r="I610">
        <v>567.95000000000005</v>
      </c>
      <c r="J610">
        <v>0.12</v>
      </c>
      <c r="K610" s="3">
        <v>999.5920000000001</v>
      </c>
      <c r="L610" t="s">
        <v>854</v>
      </c>
      <c r="M610" t="str">
        <f>VLOOKUP($E610,Customer_Dim!$A$2:$F$501,3,FALSE)</f>
        <v>Male</v>
      </c>
      <c r="N610" t="str">
        <f>VLOOKUP($E610,Customer_Dim!$A$2:$F$501,5,FALSE)</f>
        <v>USA</v>
      </c>
      <c r="O610" t="str">
        <f>VLOOKUP($E610,Customer_Dim!$A$2:$F$501,6,FALSE)</f>
        <v>Platinum</v>
      </c>
      <c r="P610" t="str">
        <f>VLOOKUP($A610,Store_Dim!$A$2:$F$21,3,FALSE)</f>
        <v>SouthChristopherland</v>
      </c>
    </row>
    <row r="611" spans="1:16" x14ac:dyDescent="0.25">
      <c r="A611" t="s">
        <v>827</v>
      </c>
      <c r="B611" t="s">
        <v>2530</v>
      </c>
      <c r="C611" t="s">
        <v>666</v>
      </c>
      <c r="D611" s="2">
        <v>45656</v>
      </c>
      <c r="E611" t="s">
        <v>317</v>
      </c>
      <c r="F611" t="str">
        <f>VLOOKUP($C611,Product_Dim!$A$2:$D$101,3,FALSE)</f>
        <v>Bridges, Banks and Cummings</v>
      </c>
      <c r="G611" t="str">
        <f>VLOOKUP($C611,Product_Dim!$A$2:$D$101,2,FALSE)</f>
        <v>Sports</v>
      </c>
      <c r="H611">
        <v>2</v>
      </c>
      <c r="I611">
        <v>984.96</v>
      </c>
      <c r="J611">
        <v>0.16</v>
      </c>
      <c r="K611" s="3">
        <v>1654.7328</v>
      </c>
      <c r="L611" t="s">
        <v>854</v>
      </c>
      <c r="M611" t="str">
        <f>VLOOKUP($E611,Customer_Dim!$A$2:$F$501,3,FALSE)</f>
        <v>Male</v>
      </c>
      <c r="N611" t="str">
        <f>VLOOKUP($E611,Customer_Dim!$A$2:$F$501,5,FALSE)</f>
        <v>USA</v>
      </c>
      <c r="O611" t="str">
        <f>VLOOKUP($E611,Customer_Dim!$A$2:$F$501,6,FALSE)</f>
        <v>Silver</v>
      </c>
      <c r="P611" t="str">
        <f>VLOOKUP($A611,Store_Dim!$A$2:$F$21,3,FALSE)</f>
        <v>SouthChristopherland</v>
      </c>
    </row>
    <row r="612" spans="1:16" x14ac:dyDescent="0.25">
      <c r="A612" t="s">
        <v>827</v>
      </c>
      <c r="B612" t="s">
        <v>2598</v>
      </c>
      <c r="C612" t="s">
        <v>668</v>
      </c>
      <c r="D612" s="2">
        <v>45244</v>
      </c>
      <c r="E612" t="s">
        <v>549</v>
      </c>
      <c r="F612" t="str">
        <f>VLOOKUP($C612,Product_Dim!$A$2:$D$101,3,FALSE)</f>
        <v>Kelly, Smith and Perez</v>
      </c>
      <c r="G612" t="str">
        <f>VLOOKUP($C612,Product_Dim!$A$2:$D$101,2,FALSE)</f>
        <v>Clothing</v>
      </c>
      <c r="H612">
        <v>1</v>
      </c>
      <c r="I612">
        <v>588.53</v>
      </c>
      <c r="J612">
        <v>0.1</v>
      </c>
      <c r="K612" s="3">
        <v>529.67700000000002</v>
      </c>
      <c r="L612" t="s">
        <v>852</v>
      </c>
      <c r="M612" t="str">
        <f>VLOOKUP($E612,Customer_Dim!$A$2:$F$501,3,FALSE)</f>
        <v>Male</v>
      </c>
      <c r="N612" t="str">
        <f>VLOOKUP($E612,Customer_Dim!$A$2:$F$501,5,FALSE)</f>
        <v>USA</v>
      </c>
      <c r="O612" t="str">
        <f>VLOOKUP($E612,Customer_Dim!$A$2:$F$501,6,FALSE)</f>
        <v>Platinum</v>
      </c>
      <c r="P612" t="str">
        <f>VLOOKUP($A612,Store_Dim!$A$2:$F$21,3,FALSE)</f>
        <v>SouthChristopherland</v>
      </c>
    </row>
    <row r="613" spans="1:16" hidden="1" x14ac:dyDescent="0.25">
      <c r="A613" t="s">
        <v>827</v>
      </c>
      <c r="B613" t="s">
        <v>911</v>
      </c>
      <c r="C613" t="s">
        <v>670</v>
      </c>
      <c r="D613" s="2">
        <v>45462</v>
      </c>
      <c r="E613" t="s">
        <v>534</v>
      </c>
      <c r="F613" t="str">
        <f>VLOOKUP($C613,Product_Dim!$A$2:$D$101,3,FALSE)</f>
        <v>Cook Inc</v>
      </c>
      <c r="G613" t="str">
        <f>VLOOKUP($C613,Product_Dim!$A$2:$D$101,2,FALSE)</f>
        <v>Beauty</v>
      </c>
      <c r="H613">
        <v>2</v>
      </c>
      <c r="I613">
        <v>680.16</v>
      </c>
      <c r="J613">
        <v>0.28000000000000003</v>
      </c>
      <c r="K613" s="3">
        <v>979.43039999999996</v>
      </c>
      <c r="L613" t="s">
        <v>852</v>
      </c>
      <c r="M613" t="str">
        <f>VLOOKUP($E613,Customer_Dim!$A$2:$F$501,3,FALSE)</f>
        <v>Female</v>
      </c>
      <c r="N613" t="str">
        <f>VLOOKUP($E613,Customer_Dim!$A$2:$F$501,5,FALSE)</f>
        <v>USA</v>
      </c>
      <c r="O613" t="str">
        <f>VLOOKUP($E613,Customer_Dim!$A$2:$F$501,6,FALSE)</f>
        <v>Gold</v>
      </c>
      <c r="P613" t="str">
        <f>VLOOKUP($A613,Store_Dim!$A$2:$F$21,3,FALSE)</f>
        <v>SouthChristopherland</v>
      </c>
    </row>
    <row r="614" spans="1:16" hidden="1" x14ac:dyDescent="0.25">
      <c r="A614" t="s">
        <v>827</v>
      </c>
      <c r="B614" t="s">
        <v>2362</v>
      </c>
      <c r="C614" t="s">
        <v>672</v>
      </c>
      <c r="D614" s="2">
        <v>45905</v>
      </c>
      <c r="E614" t="s">
        <v>228</v>
      </c>
      <c r="F614" t="str">
        <f>VLOOKUP($C614,Product_Dim!$A$2:$D$101,3,FALSE)</f>
        <v>Byrd, Stewart and Valdez</v>
      </c>
      <c r="G614" t="str">
        <f>VLOOKUP($C614,Product_Dim!$A$2:$D$101,2,FALSE)</f>
        <v>Electronics</v>
      </c>
      <c r="H614">
        <v>1</v>
      </c>
      <c r="I614">
        <v>994.63</v>
      </c>
      <c r="J614">
        <v>0.28000000000000003</v>
      </c>
      <c r="K614" s="3">
        <v>716.1336</v>
      </c>
      <c r="L614" t="s">
        <v>852</v>
      </c>
      <c r="M614" t="str">
        <f>VLOOKUP($E614,Customer_Dim!$A$2:$F$501,3,FALSE)</f>
        <v>Female</v>
      </c>
      <c r="N614" t="str">
        <f>VLOOKUP($E614,Customer_Dim!$A$2:$F$501,5,FALSE)</f>
        <v>USA</v>
      </c>
      <c r="O614" t="str">
        <f>VLOOKUP($E614,Customer_Dim!$A$2:$F$501,6,FALSE)</f>
        <v>Silver</v>
      </c>
      <c r="P614" t="str">
        <f>VLOOKUP($A614,Store_Dim!$A$2:$F$21,3,FALSE)</f>
        <v>SouthChristopherland</v>
      </c>
    </row>
    <row r="615" spans="1:16" hidden="1" x14ac:dyDescent="0.25">
      <c r="A615" t="s">
        <v>827</v>
      </c>
      <c r="B615" t="s">
        <v>2082</v>
      </c>
      <c r="C615" t="s">
        <v>583</v>
      </c>
      <c r="D615" s="2">
        <v>45785</v>
      </c>
      <c r="E615" t="s">
        <v>28</v>
      </c>
      <c r="F615" t="str">
        <f>VLOOKUP($C615,Product_Dim!$A$2:$D$101,3,FALSE)</f>
        <v>Baldwin, Garza and Gonzalez</v>
      </c>
      <c r="G615" t="str">
        <f>VLOOKUP($C615,Product_Dim!$A$2:$D$101,2,FALSE)</f>
        <v>Clothing</v>
      </c>
      <c r="H615">
        <v>1</v>
      </c>
      <c r="I615">
        <v>38.880000000000003</v>
      </c>
      <c r="J615">
        <v>0.16</v>
      </c>
      <c r="K615" s="3">
        <v>32.659199999999998</v>
      </c>
      <c r="L615" t="s">
        <v>857</v>
      </c>
      <c r="M615" t="str">
        <f>VLOOKUP($E615,Customer_Dim!$A$2:$F$501,3,FALSE)</f>
        <v>Female</v>
      </c>
      <c r="N615" t="str">
        <f>VLOOKUP($E615,Customer_Dim!$A$2:$F$501,5,FALSE)</f>
        <v>USA</v>
      </c>
      <c r="O615" t="str">
        <f>VLOOKUP($E615,Customer_Dim!$A$2:$F$501,6,FALSE)</f>
        <v>Bronze</v>
      </c>
      <c r="P615" t="str">
        <f>VLOOKUP($A615,Store_Dim!$A$2:$F$21,3,FALSE)</f>
        <v>SouthChristopherland</v>
      </c>
    </row>
    <row r="616" spans="1:16" hidden="1" x14ac:dyDescent="0.25">
      <c r="A616" t="s">
        <v>827</v>
      </c>
      <c r="B616" t="s">
        <v>1284</v>
      </c>
      <c r="C616" t="s">
        <v>678</v>
      </c>
      <c r="D616" s="2">
        <v>45445</v>
      </c>
      <c r="E616" t="s">
        <v>12</v>
      </c>
      <c r="F616" t="str">
        <f>VLOOKUP($C616,Product_Dim!$A$2:$D$101,3,FALSE)</f>
        <v>Bautista, Green and Hale</v>
      </c>
      <c r="G616" t="str">
        <f>VLOOKUP($C616,Product_Dim!$A$2:$D$101,2,FALSE)</f>
        <v>Electronics</v>
      </c>
      <c r="H616">
        <v>3</v>
      </c>
      <c r="I616">
        <v>287.70999999999998</v>
      </c>
      <c r="J616">
        <v>0.03</v>
      </c>
      <c r="K616" s="3">
        <v>837.23609999999985</v>
      </c>
      <c r="L616" t="s">
        <v>857</v>
      </c>
      <c r="M616" t="str">
        <f>VLOOKUP($E616,Customer_Dim!$A$2:$F$501,3,FALSE)</f>
        <v>Female</v>
      </c>
      <c r="N616" t="str">
        <f>VLOOKUP($E616,Customer_Dim!$A$2:$F$501,5,FALSE)</f>
        <v>USA</v>
      </c>
      <c r="O616" t="str">
        <f>VLOOKUP($E616,Customer_Dim!$A$2:$F$501,6,FALSE)</f>
        <v>Platinum</v>
      </c>
      <c r="P616" t="str">
        <f>VLOOKUP($A616,Store_Dim!$A$2:$F$21,3,FALSE)</f>
        <v>SouthChristopherland</v>
      </c>
    </row>
    <row r="617" spans="1:16" x14ac:dyDescent="0.25">
      <c r="A617" t="s">
        <v>827</v>
      </c>
      <c r="B617" t="s">
        <v>2735</v>
      </c>
      <c r="C617" t="s">
        <v>678</v>
      </c>
      <c r="D617" s="2">
        <v>45475</v>
      </c>
      <c r="E617" t="s">
        <v>386</v>
      </c>
      <c r="F617" t="str">
        <f>VLOOKUP($C617,Product_Dim!$A$2:$D$101,3,FALSE)</f>
        <v>Bautista, Green and Hale</v>
      </c>
      <c r="G617" t="str">
        <f>VLOOKUP($C617,Product_Dim!$A$2:$D$101,2,FALSE)</f>
        <v>Electronics</v>
      </c>
      <c r="H617">
        <v>4</v>
      </c>
      <c r="I617">
        <v>860.78</v>
      </c>
      <c r="J617">
        <v>0.03</v>
      </c>
      <c r="K617" s="3">
        <v>3339.8263999999999</v>
      </c>
      <c r="L617" t="s">
        <v>852</v>
      </c>
      <c r="M617" t="str">
        <f>VLOOKUP($E617,Customer_Dim!$A$2:$F$501,3,FALSE)</f>
        <v>Male</v>
      </c>
      <c r="N617" t="str">
        <f>VLOOKUP($E617,Customer_Dim!$A$2:$F$501,5,FALSE)</f>
        <v>USA</v>
      </c>
      <c r="O617" t="str">
        <f>VLOOKUP($E617,Customer_Dim!$A$2:$F$501,6,FALSE)</f>
        <v>Platinum</v>
      </c>
      <c r="P617" t="str">
        <f>VLOOKUP($A617,Store_Dim!$A$2:$F$21,3,FALSE)</f>
        <v>SouthChristopherland</v>
      </c>
    </row>
    <row r="618" spans="1:16" x14ac:dyDescent="0.25">
      <c r="A618" t="s">
        <v>827</v>
      </c>
      <c r="B618" t="s">
        <v>1129</v>
      </c>
      <c r="C618" t="s">
        <v>684</v>
      </c>
      <c r="D618" s="2">
        <v>45932</v>
      </c>
      <c r="E618" t="s">
        <v>439</v>
      </c>
      <c r="F618" t="str">
        <f>VLOOKUP($C618,Product_Dim!$A$2:$D$101,3,FALSE)</f>
        <v>Thompson-French</v>
      </c>
      <c r="G618" t="str">
        <f>VLOOKUP($C618,Product_Dim!$A$2:$D$101,2,FALSE)</f>
        <v>Sports</v>
      </c>
      <c r="H618">
        <v>1</v>
      </c>
      <c r="I618">
        <v>606.01</v>
      </c>
      <c r="J618">
        <v>0.04</v>
      </c>
      <c r="K618" s="3">
        <v>581.76959999999997</v>
      </c>
      <c r="L618" t="s">
        <v>854</v>
      </c>
      <c r="M618" t="str">
        <f>VLOOKUP($E618,Customer_Dim!$A$2:$F$501,3,FALSE)</f>
        <v>Male</v>
      </c>
      <c r="N618" t="str">
        <f>VLOOKUP($E618,Customer_Dim!$A$2:$F$501,5,FALSE)</f>
        <v>USA</v>
      </c>
      <c r="O618" t="str">
        <f>VLOOKUP($E618,Customer_Dim!$A$2:$F$501,6,FALSE)</f>
        <v>Bronze</v>
      </c>
      <c r="P618" t="str">
        <f>VLOOKUP($A618,Store_Dim!$A$2:$F$21,3,FALSE)</f>
        <v>SouthChristopherland</v>
      </c>
    </row>
    <row r="619" spans="1:16" x14ac:dyDescent="0.25">
      <c r="A619" t="s">
        <v>827</v>
      </c>
      <c r="B619" t="s">
        <v>2265</v>
      </c>
      <c r="C619" t="s">
        <v>688</v>
      </c>
      <c r="D619" s="2">
        <v>45603</v>
      </c>
      <c r="E619" t="s">
        <v>417</v>
      </c>
      <c r="F619" t="str">
        <f>VLOOKUP($C619,Product_Dim!$A$2:$D$101,3,FALSE)</f>
        <v>Hernandez, Kennedy and Porter</v>
      </c>
      <c r="G619" t="str">
        <f>VLOOKUP($C619,Product_Dim!$A$2:$D$101,2,FALSE)</f>
        <v>Home</v>
      </c>
      <c r="H619">
        <v>3</v>
      </c>
      <c r="I619">
        <v>169.43</v>
      </c>
      <c r="J619">
        <v>0.19</v>
      </c>
      <c r="K619" s="3">
        <v>411.71490000000011</v>
      </c>
      <c r="L619" t="s">
        <v>852</v>
      </c>
      <c r="M619" t="str">
        <f>VLOOKUP($E619,Customer_Dim!$A$2:$F$501,3,FALSE)</f>
        <v>Male</v>
      </c>
      <c r="N619" t="str">
        <f>VLOOKUP($E619,Customer_Dim!$A$2:$F$501,5,FALSE)</f>
        <v>USA</v>
      </c>
      <c r="O619" t="str">
        <f>VLOOKUP($E619,Customer_Dim!$A$2:$F$501,6,FALSE)</f>
        <v>Silver</v>
      </c>
      <c r="P619" t="str">
        <f>VLOOKUP($A619,Store_Dim!$A$2:$F$21,3,FALSE)</f>
        <v>SouthChristopherland</v>
      </c>
    </row>
    <row r="620" spans="1:16" x14ac:dyDescent="0.25">
      <c r="A620" t="s">
        <v>827</v>
      </c>
      <c r="B620" t="s">
        <v>1531</v>
      </c>
      <c r="C620" t="s">
        <v>694</v>
      </c>
      <c r="D620" s="2">
        <v>45842</v>
      </c>
      <c r="E620" t="s">
        <v>241</v>
      </c>
      <c r="F620" t="str">
        <f>VLOOKUP($C620,Product_Dim!$A$2:$D$101,3,FALSE)</f>
        <v>Cline-Mccarthy</v>
      </c>
      <c r="G620" t="str">
        <f>VLOOKUP($C620,Product_Dim!$A$2:$D$101,2,FALSE)</f>
        <v>Beauty</v>
      </c>
      <c r="H620">
        <v>2</v>
      </c>
      <c r="I620">
        <v>37.21</v>
      </c>
      <c r="J620">
        <v>0.19</v>
      </c>
      <c r="K620" s="3">
        <v>60.280200000000008</v>
      </c>
      <c r="L620" t="s">
        <v>852</v>
      </c>
      <c r="M620" t="str">
        <f>VLOOKUP($E620,Customer_Dim!$A$2:$F$501,3,FALSE)</f>
        <v>Male</v>
      </c>
      <c r="N620" t="str">
        <f>VLOOKUP($E620,Customer_Dim!$A$2:$F$501,5,FALSE)</f>
        <v>USA</v>
      </c>
      <c r="O620" t="str">
        <f>VLOOKUP($E620,Customer_Dim!$A$2:$F$501,6,FALSE)</f>
        <v>Platinum</v>
      </c>
      <c r="P620" t="str">
        <f>VLOOKUP($A620,Store_Dim!$A$2:$F$21,3,FALSE)</f>
        <v>SouthChristopherland</v>
      </c>
    </row>
    <row r="621" spans="1:16" x14ac:dyDescent="0.25">
      <c r="A621" t="s">
        <v>827</v>
      </c>
      <c r="B621" t="s">
        <v>2669</v>
      </c>
      <c r="C621" t="s">
        <v>694</v>
      </c>
      <c r="D621" s="2">
        <v>45400</v>
      </c>
      <c r="E621" t="s">
        <v>269</v>
      </c>
      <c r="F621" t="str">
        <f>VLOOKUP($C621,Product_Dim!$A$2:$D$101,3,FALSE)</f>
        <v>Cline-Mccarthy</v>
      </c>
      <c r="G621" t="str">
        <f>VLOOKUP($C621,Product_Dim!$A$2:$D$101,2,FALSE)</f>
        <v>Beauty</v>
      </c>
      <c r="H621">
        <v>1</v>
      </c>
      <c r="I621">
        <v>509.08</v>
      </c>
      <c r="J621">
        <v>0.04</v>
      </c>
      <c r="K621" s="3">
        <v>488.71679999999998</v>
      </c>
      <c r="L621" t="s">
        <v>854</v>
      </c>
      <c r="M621" t="str">
        <f>VLOOKUP($E621,Customer_Dim!$A$2:$F$501,3,FALSE)</f>
        <v>Male</v>
      </c>
      <c r="N621" t="str">
        <f>VLOOKUP($E621,Customer_Dim!$A$2:$F$501,5,FALSE)</f>
        <v>USA</v>
      </c>
      <c r="O621" t="str">
        <f>VLOOKUP($E621,Customer_Dim!$A$2:$F$501,6,FALSE)</f>
        <v>Platinum</v>
      </c>
      <c r="P621" t="str">
        <f>VLOOKUP($A621,Store_Dim!$A$2:$F$21,3,FALSE)</f>
        <v>SouthChristopherland</v>
      </c>
    </row>
    <row r="622" spans="1:16" hidden="1" x14ac:dyDescent="0.25">
      <c r="A622" t="s">
        <v>827</v>
      </c>
      <c r="B622" t="s">
        <v>2045</v>
      </c>
      <c r="C622" t="s">
        <v>694</v>
      </c>
      <c r="D622" s="2">
        <v>45936</v>
      </c>
      <c r="E622" t="s">
        <v>336</v>
      </c>
      <c r="F622" t="str">
        <f>VLOOKUP($C622,Product_Dim!$A$2:$D$101,3,FALSE)</f>
        <v>Cline-Mccarthy</v>
      </c>
      <c r="G622" t="str">
        <f>VLOOKUP($C622,Product_Dim!$A$2:$D$101,2,FALSE)</f>
        <v>Beauty</v>
      </c>
      <c r="H622">
        <v>2</v>
      </c>
      <c r="I622">
        <v>579.52</v>
      </c>
      <c r="J622">
        <v>0.01</v>
      </c>
      <c r="K622" s="3">
        <v>1147.4495999999999</v>
      </c>
      <c r="L622" t="s">
        <v>854</v>
      </c>
      <c r="M622" t="str">
        <f>VLOOKUP($E622,Customer_Dim!$A$2:$F$501,3,FALSE)</f>
        <v>Female</v>
      </c>
      <c r="N622" t="str">
        <f>VLOOKUP($E622,Customer_Dim!$A$2:$F$501,5,FALSE)</f>
        <v>USA</v>
      </c>
      <c r="O622" t="str">
        <f>VLOOKUP($E622,Customer_Dim!$A$2:$F$501,6,FALSE)</f>
        <v>Silver</v>
      </c>
      <c r="P622" t="str">
        <f>VLOOKUP($A622,Store_Dim!$A$2:$F$21,3,FALSE)</f>
        <v>SouthChristopherland</v>
      </c>
    </row>
    <row r="623" spans="1:16" x14ac:dyDescent="0.25">
      <c r="A623" t="s">
        <v>827</v>
      </c>
      <c r="B623" t="s">
        <v>1083</v>
      </c>
      <c r="C623" t="s">
        <v>696</v>
      </c>
      <c r="D623" s="2">
        <v>45348</v>
      </c>
      <c r="E623" t="s">
        <v>206</v>
      </c>
      <c r="F623" t="str">
        <f>VLOOKUP($C623,Product_Dim!$A$2:$D$101,3,FALSE)</f>
        <v>Gibson, Green and Lopez</v>
      </c>
      <c r="G623" t="str">
        <f>VLOOKUP($C623,Product_Dim!$A$2:$D$101,2,FALSE)</f>
        <v>Beauty</v>
      </c>
      <c r="H623">
        <v>3</v>
      </c>
      <c r="I623">
        <v>769.56</v>
      </c>
      <c r="J623">
        <v>0.08</v>
      </c>
      <c r="K623" s="3">
        <v>2123.9856</v>
      </c>
      <c r="L623" t="s">
        <v>852</v>
      </c>
      <c r="M623" t="str">
        <f>VLOOKUP($E623,Customer_Dim!$A$2:$F$501,3,FALSE)</f>
        <v>Male</v>
      </c>
      <c r="N623" t="str">
        <f>VLOOKUP($E623,Customer_Dim!$A$2:$F$501,5,FALSE)</f>
        <v>USA</v>
      </c>
      <c r="O623" t="str">
        <f>VLOOKUP($E623,Customer_Dim!$A$2:$F$501,6,FALSE)</f>
        <v>Bronze</v>
      </c>
      <c r="P623" t="str">
        <f>VLOOKUP($A623,Store_Dim!$A$2:$F$21,3,FALSE)</f>
        <v>SouthChristopherland</v>
      </c>
    </row>
    <row r="624" spans="1:16" hidden="1" x14ac:dyDescent="0.25">
      <c r="A624" t="s">
        <v>827</v>
      </c>
      <c r="B624" t="s">
        <v>1820</v>
      </c>
      <c r="C624" t="s">
        <v>700</v>
      </c>
      <c r="D624" s="2">
        <v>45629</v>
      </c>
      <c r="E624" t="s">
        <v>218</v>
      </c>
      <c r="F624" t="str">
        <f>VLOOKUP($C624,Product_Dim!$A$2:$D$101,3,FALSE)</f>
        <v>Murray, Gould and Ware</v>
      </c>
      <c r="G624" t="str">
        <f>VLOOKUP($C624,Product_Dim!$A$2:$D$101,2,FALSE)</f>
        <v>Electronics</v>
      </c>
      <c r="H624">
        <v>2</v>
      </c>
      <c r="I624">
        <v>233.33</v>
      </c>
      <c r="J624">
        <v>0.05</v>
      </c>
      <c r="K624" s="3">
        <v>443.327</v>
      </c>
      <c r="L624" t="s">
        <v>852</v>
      </c>
      <c r="M624" t="str">
        <f>VLOOKUP($E624,Customer_Dim!$A$2:$F$501,3,FALSE)</f>
        <v>Female</v>
      </c>
      <c r="N624" t="str">
        <f>VLOOKUP($E624,Customer_Dim!$A$2:$F$501,5,FALSE)</f>
        <v>USA</v>
      </c>
      <c r="O624" t="str">
        <f>VLOOKUP($E624,Customer_Dim!$A$2:$F$501,6,FALSE)</f>
        <v>Gold</v>
      </c>
      <c r="P624" t="str">
        <f>VLOOKUP($A624,Store_Dim!$A$2:$F$21,3,FALSE)</f>
        <v>SouthChristopherland</v>
      </c>
    </row>
    <row r="625" spans="1:16" x14ac:dyDescent="0.25">
      <c r="A625" t="s">
        <v>827</v>
      </c>
      <c r="B625" t="s">
        <v>1370</v>
      </c>
      <c r="C625" t="s">
        <v>700</v>
      </c>
      <c r="D625" s="2">
        <v>45372</v>
      </c>
      <c r="E625" t="s">
        <v>239</v>
      </c>
      <c r="F625" t="str">
        <f>VLOOKUP($C625,Product_Dim!$A$2:$D$101,3,FALSE)</f>
        <v>Murray, Gould and Ware</v>
      </c>
      <c r="G625" t="str">
        <f>VLOOKUP($C625,Product_Dim!$A$2:$D$101,2,FALSE)</f>
        <v>Electronics</v>
      </c>
      <c r="H625">
        <v>1</v>
      </c>
      <c r="I625">
        <v>145.43</v>
      </c>
      <c r="J625">
        <v>0.08</v>
      </c>
      <c r="K625" s="3">
        <v>133.79560000000001</v>
      </c>
      <c r="L625" t="s">
        <v>852</v>
      </c>
      <c r="M625" t="str">
        <f>VLOOKUP($E625,Customer_Dim!$A$2:$F$501,3,FALSE)</f>
        <v>Male</v>
      </c>
      <c r="N625" t="str">
        <f>VLOOKUP($E625,Customer_Dim!$A$2:$F$501,5,FALSE)</f>
        <v>USA</v>
      </c>
      <c r="O625" t="str">
        <f>VLOOKUP($E625,Customer_Dim!$A$2:$F$501,6,FALSE)</f>
        <v>Platinum</v>
      </c>
      <c r="P625" t="str">
        <f>VLOOKUP($A625,Store_Dim!$A$2:$F$21,3,FALSE)</f>
        <v>SouthChristopherland</v>
      </c>
    </row>
    <row r="626" spans="1:16" x14ac:dyDescent="0.25">
      <c r="A626" t="s">
        <v>827</v>
      </c>
      <c r="B626" t="s">
        <v>1272</v>
      </c>
      <c r="C626" t="s">
        <v>700</v>
      </c>
      <c r="D626" s="2">
        <v>45942</v>
      </c>
      <c r="E626" t="s">
        <v>465</v>
      </c>
      <c r="F626" t="str">
        <f>VLOOKUP($C626,Product_Dim!$A$2:$D$101,3,FALSE)</f>
        <v>Murray, Gould and Ware</v>
      </c>
      <c r="G626" t="str">
        <f>VLOOKUP($C626,Product_Dim!$A$2:$D$101,2,FALSE)</f>
        <v>Electronics</v>
      </c>
      <c r="H626">
        <v>3</v>
      </c>
      <c r="I626">
        <v>969.83</v>
      </c>
      <c r="J626">
        <v>0.02</v>
      </c>
      <c r="K626" s="3">
        <v>2851.3002000000001</v>
      </c>
      <c r="L626" t="s">
        <v>852</v>
      </c>
      <c r="M626" t="str">
        <f>VLOOKUP($E626,Customer_Dim!$A$2:$F$501,3,FALSE)</f>
        <v>Male</v>
      </c>
      <c r="N626" t="str">
        <f>VLOOKUP($E626,Customer_Dim!$A$2:$F$501,5,FALSE)</f>
        <v>USA</v>
      </c>
      <c r="O626" t="str">
        <f>VLOOKUP($E626,Customer_Dim!$A$2:$F$501,6,FALSE)</f>
        <v>Bronze</v>
      </c>
      <c r="P626" t="str">
        <f>VLOOKUP($A626,Store_Dim!$A$2:$F$21,3,FALSE)</f>
        <v>SouthChristopherland</v>
      </c>
    </row>
    <row r="627" spans="1:16" x14ac:dyDescent="0.25">
      <c r="A627" t="s">
        <v>827</v>
      </c>
      <c r="B627" t="s">
        <v>1160</v>
      </c>
      <c r="C627" t="s">
        <v>700</v>
      </c>
      <c r="D627" s="2">
        <v>45679</v>
      </c>
      <c r="E627" t="s">
        <v>548</v>
      </c>
      <c r="F627" t="str">
        <f>VLOOKUP($C627,Product_Dim!$A$2:$D$101,3,FALSE)</f>
        <v>Murray, Gould and Ware</v>
      </c>
      <c r="G627" t="str">
        <f>VLOOKUP($C627,Product_Dim!$A$2:$D$101,2,FALSE)</f>
        <v>Electronics</v>
      </c>
      <c r="H627">
        <v>2</v>
      </c>
      <c r="I627">
        <v>837.76</v>
      </c>
      <c r="J627">
        <v>0.03</v>
      </c>
      <c r="K627" s="3">
        <v>1625.2544</v>
      </c>
      <c r="L627" t="s">
        <v>857</v>
      </c>
      <c r="M627" t="str">
        <f>VLOOKUP($E627,Customer_Dim!$A$2:$F$501,3,FALSE)</f>
        <v>Male</v>
      </c>
      <c r="N627" t="str">
        <f>VLOOKUP($E627,Customer_Dim!$A$2:$F$501,5,FALSE)</f>
        <v>USA</v>
      </c>
      <c r="O627" t="str">
        <f>VLOOKUP($E627,Customer_Dim!$A$2:$F$501,6,FALSE)</f>
        <v>Gold</v>
      </c>
      <c r="P627" t="str">
        <f>VLOOKUP($A627,Store_Dim!$A$2:$F$21,3,FALSE)</f>
        <v>SouthChristopherland</v>
      </c>
    </row>
    <row r="628" spans="1:16" hidden="1" x14ac:dyDescent="0.25">
      <c r="A628" t="s">
        <v>827</v>
      </c>
      <c r="B628" t="s">
        <v>1927</v>
      </c>
      <c r="C628" t="s">
        <v>704</v>
      </c>
      <c r="D628" s="2">
        <v>45241</v>
      </c>
      <c r="E628" t="s">
        <v>404</v>
      </c>
      <c r="F628" t="str">
        <f>VLOOKUP($C628,Product_Dim!$A$2:$D$101,3,FALSE)</f>
        <v>Zhang Inc</v>
      </c>
      <c r="G628" t="str">
        <f>VLOOKUP($C628,Product_Dim!$A$2:$D$101,2,FALSE)</f>
        <v>Beauty</v>
      </c>
      <c r="H628">
        <v>2</v>
      </c>
      <c r="I628">
        <v>891.8</v>
      </c>
      <c r="J628">
        <v>0.28999999999999998</v>
      </c>
      <c r="K628" s="3">
        <v>1266.356</v>
      </c>
      <c r="L628" t="s">
        <v>857</v>
      </c>
      <c r="M628" t="str">
        <f>VLOOKUP($E628,Customer_Dim!$A$2:$F$501,3,FALSE)</f>
        <v>Female</v>
      </c>
      <c r="N628" t="str">
        <f>VLOOKUP($E628,Customer_Dim!$A$2:$F$501,5,FALSE)</f>
        <v>USA</v>
      </c>
      <c r="O628" t="str">
        <f>VLOOKUP($E628,Customer_Dim!$A$2:$F$501,6,FALSE)</f>
        <v>Bronze</v>
      </c>
      <c r="P628" t="str">
        <f>VLOOKUP($A628,Store_Dim!$A$2:$F$21,3,FALSE)</f>
        <v>SouthChristopherland</v>
      </c>
    </row>
    <row r="629" spans="1:16" hidden="1" x14ac:dyDescent="0.25">
      <c r="A629" t="s">
        <v>827</v>
      </c>
      <c r="B629" t="s">
        <v>2234</v>
      </c>
      <c r="C629" t="s">
        <v>706</v>
      </c>
      <c r="D629" s="2">
        <v>45549</v>
      </c>
      <c r="E629" t="s">
        <v>150</v>
      </c>
      <c r="F629" t="str">
        <f>VLOOKUP($C629,Product_Dim!$A$2:$D$101,3,FALSE)</f>
        <v>Montgomery, Benton and Miller</v>
      </c>
      <c r="G629" t="str">
        <f>VLOOKUP($C629,Product_Dim!$A$2:$D$101,2,FALSE)</f>
        <v>Sports</v>
      </c>
      <c r="H629">
        <v>2</v>
      </c>
      <c r="I629">
        <v>546.41</v>
      </c>
      <c r="J629">
        <v>0.08</v>
      </c>
      <c r="K629" s="3">
        <v>1005.3944</v>
      </c>
      <c r="L629" t="s">
        <v>857</v>
      </c>
      <c r="M629" t="str">
        <f>VLOOKUP($E629,Customer_Dim!$A$2:$F$501,3,FALSE)</f>
        <v>Female</v>
      </c>
      <c r="N629" t="str">
        <f>VLOOKUP($E629,Customer_Dim!$A$2:$F$501,5,FALSE)</f>
        <v>USA</v>
      </c>
      <c r="O629" t="str">
        <f>VLOOKUP($E629,Customer_Dim!$A$2:$F$501,6,FALSE)</f>
        <v>Platinum</v>
      </c>
      <c r="P629" t="str">
        <f>VLOOKUP($A629,Store_Dim!$A$2:$F$21,3,FALSE)</f>
        <v>SouthChristopherland</v>
      </c>
    </row>
    <row r="630" spans="1:16" x14ac:dyDescent="0.25">
      <c r="A630" t="s">
        <v>827</v>
      </c>
      <c r="B630" t="s">
        <v>2684</v>
      </c>
      <c r="C630" t="s">
        <v>706</v>
      </c>
      <c r="D630" s="2">
        <v>45860</v>
      </c>
      <c r="E630" t="s">
        <v>367</v>
      </c>
      <c r="F630" t="str">
        <f>VLOOKUP($C630,Product_Dim!$A$2:$D$101,3,FALSE)</f>
        <v>Montgomery, Benton and Miller</v>
      </c>
      <c r="G630" t="str">
        <f>VLOOKUP($C630,Product_Dim!$A$2:$D$101,2,FALSE)</f>
        <v>Sports</v>
      </c>
      <c r="H630">
        <v>4</v>
      </c>
      <c r="I630">
        <v>611.91999999999996</v>
      </c>
      <c r="J630">
        <v>0.2</v>
      </c>
      <c r="K630" s="3">
        <v>1958.144</v>
      </c>
      <c r="L630" t="s">
        <v>854</v>
      </c>
      <c r="M630" t="str">
        <f>VLOOKUP($E630,Customer_Dim!$A$2:$F$501,3,FALSE)</f>
        <v>Male</v>
      </c>
      <c r="N630" t="str">
        <f>VLOOKUP($E630,Customer_Dim!$A$2:$F$501,5,FALSE)</f>
        <v>USA</v>
      </c>
      <c r="O630" t="str">
        <f>VLOOKUP($E630,Customer_Dim!$A$2:$F$501,6,FALSE)</f>
        <v>Silver</v>
      </c>
      <c r="P630" t="str">
        <f>VLOOKUP($A630,Store_Dim!$A$2:$F$21,3,FALSE)</f>
        <v>SouthChristopherland</v>
      </c>
    </row>
    <row r="631" spans="1:16" hidden="1" x14ac:dyDescent="0.25">
      <c r="A631" t="s">
        <v>827</v>
      </c>
      <c r="B631" t="s">
        <v>2229</v>
      </c>
      <c r="C631" t="s">
        <v>712</v>
      </c>
      <c r="D631" s="2">
        <v>45534</v>
      </c>
      <c r="E631" t="s">
        <v>311</v>
      </c>
      <c r="F631" t="str">
        <f>VLOOKUP($C631,Product_Dim!$A$2:$D$101,3,FALSE)</f>
        <v>Wolfe, Ross and Hester</v>
      </c>
      <c r="G631" t="str">
        <f>VLOOKUP($C631,Product_Dim!$A$2:$D$101,2,FALSE)</f>
        <v>Home</v>
      </c>
      <c r="H631">
        <v>4</v>
      </c>
      <c r="I631">
        <v>207.41</v>
      </c>
      <c r="J631">
        <v>0.02</v>
      </c>
      <c r="K631" s="3">
        <v>813.04719999999998</v>
      </c>
      <c r="L631" t="s">
        <v>852</v>
      </c>
      <c r="M631" t="str">
        <f>VLOOKUP($E631,Customer_Dim!$A$2:$F$501,3,FALSE)</f>
        <v>Female</v>
      </c>
      <c r="N631" t="str">
        <f>VLOOKUP($E631,Customer_Dim!$A$2:$F$501,5,FALSE)</f>
        <v>USA</v>
      </c>
      <c r="O631" t="str">
        <f>VLOOKUP($E631,Customer_Dim!$A$2:$F$501,6,FALSE)</f>
        <v>Platinum</v>
      </c>
      <c r="P631" t="str">
        <f>VLOOKUP($A631,Store_Dim!$A$2:$F$21,3,FALSE)</f>
        <v>SouthChristopherland</v>
      </c>
    </row>
    <row r="632" spans="1:16" x14ac:dyDescent="0.25">
      <c r="A632" t="s">
        <v>827</v>
      </c>
      <c r="B632" t="s">
        <v>1584</v>
      </c>
      <c r="C632" t="s">
        <v>712</v>
      </c>
      <c r="D632" s="2">
        <v>45554</v>
      </c>
      <c r="E632" t="s">
        <v>452</v>
      </c>
      <c r="F632" t="str">
        <f>VLOOKUP($C632,Product_Dim!$A$2:$D$101,3,FALSE)</f>
        <v>Wolfe, Ross and Hester</v>
      </c>
      <c r="G632" t="str">
        <f>VLOOKUP($C632,Product_Dim!$A$2:$D$101,2,FALSE)</f>
        <v>Home</v>
      </c>
      <c r="H632">
        <v>1</v>
      </c>
      <c r="I632">
        <v>522.72</v>
      </c>
      <c r="J632">
        <v>0.25</v>
      </c>
      <c r="K632" s="3">
        <v>392.04</v>
      </c>
      <c r="L632" t="s">
        <v>854</v>
      </c>
      <c r="M632" t="str">
        <f>VLOOKUP($E632,Customer_Dim!$A$2:$F$501,3,FALSE)</f>
        <v>Male</v>
      </c>
      <c r="N632" t="str">
        <f>VLOOKUP($E632,Customer_Dim!$A$2:$F$501,5,FALSE)</f>
        <v>USA</v>
      </c>
      <c r="O632" t="str">
        <f>VLOOKUP($E632,Customer_Dim!$A$2:$F$501,6,FALSE)</f>
        <v>Gold</v>
      </c>
      <c r="P632" t="str">
        <f>VLOOKUP($A632,Store_Dim!$A$2:$F$21,3,FALSE)</f>
        <v>SouthChristopherland</v>
      </c>
    </row>
    <row r="633" spans="1:16" x14ac:dyDescent="0.25">
      <c r="A633" t="s">
        <v>827</v>
      </c>
      <c r="B633" t="s">
        <v>1855</v>
      </c>
      <c r="C633" t="s">
        <v>714</v>
      </c>
      <c r="D633" s="2">
        <v>45776</v>
      </c>
      <c r="E633" t="s">
        <v>98</v>
      </c>
      <c r="F633" t="str">
        <f>VLOOKUP($C633,Product_Dim!$A$2:$D$101,3,FALSE)</f>
        <v>Fitzpatrick Ltd</v>
      </c>
      <c r="G633" t="str">
        <f>VLOOKUP($C633,Product_Dim!$A$2:$D$101,2,FALSE)</f>
        <v>Clothing</v>
      </c>
      <c r="H633">
        <v>4</v>
      </c>
      <c r="I633">
        <v>593.84</v>
      </c>
      <c r="J633">
        <v>0.24</v>
      </c>
      <c r="K633" s="3">
        <v>1805.2736</v>
      </c>
      <c r="L633" t="s">
        <v>854</v>
      </c>
      <c r="M633" t="str">
        <f>VLOOKUP($E633,Customer_Dim!$A$2:$F$501,3,FALSE)</f>
        <v>Male</v>
      </c>
      <c r="N633" t="str">
        <f>VLOOKUP($E633,Customer_Dim!$A$2:$F$501,5,FALSE)</f>
        <v>USA</v>
      </c>
      <c r="O633" t="str">
        <f>VLOOKUP($E633,Customer_Dim!$A$2:$F$501,6,FALSE)</f>
        <v>Bronze</v>
      </c>
      <c r="P633" t="str">
        <f>VLOOKUP($A633,Store_Dim!$A$2:$F$21,3,FALSE)</f>
        <v>SouthChristopherland</v>
      </c>
    </row>
    <row r="634" spans="1:16" hidden="1" x14ac:dyDescent="0.25">
      <c r="A634" t="s">
        <v>827</v>
      </c>
      <c r="B634" t="s">
        <v>1292</v>
      </c>
      <c r="C634" t="s">
        <v>714</v>
      </c>
      <c r="D634" s="2">
        <v>45811</v>
      </c>
      <c r="E634" t="s">
        <v>223</v>
      </c>
      <c r="F634" t="str">
        <f>VLOOKUP($C634,Product_Dim!$A$2:$D$101,3,FALSE)</f>
        <v>Fitzpatrick Ltd</v>
      </c>
      <c r="G634" t="str">
        <f>VLOOKUP($C634,Product_Dim!$A$2:$D$101,2,FALSE)</f>
        <v>Clothing</v>
      </c>
      <c r="H634">
        <v>2</v>
      </c>
      <c r="I634">
        <v>527.05999999999995</v>
      </c>
      <c r="J634">
        <v>0.17</v>
      </c>
      <c r="K634" s="3">
        <v>874.91959999999983</v>
      </c>
      <c r="L634" t="s">
        <v>854</v>
      </c>
      <c r="M634" t="str">
        <f>VLOOKUP($E634,Customer_Dim!$A$2:$F$501,3,FALSE)</f>
        <v>Female</v>
      </c>
      <c r="N634" t="str">
        <f>VLOOKUP($E634,Customer_Dim!$A$2:$F$501,5,FALSE)</f>
        <v>USA</v>
      </c>
      <c r="O634" t="str">
        <f>VLOOKUP($E634,Customer_Dim!$A$2:$F$501,6,FALSE)</f>
        <v>Gold</v>
      </c>
      <c r="P634" t="str">
        <f>VLOOKUP($A634,Store_Dim!$A$2:$F$21,3,FALSE)</f>
        <v>SouthChristopherland</v>
      </c>
    </row>
    <row r="635" spans="1:16" x14ac:dyDescent="0.25">
      <c r="A635" t="s">
        <v>827</v>
      </c>
      <c r="B635" t="s">
        <v>2702</v>
      </c>
      <c r="C635" t="s">
        <v>714</v>
      </c>
      <c r="D635" s="2">
        <v>45477</v>
      </c>
      <c r="E635" t="s">
        <v>292</v>
      </c>
      <c r="F635" t="str">
        <f>VLOOKUP($C635,Product_Dim!$A$2:$D$101,3,FALSE)</f>
        <v>Fitzpatrick Ltd</v>
      </c>
      <c r="G635" t="str">
        <f>VLOOKUP($C635,Product_Dim!$A$2:$D$101,2,FALSE)</f>
        <v>Clothing</v>
      </c>
      <c r="H635">
        <v>2</v>
      </c>
      <c r="I635">
        <v>478.62</v>
      </c>
      <c r="J635">
        <v>0.17</v>
      </c>
      <c r="K635" s="3">
        <v>794.50919999999996</v>
      </c>
      <c r="L635" t="s">
        <v>857</v>
      </c>
      <c r="M635" t="str">
        <f>VLOOKUP($E635,Customer_Dim!$A$2:$F$501,3,FALSE)</f>
        <v>Male</v>
      </c>
      <c r="N635" t="str">
        <f>VLOOKUP($E635,Customer_Dim!$A$2:$F$501,5,FALSE)</f>
        <v>USA</v>
      </c>
      <c r="O635" t="str">
        <f>VLOOKUP($E635,Customer_Dim!$A$2:$F$501,6,FALSE)</f>
        <v>Gold</v>
      </c>
      <c r="P635" t="str">
        <f>VLOOKUP($A635,Store_Dim!$A$2:$F$21,3,FALSE)</f>
        <v>SouthChristopherland</v>
      </c>
    </row>
    <row r="636" spans="1:16" hidden="1" x14ac:dyDescent="0.25">
      <c r="A636" t="s">
        <v>827</v>
      </c>
      <c r="B636" t="s">
        <v>1269</v>
      </c>
      <c r="C636" t="s">
        <v>716</v>
      </c>
      <c r="D636" s="2">
        <v>45813</v>
      </c>
      <c r="E636" t="s">
        <v>91</v>
      </c>
      <c r="F636" t="str">
        <f>VLOOKUP($C636,Product_Dim!$A$2:$D$101,3,FALSE)</f>
        <v>Duran Group</v>
      </c>
      <c r="G636" t="str">
        <f>VLOOKUP($C636,Product_Dim!$A$2:$D$101,2,FALSE)</f>
        <v>Home</v>
      </c>
      <c r="H636">
        <v>1</v>
      </c>
      <c r="I636">
        <v>108.27</v>
      </c>
      <c r="J636">
        <v>0.1</v>
      </c>
      <c r="K636" s="3">
        <v>97.442999999999998</v>
      </c>
      <c r="L636" t="s">
        <v>857</v>
      </c>
      <c r="M636" t="str">
        <f>VLOOKUP($E636,Customer_Dim!$A$2:$F$501,3,FALSE)</f>
        <v>Female</v>
      </c>
      <c r="N636" t="str">
        <f>VLOOKUP($E636,Customer_Dim!$A$2:$F$501,5,FALSE)</f>
        <v>USA</v>
      </c>
      <c r="O636" t="str">
        <f>VLOOKUP($E636,Customer_Dim!$A$2:$F$501,6,FALSE)</f>
        <v>Silver</v>
      </c>
      <c r="P636" t="str">
        <f>VLOOKUP($A636,Store_Dim!$A$2:$F$21,3,FALSE)</f>
        <v>SouthChristopherland</v>
      </c>
    </row>
    <row r="637" spans="1:16" x14ac:dyDescent="0.25">
      <c r="A637" t="s">
        <v>827</v>
      </c>
      <c r="B637" t="s">
        <v>2746</v>
      </c>
      <c r="C637" t="s">
        <v>716</v>
      </c>
      <c r="D637" s="2">
        <v>45269</v>
      </c>
      <c r="E637" t="s">
        <v>108</v>
      </c>
      <c r="F637" t="str">
        <f>VLOOKUP($C637,Product_Dim!$A$2:$D$101,3,FALSE)</f>
        <v>Duran Group</v>
      </c>
      <c r="G637" t="str">
        <f>VLOOKUP($C637,Product_Dim!$A$2:$D$101,2,FALSE)</f>
        <v>Home</v>
      </c>
      <c r="H637">
        <v>2</v>
      </c>
      <c r="I637">
        <v>47.3</v>
      </c>
      <c r="J637">
        <v>0.01</v>
      </c>
      <c r="K637" s="3">
        <v>93.653999999999996</v>
      </c>
      <c r="L637" t="s">
        <v>854</v>
      </c>
      <c r="M637" t="str">
        <f>VLOOKUP($E637,Customer_Dim!$A$2:$F$501,3,FALSE)</f>
        <v>Male</v>
      </c>
      <c r="N637" t="str">
        <f>VLOOKUP($E637,Customer_Dim!$A$2:$F$501,5,FALSE)</f>
        <v>USA</v>
      </c>
      <c r="O637" t="str">
        <f>VLOOKUP($E637,Customer_Dim!$A$2:$F$501,6,FALSE)</f>
        <v>Platinum</v>
      </c>
      <c r="P637" t="str">
        <f>VLOOKUP($A637,Store_Dim!$A$2:$F$21,3,FALSE)</f>
        <v>SouthChristopherland</v>
      </c>
    </row>
    <row r="638" spans="1:16" x14ac:dyDescent="0.25">
      <c r="A638" t="s">
        <v>827</v>
      </c>
      <c r="B638" t="s">
        <v>2294</v>
      </c>
      <c r="C638" t="s">
        <v>716</v>
      </c>
      <c r="D638" s="2">
        <v>45829</v>
      </c>
      <c r="E638" t="s">
        <v>421</v>
      </c>
      <c r="F638" t="str">
        <f>VLOOKUP($C638,Product_Dim!$A$2:$D$101,3,FALSE)</f>
        <v>Duran Group</v>
      </c>
      <c r="G638" t="str">
        <f>VLOOKUP($C638,Product_Dim!$A$2:$D$101,2,FALSE)</f>
        <v>Home</v>
      </c>
      <c r="H638">
        <v>2</v>
      </c>
      <c r="I638">
        <v>424.53</v>
      </c>
      <c r="J638">
        <v>0.14000000000000001</v>
      </c>
      <c r="K638" s="3">
        <v>730.19159999999999</v>
      </c>
      <c r="L638" t="s">
        <v>857</v>
      </c>
      <c r="M638" t="str">
        <f>VLOOKUP($E638,Customer_Dim!$A$2:$F$501,3,FALSE)</f>
        <v>Male</v>
      </c>
      <c r="N638" t="str">
        <f>VLOOKUP($E638,Customer_Dim!$A$2:$F$501,5,FALSE)</f>
        <v>USA</v>
      </c>
      <c r="O638" t="str">
        <f>VLOOKUP($E638,Customer_Dim!$A$2:$F$501,6,FALSE)</f>
        <v>Silver</v>
      </c>
      <c r="P638" t="str">
        <f>VLOOKUP($A638,Store_Dim!$A$2:$F$21,3,FALSE)</f>
        <v>SouthChristopherland</v>
      </c>
    </row>
    <row r="639" spans="1:16" hidden="1" x14ac:dyDescent="0.25">
      <c r="A639" t="s">
        <v>827</v>
      </c>
      <c r="B639" t="s">
        <v>1261</v>
      </c>
      <c r="C639" t="s">
        <v>716</v>
      </c>
      <c r="D639" s="2">
        <v>45336</v>
      </c>
      <c r="E639" t="s">
        <v>480</v>
      </c>
      <c r="F639" t="str">
        <f>VLOOKUP($C639,Product_Dim!$A$2:$D$101,3,FALSE)</f>
        <v>Duran Group</v>
      </c>
      <c r="G639" t="str">
        <f>VLOOKUP($C639,Product_Dim!$A$2:$D$101,2,FALSE)</f>
        <v>Home</v>
      </c>
      <c r="H639">
        <v>2</v>
      </c>
      <c r="I639">
        <v>247.67</v>
      </c>
      <c r="J639">
        <v>0.1</v>
      </c>
      <c r="K639" s="3">
        <v>445.80599999999998</v>
      </c>
      <c r="L639" t="s">
        <v>854</v>
      </c>
      <c r="M639" t="str">
        <f>VLOOKUP($E639,Customer_Dim!$A$2:$F$501,3,FALSE)</f>
        <v>Female</v>
      </c>
      <c r="N639" t="str">
        <f>VLOOKUP($E639,Customer_Dim!$A$2:$F$501,5,FALSE)</f>
        <v>USA</v>
      </c>
      <c r="O639" t="str">
        <f>VLOOKUP($E639,Customer_Dim!$A$2:$F$501,6,FALSE)</f>
        <v>Bronze</v>
      </c>
      <c r="P639" t="str">
        <f>VLOOKUP($A639,Store_Dim!$A$2:$F$21,3,FALSE)</f>
        <v>SouthChristopherland</v>
      </c>
    </row>
    <row r="640" spans="1:16" hidden="1" x14ac:dyDescent="0.25">
      <c r="A640" t="s">
        <v>827</v>
      </c>
      <c r="B640" t="s">
        <v>993</v>
      </c>
      <c r="C640" t="s">
        <v>718</v>
      </c>
      <c r="D640" s="2">
        <v>45756</v>
      </c>
      <c r="E640" t="s">
        <v>404</v>
      </c>
      <c r="F640" t="str">
        <f>VLOOKUP($C640,Product_Dim!$A$2:$D$101,3,FALSE)</f>
        <v>Hopkins Ltd</v>
      </c>
      <c r="G640" t="str">
        <f>VLOOKUP($C640,Product_Dim!$A$2:$D$101,2,FALSE)</f>
        <v>Beauty</v>
      </c>
      <c r="H640">
        <v>4</v>
      </c>
      <c r="I640">
        <v>715.85</v>
      </c>
      <c r="J640">
        <v>0.25</v>
      </c>
      <c r="K640" s="3">
        <v>2147.5500000000002</v>
      </c>
      <c r="L640" t="s">
        <v>854</v>
      </c>
      <c r="M640" t="str">
        <f>VLOOKUP($E640,Customer_Dim!$A$2:$F$501,3,FALSE)</f>
        <v>Female</v>
      </c>
      <c r="N640" t="str">
        <f>VLOOKUP($E640,Customer_Dim!$A$2:$F$501,5,FALSE)</f>
        <v>USA</v>
      </c>
      <c r="O640" t="str">
        <f>VLOOKUP($E640,Customer_Dim!$A$2:$F$501,6,FALSE)</f>
        <v>Bronze</v>
      </c>
      <c r="P640" t="str">
        <f>VLOOKUP($A640,Store_Dim!$A$2:$F$21,3,FALSE)</f>
        <v>SouthChristopherland</v>
      </c>
    </row>
    <row r="641" spans="1:16" hidden="1" x14ac:dyDescent="0.25">
      <c r="A641" t="s">
        <v>827</v>
      </c>
      <c r="B641" t="s">
        <v>1893</v>
      </c>
      <c r="C641" t="s">
        <v>720</v>
      </c>
      <c r="D641" s="2">
        <v>45520</v>
      </c>
      <c r="E641" t="s">
        <v>219</v>
      </c>
      <c r="F641" t="str">
        <f>VLOOKUP($C641,Product_Dim!$A$2:$D$101,3,FALSE)</f>
        <v>Davis PLC</v>
      </c>
      <c r="G641" t="str">
        <f>VLOOKUP($C641,Product_Dim!$A$2:$D$101,2,FALSE)</f>
        <v>Sports</v>
      </c>
      <c r="H641">
        <v>3</v>
      </c>
      <c r="I641">
        <v>336.09</v>
      </c>
      <c r="J641">
        <v>0.01</v>
      </c>
      <c r="K641" s="3">
        <v>998.18729999999994</v>
      </c>
      <c r="L641" t="s">
        <v>854</v>
      </c>
      <c r="M641" t="str">
        <f>VLOOKUP($E641,Customer_Dim!$A$2:$F$501,3,FALSE)</f>
        <v>Female</v>
      </c>
      <c r="N641" t="str">
        <f>VLOOKUP($E641,Customer_Dim!$A$2:$F$501,5,FALSE)</f>
        <v>USA</v>
      </c>
      <c r="O641" t="str">
        <f>VLOOKUP($E641,Customer_Dim!$A$2:$F$501,6,FALSE)</f>
        <v>Gold</v>
      </c>
      <c r="P641" t="str">
        <f>VLOOKUP($A641,Store_Dim!$A$2:$F$21,3,FALSE)</f>
        <v>SouthChristopherland</v>
      </c>
    </row>
    <row r="642" spans="1:16" x14ac:dyDescent="0.25">
      <c r="A642" t="s">
        <v>827</v>
      </c>
      <c r="B642" t="s">
        <v>2646</v>
      </c>
      <c r="C642" t="s">
        <v>722</v>
      </c>
      <c r="D642" s="2">
        <v>45387</v>
      </c>
      <c r="E642" t="s">
        <v>279</v>
      </c>
      <c r="F642" t="str">
        <f>VLOOKUP($C642,Product_Dim!$A$2:$D$101,3,FALSE)</f>
        <v>French Ltd</v>
      </c>
      <c r="G642" t="str">
        <f>VLOOKUP($C642,Product_Dim!$A$2:$D$101,2,FALSE)</f>
        <v>Sports</v>
      </c>
      <c r="H642">
        <v>2</v>
      </c>
      <c r="I642">
        <v>720.15</v>
      </c>
      <c r="J642">
        <v>0.22</v>
      </c>
      <c r="K642" s="3">
        <v>1123.434</v>
      </c>
      <c r="L642" t="s">
        <v>857</v>
      </c>
      <c r="M642" t="str">
        <f>VLOOKUP($E642,Customer_Dim!$A$2:$F$501,3,FALSE)</f>
        <v>Male</v>
      </c>
      <c r="N642" t="str">
        <f>VLOOKUP($E642,Customer_Dim!$A$2:$F$501,5,FALSE)</f>
        <v>USA</v>
      </c>
      <c r="O642" t="str">
        <f>VLOOKUP($E642,Customer_Dim!$A$2:$F$501,6,FALSE)</f>
        <v>Gold</v>
      </c>
      <c r="P642" t="str">
        <f>VLOOKUP($A642,Store_Dim!$A$2:$F$21,3,FALSE)</f>
        <v>SouthChristopherland</v>
      </c>
    </row>
    <row r="643" spans="1:16" hidden="1" x14ac:dyDescent="0.25">
      <c r="A643" t="s">
        <v>827</v>
      </c>
      <c r="B643" t="s">
        <v>2377</v>
      </c>
      <c r="C643" t="s">
        <v>724</v>
      </c>
      <c r="D643" s="2">
        <v>45895</v>
      </c>
      <c r="E643" t="s">
        <v>403</v>
      </c>
      <c r="F643" t="str">
        <f>VLOOKUP($C643,Product_Dim!$A$2:$D$101,3,FALSE)</f>
        <v>Bruce-Bowen</v>
      </c>
      <c r="G643" t="str">
        <f>VLOOKUP($C643,Product_Dim!$A$2:$D$101,2,FALSE)</f>
        <v>Electronics</v>
      </c>
      <c r="H643">
        <v>2</v>
      </c>
      <c r="I643">
        <v>611.21</v>
      </c>
      <c r="J643">
        <v>0.22</v>
      </c>
      <c r="K643" s="3">
        <v>953.48760000000004</v>
      </c>
      <c r="L643" t="s">
        <v>857</v>
      </c>
      <c r="M643" t="str">
        <f>VLOOKUP($E643,Customer_Dim!$A$2:$F$501,3,FALSE)</f>
        <v>Female</v>
      </c>
      <c r="N643" t="str">
        <f>VLOOKUP($E643,Customer_Dim!$A$2:$F$501,5,FALSE)</f>
        <v>USA</v>
      </c>
      <c r="O643" t="str">
        <f>VLOOKUP($E643,Customer_Dim!$A$2:$F$501,6,FALSE)</f>
        <v>Silver</v>
      </c>
      <c r="P643" t="str">
        <f>VLOOKUP($A643,Store_Dim!$A$2:$F$21,3,FALSE)</f>
        <v>SouthChristopherland</v>
      </c>
    </row>
    <row r="644" spans="1:16" x14ac:dyDescent="0.25">
      <c r="A644" t="s">
        <v>827</v>
      </c>
      <c r="B644" t="s">
        <v>1978</v>
      </c>
      <c r="C644" t="s">
        <v>728</v>
      </c>
      <c r="D644" s="2">
        <v>45447</v>
      </c>
      <c r="E644" t="s">
        <v>428</v>
      </c>
      <c r="F644" t="str">
        <f>VLOOKUP($C644,Product_Dim!$A$2:$D$101,3,FALSE)</f>
        <v>Larson Ltd</v>
      </c>
      <c r="G644" t="str">
        <f>VLOOKUP($C644,Product_Dim!$A$2:$D$101,2,FALSE)</f>
        <v>Electronics</v>
      </c>
      <c r="H644">
        <v>3</v>
      </c>
      <c r="I644">
        <v>291.05</v>
      </c>
      <c r="J644">
        <v>0.3</v>
      </c>
      <c r="K644" s="3">
        <v>611.20500000000004</v>
      </c>
      <c r="L644" t="s">
        <v>852</v>
      </c>
      <c r="M644" t="str">
        <f>VLOOKUP($E644,Customer_Dim!$A$2:$F$501,3,FALSE)</f>
        <v>Male</v>
      </c>
      <c r="N644" t="str">
        <f>VLOOKUP($E644,Customer_Dim!$A$2:$F$501,5,FALSE)</f>
        <v>USA</v>
      </c>
      <c r="O644" t="str">
        <f>VLOOKUP($E644,Customer_Dim!$A$2:$F$501,6,FALSE)</f>
        <v>Platinum</v>
      </c>
      <c r="P644" t="str">
        <f>VLOOKUP($A644,Store_Dim!$A$2:$F$21,3,FALSE)</f>
        <v>SouthChristopherland</v>
      </c>
    </row>
    <row r="645" spans="1:16" hidden="1" x14ac:dyDescent="0.25">
      <c r="A645" t="s">
        <v>827</v>
      </c>
      <c r="B645" t="s">
        <v>1909</v>
      </c>
      <c r="C645" t="s">
        <v>728</v>
      </c>
      <c r="D645" s="2">
        <v>45441</v>
      </c>
      <c r="E645" t="s">
        <v>531</v>
      </c>
      <c r="F645" t="str">
        <f>VLOOKUP($C645,Product_Dim!$A$2:$D$101,3,FALSE)</f>
        <v>Larson Ltd</v>
      </c>
      <c r="G645" t="str">
        <f>VLOOKUP($C645,Product_Dim!$A$2:$D$101,2,FALSE)</f>
        <v>Electronics</v>
      </c>
      <c r="H645">
        <v>2</v>
      </c>
      <c r="I645">
        <v>720.32</v>
      </c>
      <c r="J645">
        <v>0.26</v>
      </c>
      <c r="K645" s="3">
        <v>1066.0735999999999</v>
      </c>
      <c r="L645" t="s">
        <v>852</v>
      </c>
      <c r="M645" t="str">
        <f>VLOOKUP($E645,Customer_Dim!$A$2:$F$501,3,FALSE)</f>
        <v>Female</v>
      </c>
      <c r="N645" t="str">
        <f>VLOOKUP($E645,Customer_Dim!$A$2:$F$501,5,FALSE)</f>
        <v>USA</v>
      </c>
      <c r="O645" t="str">
        <f>VLOOKUP($E645,Customer_Dim!$A$2:$F$501,6,FALSE)</f>
        <v>Platinum</v>
      </c>
      <c r="P645" t="str">
        <f>VLOOKUP($A645,Store_Dim!$A$2:$F$21,3,FALSE)</f>
        <v>SouthChristopherland</v>
      </c>
    </row>
    <row r="646" spans="1:16" x14ac:dyDescent="0.25">
      <c r="A646" t="s">
        <v>827</v>
      </c>
      <c r="B646" t="s">
        <v>1777</v>
      </c>
      <c r="C646" t="s">
        <v>730</v>
      </c>
      <c r="D646" s="2">
        <v>45778</v>
      </c>
      <c r="E646" t="s">
        <v>455</v>
      </c>
      <c r="F646" t="str">
        <f>VLOOKUP($C646,Product_Dim!$A$2:$D$101,3,FALSE)</f>
        <v>White, Reeves and Woods</v>
      </c>
      <c r="G646" t="str">
        <f>VLOOKUP($C646,Product_Dim!$A$2:$D$101,2,FALSE)</f>
        <v>Electronics</v>
      </c>
      <c r="H646">
        <v>3</v>
      </c>
      <c r="I646">
        <v>212.87</v>
      </c>
      <c r="J646">
        <v>0.18</v>
      </c>
      <c r="K646" s="3">
        <v>523.66020000000003</v>
      </c>
      <c r="L646" t="s">
        <v>852</v>
      </c>
      <c r="M646" t="str">
        <f>VLOOKUP($E646,Customer_Dim!$A$2:$F$501,3,FALSE)</f>
        <v>Male</v>
      </c>
      <c r="N646" t="str">
        <f>VLOOKUP($E646,Customer_Dim!$A$2:$F$501,5,FALSE)</f>
        <v>USA</v>
      </c>
      <c r="O646" t="str">
        <f>VLOOKUP($E646,Customer_Dim!$A$2:$F$501,6,FALSE)</f>
        <v>Platinum</v>
      </c>
      <c r="P646" t="str">
        <f>VLOOKUP($A646,Store_Dim!$A$2:$F$21,3,FALSE)</f>
        <v>SouthChristopherland</v>
      </c>
    </row>
    <row r="647" spans="1:16" hidden="1" x14ac:dyDescent="0.25">
      <c r="A647" t="s">
        <v>827</v>
      </c>
      <c r="B647" t="s">
        <v>1812</v>
      </c>
      <c r="C647" t="s">
        <v>732</v>
      </c>
      <c r="D647" s="2">
        <v>45639</v>
      </c>
      <c r="E647" t="s">
        <v>497</v>
      </c>
      <c r="F647" t="str">
        <f>VLOOKUP($C647,Product_Dim!$A$2:$D$101,3,FALSE)</f>
        <v>Hernandez Inc</v>
      </c>
      <c r="G647" t="str">
        <f>VLOOKUP($C647,Product_Dim!$A$2:$D$101,2,FALSE)</f>
        <v>Home</v>
      </c>
      <c r="H647">
        <v>3</v>
      </c>
      <c r="I647">
        <v>240.51</v>
      </c>
      <c r="J647">
        <v>7.0000000000000007E-2</v>
      </c>
      <c r="K647" s="3">
        <v>671.02289999999994</v>
      </c>
      <c r="L647" t="s">
        <v>852</v>
      </c>
      <c r="M647" t="str">
        <f>VLOOKUP($E647,Customer_Dim!$A$2:$F$501,3,FALSE)</f>
        <v>Female</v>
      </c>
      <c r="N647" t="str">
        <f>VLOOKUP($E647,Customer_Dim!$A$2:$F$501,5,FALSE)</f>
        <v>USA</v>
      </c>
      <c r="O647" t="str">
        <f>VLOOKUP($E647,Customer_Dim!$A$2:$F$501,6,FALSE)</f>
        <v>Gold</v>
      </c>
      <c r="P647" t="str">
        <f>VLOOKUP($A647,Store_Dim!$A$2:$F$21,3,FALSE)</f>
        <v>SouthChristopherland</v>
      </c>
    </row>
    <row r="648" spans="1:16" hidden="1" x14ac:dyDescent="0.25">
      <c r="A648" t="s">
        <v>827</v>
      </c>
      <c r="B648" t="s">
        <v>1303</v>
      </c>
      <c r="C648" t="s">
        <v>742</v>
      </c>
      <c r="D648" s="2">
        <v>45806</v>
      </c>
      <c r="E648" t="s">
        <v>124</v>
      </c>
      <c r="F648" t="str">
        <f>VLOOKUP($C648,Product_Dim!$A$2:$D$101,3,FALSE)</f>
        <v>Butler Group</v>
      </c>
      <c r="G648" t="str">
        <f>VLOOKUP($C648,Product_Dim!$A$2:$D$101,2,FALSE)</f>
        <v>Beauty</v>
      </c>
      <c r="H648">
        <v>2</v>
      </c>
      <c r="I648">
        <v>541.39</v>
      </c>
      <c r="J648">
        <v>0.03</v>
      </c>
      <c r="K648" s="3">
        <v>1050.2965999999999</v>
      </c>
      <c r="L648" t="s">
        <v>857</v>
      </c>
      <c r="M648" t="str">
        <f>VLOOKUP($E648,Customer_Dim!$A$2:$F$501,3,FALSE)</f>
        <v>Female</v>
      </c>
      <c r="N648" t="str">
        <f>VLOOKUP($E648,Customer_Dim!$A$2:$F$501,5,FALSE)</f>
        <v>USA</v>
      </c>
      <c r="O648" t="str">
        <f>VLOOKUP($E648,Customer_Dim!$A$2:$F$501,6,FALSE)</f>
        <v>Gold</v>
      </c>
      <c r="P648" t="str">
        <f>VLOOKUP($A648,Store_Dim!$A$2:$F$21,3,FALSE)</f>
        <v>SouthChristopherland</v>
      </c>
    </row>
    <row r="649" spans="1:16" x14ac:dyDescent="0.25">
      <c r="A649" t="s">
        <v>827</v>
      </c>
      <c r="B649" t="s">
        <v>2405</v>
      </c>
      <c r="C649" t="s">
        <v>744</v>
      </c>
      <c r="D649" s="2">
        <v>45435</v>
      </c>
      <c r="E649" t="s">
        <v>557</v>
      </c>
      <c r="F649" t="str">
        <f>VLOOKUP($C649,Product_Dim!$A$2:$D$101,3,FALSE)</f>
        <v>Collins-Stephenson</v>
      </c>
      <c r="G649" t="str">
        <f>VLOOKUP($C649,Product_Dim!$A$2:$D$101,2,FALSE)</f>
        <v>Home</v>
      </c>
      <c r="H649">
        <v>1</v>
      </c>
      <c r="I649">
        <v>46.66</v>
      </c>
      <c r="J649">
        <v>0.2</v>
      </c>
      <c r="K649" s="3">
        <v>37.328000000000003</v>
      </c>
      <c r="L649" t="s">
        <v>852</v>
      </c>
      <c r="M649" t="str">
        <f>VLOOKUP($E649,Customer_Dim!$A$2:$F$501,3,FALSE)</f>
        <v>Male</v>
      </c>
      <c r="N649" t="str">
        <f>VLOOKUP($E649,Customer_Dim!$A$2:$F$501,5,FALSE)</f>
        <v>USA</v>
      </c>
      <c r="O649" t="str">
        <f>VLOOKUP($E649,Customer_Dim!$A$2:$F$501,6,FALSE)</f>
        <v>Platinum</v>
      </c>
      <c r="P649" t="str">
        <f>VLOOKUP($A649,Store_Dim!$A$2:$F$21,3,FALSE)</f>
        <v>SouthChristopherland</v>
      </c>
    </row>
    <row r="650" spans="1:16" x14ac:dyDescent="0.25">
      <c r="A650" t="s">
        <v>827</v>
      </c>
      <c r="B650" t="s">
        <v>2122</v>
      </c>
      <c r="C650" t="s">
        <v>752</v>
      </c>
      <c r="D650" s="2">
        <v>45426</v>
      </c>
      <c r="E650" t="s">
        <v>131</v>
      </c>
      <c r="F650" t="str">
        <f>VLOOKUP($C650,Product_Dim!$A$2:$D$101,3,FALSE)</f>
        <v>Olsen-Daniels</v>
      </c>
      <c r="G650" t="str">
        <f>VLOOKUP($C650,Product_Dim!$A$2:$D$101,2,FALSE)</f>
        <v>Sports</v>
      </c>
      <c r="H650">
        <v>1</v>
      </c>
      <c r="I650">
        <v>883.36</v>
      </c>
      <c r="J650">
        <v>0.11</v>
      </c>
      <c r="K650" s="3">
        <v>786.19040000000007</v>
      </c>
      <c r="L650" t="s">
        <v>854</v>
      </c>
      <c r="M650" t="str">
        <f>VLOOKUP($E650,Customer_Dim!$A$2:$F$501,3,FALSE)</f>
        <v>Male</v>
      </c>
      <c r="N650" t="str">
        <f>VLOOKUP($E650,Customer_Dim!$A$2:$F$501,5,FALSE)</f>
        <v>USA</v>
      </c>
      <c r="O650" t="str">
        <f>VLOOKUP($E650,Customer_Dim!$A$2:$F$501,6,FALSE)</f>
        <v>Gold</v>
      </c>
      <c r="P650" t="str">
        <f>VLOOKUP($A650,Store_Dim!$A$2:$F$21,3,FALSE)</f>
        <v>SouthChristopherland</v>
      </c>
    </row>
    <row r="651" spans="1:16" hidden="1" x14ac:dyDescent="0.25">
      <c r="A651" t="s">
        <v>827</v>
      </c>
      <c r="B651" t="s">
        <v>2295</v>
      </c>
      <c r="C651" t="s">
        <v>752</v>
      </c>
      <c r="D651" s="2">
        <v>45539</v>
      </c>
      <c r="E651" t="s">
        <v>324</v>
      </c>
      <c r="F651" t="str">
        <f>VLOOKUP($C651,Product_Dim!$A$2:$D$101,3,FALSE)</f>
        <v>Olsen-Daniels</v>
      </c>
      <c r="G651" t="str">
        <f>VLOOKUP($C651,Product_Dim!$A$2:$D$101,2,FALSE)</f>
        <v>Sports</v>
      </c>
      <c r="H651">
        <v>4</v>
      </c>
      <c r="I651">
        <v>450.42</v>
      </c>
      <c r="J651">
        <v>0.08</v>
      </c>
      <c r="K651" s="3">
        <v>1657.5455999999999</v>
      </c>
      <c r="L651" t="s">
        <v>857</v>
      </c>
      <c r="M651" t="str">
        <f>VLOOKUP($E651,Customer_Dim!$A$2:$F$501,3,FALSE)</f>
        <v>Female</v>
      </c>
      <c r="N651" t="str">
        <f>VLOOKUP($E651,Customer_Dim!$A$2:$F$501,5,FALSE)</f>
        <v>USA</v>
      </c>
      <c r="O651" t="str">
        <f>VLOOKUP($E651,Customer_Dim!$A$2:$F$501,6,FALSE)</f>
        <v>Platinum</v>
      </c>
      <c r="P651" t="str">
        <f>VLOOKUP($A651,Store_Dim!$A$2:$F$21,3,FALSE)</f>
        <v>SouthChristopherland</v>
      </c>
    </row>
    <row r="652" spans="1:16" x14ac:dyDescent="0.25">
      <c r="A652" t="s">
        <v>827</v>
      </c>
      <c r="B652" t="s">
        <v>2245</v>
      </c>
      <c r="C652" t="s">
        <v>754</v>
      </c>
      <c r="D652" s="2">
        <v>45349</v>
      </c>
      <c r="E652" t="s">
        <v>273</v>
      </c>
      <c r="F652" t="str">
        <f>VLOOKUP($C652,Product_Dim!$A$2:$D$101,3,FALSE)</f>
        <v>Taylor-Elliott</v>
      </c>
      <c r="G652" t="str">
        <f>VLOOKUP($C652,Product_Dim!$A$2:$D$101,2,FALSE)</f>
        <v>Beauty</v>
      </c>
      <c r="H652">
        <v>1</v>
      </c>
      <c r="I652">
        <v>174.27</v>
      </c>
      <c r="J652">
        <v>0.27</v>
      </c>
      <c r="K652" s="3">
        <v>127.2171</v>
      </c>
      <c r="L652" t="s">
        <v>857</v>
      </c>
      <c r="M652" t="str">
        <f>VLOOKUP($E652,Customer_Dim!$A$2:$F$501,3,FALSE)</f>
        <v>Male</v>
      </c>
      <c r="N652" t="str">
        <f>VLOOKUP($E652,Customer_Dim!$A$2:$F$501,5,FALSE)</f>
        <v>USA</v>
      </c>
      <c r="O652" t="str">
        <f>VLOOKUP($E652,Customer_Dim!$A$2:$F$501,6,FALSE)</f>
        <v>Platinum</v>
      </c>
      <c r="P652" t="str">
        <f>VLOOKUP($A652,Store_Dim!$A$2:$F$21,3,FALSE)</f>
        <v>SouthChristopherland</v>
      </c>
    </row>
    <row r="653" spans="1:16" x14ac:dyDescent="0.25">
      <c r="A653" t="s">
        <v>827</v>
      </c>
      <c r="B653" t="s">
        <v>1634</v>
      </c>
      <c r="C653" t="s">
        <v>754</v>
      </c>
      <c r="D653" s="2">
        <v>45477</v>
      </c>
      <c r="E653" t="s">
        <v>563</v>
      </c>
      <c r="F653" t="str">
        <f>VLOOKUP($C653,Product_Dim!$A$2:$D$101,3,FALSE)</f>
        <v>Taylor-Elliott</v>
      </c>
      <c r="G653" t="str">
        <f>VLOOKUP($C653,Product_Dim!$A$2:$D$101,2,FALSE)</f>
        <v>Beauty</v>
      </c>
      <c r="H653">
        <v>4</v>
      </c>
      <c r="I653">
        <v>79.75</v>
      </c>
      <c r="J653">
        <v>0.18</v>
      </c>
      <c r="K653" s="3">
        <v>261.58</v>
      </c>
      <c r="L653" t="s">
        <v>854</v>
      </c>
      <c r="M653" t="str">
        <f>VLOOKUP($E653,Customer_Dim!$A$2:$F$501,3,FALSE)</f>
        <v>Male</v>
      </c>
      <c r="N653" t="str">
        <f>VLOOKUP($E653,Customer_Dim!$A$2:$F$501,5,FALSE)</f>
        <v>USA</v>
      </c>
      <c r="O653" t="str">
        <f>VLOOKUP($E653,Customer_Dim!$A$2:$F$501,6,FALSE)</f>
        <v>Bronze</v>
      </c>
      <c r="P653" t="str">
        <f>VLOOKUP($A653,Store_Dim!$A$2:$F$21,3,FALSE)</f>
        <v>SouthChristopherland</v>
      </c>
    </row>
    <row r="654" spans="1:16" hidden="1" x14ac:dyDescent="0.25">
      <c r="A654" t="s">
        <v>827</v>
      </c>
      <c r="B654" t="s">
        <v>2144</v>
      </c>
      <c r="C654" t="s">
        <v>758</v>
      </c>
      <c r="D654" s="2">
        <v>45376</v>
      </c>
      <c r="E654" t="s">
        <v>232</v>
      </c>
      <c r="F654" t="str">
        <f>VLOOKUP($C654,Product_Dim!$A$2:$D$101,3,FALSE)</f>
        <v>Smith-Charles</v>
      </c>
      <c r="G654" t="str">
        <f>VLOOKUP($C654,Product_Dim!$A$2:$D$101,2,FALSE)</f>
        <v>Clothing</v>
      </c>
      <c r="H654">
        <v>3</v>
      </c>
      <c r="I654">
        <v>690.27</v>
      </c>
      <c r="J654">
        <v>7.0000000000000007E-2</v>
      </c>
      <c r="K654" s="3">
        <v>1925.8533</v>
      </c>
      <c r="L654" t="s">
        <v>854</v>
      </c>
      <c r="M654" t="str">
        <f>VLOOKUP($E654,Customer_Dim!$A$2:$F$501,3,FALSE)</f>
        <v>Female</v>
      </c>
      <c r="N654" t="str">
        <f>VLOOKUP($E654,Customer_Dim!$A$2:$F$501,5,FALSE)</f>
        <v>USA</v>
      </c>
      <c r="O654" t="str">
        <f>VLOOKUP($E654,Customer_Dim!$A$2:$F$501,6,FALSE)</f>
        <v>Platinum</v>
      </c>
      <c r="P654" t="str">
        <f>VLOOKUP($A654,Store_Dim!$A$2:$F$21,3,FALSE)</f>
        <v>SouthChristopherland</v>
      </c>
    </row>
    <row r="655" spans="1:16" x14ac:dyDescent="0.25">
      <c r="A655" t="s">
        <v>827</v>
      </c>
      <c r="B655" t="s">
        <v>2205</v>
      </c>
      <c r="C655" t="s">
        <v>760</v>
      </c>
      <c r="D655" s="2">
        <v>45872</v>
      </c>
      <c r="E655" t="s">
        <v>289</v>
      </c>
      <c r="F655" t="str">
        <f>VLOOKUP($C655,Product_Dim!$A$2:$D$101,3,FALSE)</f>
        <v>Green, Powell and Palmer</v>
      </c>
      <c r="G655" t="str">
        <f>VLOOKUP($C655,Product_Dim!$A$2:$D$101,2,FALSE)</f>
        <v>Home</v>
      </c>
      <c r="H655">
        <v>3</v>
      </c>
      <c r="I655">
        <v>972.58</v>
      </c>
      <c r="J655">
        <v>0.28000000000000003</v>
      </c>
      <c r="K655" s="3">
        <v>2100.7728000000002</v>
      </c>
      <c r="L655" t="s">
        <v>857</v>
      </c>
      <c r="M655" t="str">
        <f>VLOOKUP($E655,Customer_Dim!$A$2:$F$501,3,FALSE)</f>
        <v>Male</v>
      </c>
      <c r="N655" t="str">
        <f>VLOOKUP($E655,Customer_Dim!$A$2:$F$501,5,FALSE)</f>
        <v>USA</v>
      </c>
      <c r="O655" t="str">
        <f>VLOOKUP($E655,Customer_Dim!$A$2:$F$501,6,FALSE)</f>
        <v>Platinum</v>
      </c>
      <c r="P655" t="str">
        <f>VLOOKUP($A655,Store_Dim!$A$2:$F$21,3,FALSE)</f>
        <v>SouthChristopherland</v>
      </c>
    </row>
    <row r="656" spans="1:16" x14ac:dyDescent="0.25">
      <c r="A656" t="s">
        <v>827</v>
      </c>
      <c r="B656" t="s">
        <v>1046</v>
      </c>
      <c r="C656" t="s">
        <v>760</v>
      </c>
      <c r="D656" s="2">
        <v>45617</v>
      </c>
      <c r="E656" t="s">
        <v>491</v>
      </c>
      <c r="F656" t="str">
        <f>VLOOKUP($C656,Product_Dim!$A$2:$D$101,3,FALSE)</f>
        <v>Green, Powell and Palmer</v>
      </c>
      <c r="G656" t="str">
        <f>VLOOKUP($C656,Product_Dim!$A$2:$D$101,2,FALSE)</f>
        <v>Home</v>
      </c>
      <c r="H656">
        <v>3</v>
      </c>
      <c r="I656">
        <v>361.65</v>
      </c>
      <c r="J656">
        <v>0.15</v>
      </c>
      <c r="K656" s="3">
        <v>922.20749999999987</v>
      </c>
      <c r="L656" t="s">
        <v>857</v>
      </c>
      <c r="M656" t="str">
        <f>VLOOKUP($E656,Customer_Dim!$A$2:$F$501,3,FALSE)</f>
        <v>Male</v>
      </c>
      <c r="N656" t="str">
        <f>VLOOKUP($E656,Customer_Dim!$A$2:$F$501,5,FALSE)</f>
        <v>USA</v>
      </c>
      <c r="O656" t="str">
        <f>VLOOKUP($E656,Customer_Dim!$A$2:$F$501,6,FALSE)</f>
        <v>Bronze</v>
      </c>
      <c r="P656" t="str">
        <f>VLOOKUP($A656,Store_Dim!$A$2:$F$21,3,FALSE)</f>
        <v>SouthChristopherland</v>
      </c>
    </row>
    <row r="657" spans="1:16" hidden="1" x14ac:dyDescent="0.25">
      <c r="A657" t="s">
        <v>827</v>
      </c>
      <c r="B657" t="s">
        <v>1334</v>
      </c>
      <c r="C657" t="s">
        <v>762</v>
      </c>
      <c r="D657" s="2">
        <v>45233</v>
      </c>
      <c r="E657" t="s">
        <v>333</v>
      </c>
      <c r="F657" t="str">
        <f>VLOOKUP($C657,Product_Dim!$A$2:$D$101,3,FALSE)</f>
        <v>Martin LLC</v>
      </c>
      <c r="G657" t="str">
        <f>VLOOKUP($C657,Product_Dim!$A$2:$D$101,2,FALSE)</f>
        <v>Electronics</v>
      </c>
      <c r="H657">
        <v>1</v>
      </c>
      <c r="I657">
        <v>744.88</v>
      </c>
      <c r="J657">
        <v>0.15</v>
      </c>
      <c r="K657" s="3">
        <v>633.14800000000002</v>
      </c>
      <c r="L657" t="s">
        <v>857</v>
      </c>
      <c r="M657" t="str">
        <f>VLOOKUP($E657,Customer_Dim!$A$2:$F$501,3,FALSE)</f>
        <v>Female</v>
      </c>
      <c r="N657" t="str">
        <f>VLOOKUP($E657,Customer_Dim!$A$2:$F$501,5,FALSE)</f>
        <v>USA</v>
      </c>
      <c r="O657" t="str">
        <f>VLOOKUP($E657,Customer_Dim!$A$2:$F$501,6,FALSE)</f>
        <v>Bronze</v>
      </c>
      <c r="P657" t="str">
        <f>VLOOKUP($A657,Store_Dim!$A$2:$F$21,3,FALSE)</f>
        <v>SouthChristopherland</v>
      </c>
    </row>
    <row r="658" spans="1:16" hidden="1" x14ac:dyDescent="0.25">
      <c r="A658" t="s">
        <v>827</v>
      </c>
      <c r="B658" t="s">
        <v>1629</v>
      </c>
      <c r="C658" t="s">
        <v>764</v>
      </c>
      <c r="D658" s="2">
        <v>45821</v>
      </c>
      <c r="E658" t="s">
        <v>232</v>
      </c>
      <c r="F658" t="str">
        <f>VLOOKUP($C658,Product_Dim!$A$2:$D$101,3,FALSE)</f>
        <v>Hoffman-Williams</v>
      </c>
      <c r="G658" t="str">
        <f>VLOOKUP($C658,Product_Dim!$A$2:$D$101,2,FALSE)</f>
        <v>Beauty</v>
      </c>
      <c r="H658">
        <v>1</v>
      </c>
      <c r="I658">
        <v>269.94</v>
      </c>
      <c r="J658">
        <v>7.0000000000000007E-2</v>
      </c>
      <c r="K658" s="3">
        <v>251.04419999999999</v>
      </c>
      <c r="L658" t="s">
        <v>857</v>
      </c>
      <c r="M658" t="str">
        <f>VLOOKUP($E658,Customer_Dim!$A$2:$F$501,3,FALSE)</f>
        <v>Female</v>
      </c>
      <c r="N658" t="str">
        <f>VLOOKUP($E658,Customer_Dim!$A$2:$F$501,5,FALSE)</f>
        <v>USA</v>
      </c>
      <c r="O658" t="str">
        <f>VLOOKUP($E658,Customer_Dim!$A$2:$F$501,6,FALSE)</f>
        <v>Platinum</v>
      </c>
      <c r="P658" t="str">
        <f>VLOOKUP($A658,Store_Dim!$A$2:$F$21,3,FALSE)</f>
        <v>SouthChristopherland</v>
      </c>
    </row>
    <row r="659" spans="1:16" x14ac:dyDescent="0.25">
      <c r="A659" t="s">
        <v>827</v>
      </c>
      <c r="B659" t="s">
        <v>2512</v>
      </c>
      <c r="C659" t="s">
        <v>766</v>
      </c>
      <c r="D659" s="2">
        <v>45282</v>
      </c>
      <c r="E659" t="s">
        <v>75</v>
      </c>
      <c r="F659" t="str">
        <f>VLOOKUP($C659,Product_Dim!$A$2:$D$101,3,FALSE)</f>
        <v>Wilson Group</v>
      </c>
      <c r="G659" t="str">
        <f>VLOOKUP($C659,Product_Dim!$A$2:$D$101,2,FALSE)</f>
        <v>Sports</v>
      </c>
      <c r="H659">
        <v>2</v>
      </c>
      <c r="I659">
        <v>100.42</v>
      </c>
      <c r="J659">
        <v>0.06</v>
      </c>
      <c r="K659" s="3">
        <v>188.78960000000001</v>
      </c>
      <c r="L659" t="s">
        <v>852</v>
      </c>
      <c r="M659" t="str">
        <f>VLOOKUP($E659,Customer_Dim!$A$2:$F$501,3,FALSE)</f>
        <v>Male</v>
      </c>
      <c r="N659" t="str">
        <f>VLOOKUP($E659,Customer_Dim!$A$2:$F$501,5,FALSE)</f>
        <v>USA</v>
      </c>
      <c r="O659" t="str">
        <f>VLOOKUP($E659,Customer_Dim!$A$2:$F$501,6,FALSE)</f>
        <v>Silver</v>
      </c>
      <c r="P659" t="str">
        <f>VLOOKUP($A659,Store_Dim!$A$2:$F$21,3,FALSE)</f>
        <v>SouthChristopherland</v>
      </c>
    </row>
    <row r="660" spans="1:16" x14ac:dyDescent="0.25">
      <c r="A660" t="s">
        <v>827</v>
      </c>
      <c r="B660" t="s">
        <v>1519</v>
      </c>
      <c r="C660" t="s">
        <v>766</v>
      </c>
      <c r="D660" s="2">
        <v>45781</v>
      </c>
      <c r="E660" t="s">
        <v>93</v>
      </c>
      <c r="F660" t="str">
        <f>VLOOKUP($C660,Product_Dim!$A$2:$D$101,3,FALSE)</f>
        <v>Wilson Group</v>
      </c>
      <c r="G660" t="str">
        <f>VLOOKUP($C660,Product_Dim!$A$2:$D$101,2,FALSE)</f>
        <v>Sports</v>
      </c>
      <c r="H660">
        <v>4</v>
      </c>
      <c r="I660">
        <v>20.09</v>
      </c>
      <c r="J660">
        <v>0.16</v>
      </c>
      <c r="K660" s="3">
        <v>67.502399999999994</v>
      </c>
      <c r="L660" t="s">
        <v>854</v>
      </c>
      <c r="M660" t="str">
        <f>VLOOKUP($E660,Customer_Dim!$A$2:$F$501,3,FALSE)</f>
        <v>Male</v>
      </c>
      <c r="N660" t="str">
        <f>VLOOKUP($E660,Customer_Dim!$A$2:$F$501,5,FALSE)</f>
        <v>USA</v>
      </c>
      <c r="O660" t="str">
        <f>VLOOKUP($E660,Customer_Dim!$A$2:$F$501,6,FALSE)</f>
        <v>Platinum</v>
      </c>
      <c r="P660" t="str">
        <f>VLOOKUP($A660,Store_Dim!$A$2:$F$21,3,FALSE)</f>
        <v>SouthChristopherland</v>
      </c>
    </row>
    <row r="661" spans="1:16" x14ac:dyDescent="0.25">
      <c r="A661" t="s">
        <v>827</v>
      </c>
      <c r="B661" t="s">
        <v>2762</v>
      </c>
      <c r="C661" t="s">
        <v>766</v>
      </c>
      <c r="D661" s="2">
        <v>45318</v>
      </c>
      <c r="E661" t="s">
        <v>410</v>
      </c>
      <c r="F661" t="str">
        <f>VLOOKUP($C661,Product_Dim!$A$2:$D$101,3,FALSE)</f>
        <v>Wilson Group</v>
      </c>
      <c r="G661" t="str">
        <f>VLOOKUP($C661,Product_Dim!$A$2:$D$101,2,FALSE)</f>
        <v>Sports</v>
      </c>
      <c r="H661">
        <v>2</v>
      </c>
      <c r="I661">
        <v>452.29</v>
      </c>
      <c r="J661">
        <v>0.01</v>
      </c>
      <c r="K661" s="3">
        <v>895.53420000000006</v>
      </c>
      <c r="L661" t="s">
        <v>857</v>
      </c>
      <c r="M661" t="str">
        <f>VLOOKUP($E661,Customer_Dim!$A$2:$F$501,3,FALSE)</f>
        <v>Male</v>
      </c>
      <c r="N661" t="str">
        <f>VLOOKUP($E661,Customer_Dim!$A$2:$F$501,5,FALSE)</f>
        <v>USA</v>
      </c>
      <c r="O661" t="str">
        <f>VLOOKUP($E661,Customer_Dim!$A$2:$F$501,6,FALSE)</f>
        <v>Bronze</v>
      </c>
      <c r="P661" t="str">
        <f>VLOOKUP($A661,Store_Dim!$A$2:$F$21,3,FALSE)</f>
        <v>SouthChristopherland</v>
      </c>
    </row>
    <row r="662" spans="1:16" hidden="1" x14ac:dyDescent="0.25">
      <c r="A662" t="s">
        <v>827</v>
      </c>
      <c r="B662" t="s">
        <v>1494</v>
      </c>
      <c r="C662" t="s">
        <v>768</v>
      </c>
      <c r="D662" s="2">
        <v>45590</v>
      </c>
      <c r="E662" t="s">
        <v>477</v>
      </c>
      <c r="F662" t="str">
        <f>VLOOKUP($C662,Product_Dim!$A$2:$D$101,3,FALSE)</f>
        <v>Phillips and Sons</v>
      </c>
      <c r="G662" t="str">
        <f>VLOOKUP($C662,Product_Dim!$A$2:$D$101,2,FALSE)</f>
        <v>Clothing</v>
      </c>
      <c r="H662">
        <v>3</v>
      </c>
      <c r="I662">
        <v>950.83</v>
      </c>
      <c r="J662">
        <v>0.06</v>
      </c>
      <c r="K662" s="3">
        <v>2681.3406</v>
      </c>
      <c r="L662" t="s">
        <v>854</v>
      </c>
      <c r="M662" t="str">
        <f>VLOOKUP($E662,Customer_Dim!$A$2:$F$501,3,FALSE)</f>
        <v>Female</v>
      </c>
      <c r="N662" t="str">
        <f>VLOOKUP($E662,Customer_Dim!$A$2:$F$501,5,FALSE)</f>
        <v>USA</v>
      </c>
      <c r="O662" t="str">
        <f>VLOOKUP($E662,Customer_Dim!$A$2:$F$501,6,FALSE)</f>
        <v>Bronze</v>
      </c>
      <c r="P662" t="str">
        <f>VLOOKUP($A662,Store_Dim!$A$2:$F$21,3,FALSE)</f>
        <v>SouthChristopherland</v>
      </c>
    </row>
    <row r="663" spans="1:16" x14ac:dyDescent="0.25">
      <c r="A663" t="s">
        <v>827</v>
      </c>
      <c r="B663" t="s">
        <v>1568</v>
      </c>
      <c r="C663" t="s">
        <v>772</v>
      </c>
      <c r="D663" s="2">
        <v>45752</v>
      </c>
      <c r="E663" t="s">
        <v>447</v>
      </c>
      <c r="F663" t="str">
        <f>VLOOKUP($C663,Product_Dim!$A$2:$D$101,3,FALSE)</f>
        <v>Flores-King</v>
      </c>
      <c r="G663" t="str">
        <f>VLOOKUP($C663,Product_Dim!$A$2:$D$101,2,FALSE)</f>
        <v>Electronics</v>
      </c>
      <c r="H663">
        <v>4</v>
      </c>
      <c r="I663">
        <v>912.61</v>
      </c>
      <c r="J663">
        <v>0.14000000000000001</v>
      </c>
      <c r="K663" s="3">
        <v>3139.3784000000001</v>
      </c>
      <c r="L663" t="s">
        <v>852</v>
      </c>
      <c r="M663" t="str">
        <f>VLOOKUP($E663,Customer_Dim!$A$2:$F$501,3,FALSE)</f>
        <v>Male</v>
      </c>
      <c r="N663" t="str">
        <f>VLOOKUP($E663,Customer_Dim!$A$2:$F$501,5,FALSE)</f>
        <v>USA</v>
      </c>
      <c r="O663" t="str">
        <f>VLOOKUP($E663,Customer_Dim!$A$2:$F$501,6,FALSE)</f>
        <v>Gold</v>
      </c>
      <c r="P663" t="str">
        <f>VLOOKUP($A663,Store_Dim!$A$2:$F$21,3,FALSE)</f>
        <v>SouthChristopherland</v>
      </c>
    </row>
    <row r="664" spans="1:16" x14ac:dyDescent="0.25">
      <c r="A664" t="s">
        <v>829</v>
      </c>
      <c r="B664" t="s">
        <v>2552</v>
      </c>
      <c r="C664" t="s">
        <v>571</v>
      </c>
      <c r="D664" s="2">
        <v>45542</v>
      </c>
      <c r="E664" t="s">
        <v>483</v>
      </c>
      <c r="F664" t="str">
        <f>VLOOKUP($C664,Product_Dim!$A$2:$D$101,3,FALSE)</f>
        <v>Hunt Inc</v>
      </c>
      <c r="G664" t="str">
        <f>VLOOKUP($C664,Product_Dim!$A$2:$D$101,2,FALSE)</f>
        <v>Electronics</v>
      </c>
      <c r="H664">
        <v>3</v>
      </c>
      <c r="I664">
        <v>407.39</v>
      </c>
      <c r="J664">
        <v>0.08</v>
      </c>
      <c r="K664" s="3">
        <v>1124.3964000000001</v>
      </c>
      <c r="L664" t="s">
        <v>854</v>
      </c>
      <c r="M664" t="str">
        <f>VLOOKUP($E664,Customer_Dim!$A$2:$F$501,3,FALSE)</f>
        <v>Male</v>
      </c>
      <c r="N664" t="str">
        <f>VLOOKUP($E664,Customer_Dim!$A$2:$F$501,5,FALSE)</f>
        <v>USA</v>
      </c>
      <c r="O664" t="str">
        <f>VLOOKUP($E664,Customer_Dim!$A$2:$F$501,6,FALSE)</f>
        <v>Platinum</v>
      </c>
      <c r="P664" t="str">
        <f>VLOOKUP($A664,Store_Dim!$A$2:$F$21,3,FALSE)</f>
        <v>NorthEast Jenniferstad</v>
      </c>
    </row>
    <row r="665" spans="1:16" hidden="1" x14ac:dyDescent="0.25">
      <c r="A665" t="s">
        <v>829</v>
      </c>
      <c r="B665" t="s">
        <v>2480</v>
      </c>
      <c r="C665" t="s">
        <v>574</v>
      </c>
      <c r="D665" s="2">
        <v>45382</v>
      </c>
      <c r="E665" t="s">
        <v>247</v>
      </c>
      <c r="F665" t="str">
        <f>VLOOKUP($C665,Product_Dim!$A$2:$D$101,3,FALSE)</f>
        <v>Terry-Moore</v>
      </c>
      <c r="G665" t="str">
        <f>VLOOKUP($C665,Product_Dim!$A$2:$D$101,2,FALSE)</f>
        <v>Clothing</v>
      </c>
      <c r="H665">
        <v>2</v>
      </c>
      <c r="I665">
        <v>462.93</v>
      </c>
      <c r="J665">
        <v>0.17</v>
      </c>
      <c r="K665" s="3">
        <v>768.46379999999999</v>
      </c>
      <c r="L665" t="s">
        <v>854</v>
      </c>
      <c r="M665" t="str">
        <f>VLOOKUP($E665,Customer_Dim!$A$2:$F$501,3,FALSE)</f>
        <v>Female</v>
      </c>
      <c r="N665" t="str">
        <f>VLOOKUP($E665,Customer_Dim!$A$2:$F$501,5,FALSE)</f>
        <v>USA</v>
      </c>
      <c r="O665" t="str">
        <f>VLOOKUP($E665,Customer_Dim!$A$2:$F$501,6,FALSE)</f>
        <v>Silver</v>
      </c>
      <c r="P665" t="str">
        <f>VLOOKUP($A665,Store_Dim!$A$2:$F$21,3,FALSE)</f>
        <v>NorthEast Jenniferstad</v>
      </c>
    </row>
    <row r="666" spans="1:16" x14ac:dyDescent="0.25">
      <c r="A666" t="s">
        <v>829</v>
      </c>
      <c r="B666" t="s">
        <v>2089</v>
      </c>
      <c r="C666" t="s">
        <v>574</v>
      </c>
      <c r="D666" s="2">
        <v>45489</v>
      </c>
      <c r="E666" t="s">
        <v>535</v>
      </c>
      <c r="F666" t="str">
        <f>VLOOKUP($C666,Product_Dim!$A$2:$D$101,3,FALSE)</f>
        <v>Terry-Moore</v>
      </c>
      <c r="G666" t="str">
        <f>VLOOKUP($C666,Product_Dim!$A$2:$D$101,2,FALSE)</f>
        <v>Clothing</v>
      </c>
      <c r="H666">
        <v>3</v>
      </c>
      <c r="I666">
        <v>402.3</v>
      </c>
      <c r="J666">
        <v>0.21</v>
      </c>
      <c r="K666" s="3">
        <v>953.45100000000014</v>
      </c>
      <c r="L666" t="s">
        <v>854</v>
      </c>
      <c r="M666" t="str">
        <f>VLOOKUP($E666,Customer_Dim!$A$2:$F$501,3,FALSE)</f>
        <v>Male</v>
      </c>
      <c r="N666" t="str">
        <f>VLOOKUP($E666,Customer_Dim!$A$2:$F$501,5,FALSE)</f>
        <v>USA</v>
      </c>
      <c r="O666" t="str">
        <f>VLOOKUP($E666,Customer_Dim!$A$2:$F$501,6,FALSE)</f>
        <v>Bronze</v>
      </c>
      <c r="P666" t="str">
        <f>VLOOKUP($A666,Store_Dim!$A$2:$F$21,3,FALSE)</f>
        <v>NorthEast Jenniferstad</v>
      </c>
    </row>
    <row r="667" spans="1:16" x14ac:dyDescent="0.25">
      <c r="A667" t="s">
        <v>829</v>
      </c>
      <c r="B667" t="s">
        <v>1192</v>
      </c>
      <c r="C667" t="s">
        <v>596</v>
      </c>
      <c r="D667" s="2">
        <v>45465</v>
      </c>
      <c r="E667" t="s">
        <v>192</v>
      </c>
      <c r="F667" t="str">
        <f>VLOOKUP($C667,Product_Dim!$A$2:$D$101,3,FALSE)</f>
        <v>Hamilton Group</v>
      </c>
      <c r="G667" t="str">
        <f>VLOOKUP($C667,Product_Dim!$A$2:$D$101,2,FALSE)</f>
        <v>Home</v>
      </c>
      <c r="H667">
        <v>2</v>
      </c>
      <c r="I667">
        <v>188.25</v>
      </c>
      <c r="J667">
        <v>0.08</v>
      </c>
      <c r="K667" s="3">
        <v>346.38</v>
      </c>
      <c r="L667" t="s">
        <v>854</v>
      </c>
      <c r="M667" t="str">
        <f>VLOOKUP($E667,Customer_Dim!$A$2:$F$501,3,FALSE)</f>
        <v>Male</v>
      </c>
      <c r="N667" t="str">
        <f>VLOOKUP($E667,Customer_Dim!$A$2:$F$501,5,FALSE)</f>
        <v>USA</v>
      </c>
      <c r="O667" t="str">
        <f>VLOOKUP($E667,Customer_Dim!$A$2:$F$501,6,FALSE)</f>
        <v>Silver</v>
      </c>
      <c r="P667" t="str">
        <f>VLOOKUP($A667,Store_Dim!$A$2:$F$21,3,FALSE)</f>
        <v>NorthEast Jenniferstad</v>
      </c>
    </row>
    <row r="668" spans="1:16" hidden="1" x14ac:dyDescent="0.25">
      <c r="A668" t="s">
        <v>829</v>
      </c>
      <c r="B668" t="s">
        <v>2348</v>
      </c>
      <c r="C668" t="s">
        <v>596</v>
      </c>
      <c r="D668" s="2">
        <v>45251</v>
      </c>
      <c r="E668" t="s">
        <v>295</v>
      </c>
      <c r="F668" t="str">
        <f>VLOOKUP($C668,Product_Dim!$A$2:$D$101,3,FALSE)</f>
        <v>Hamilton Group</v>
      </c>
      <c r="G668" t="str">
        <f>VLOOKUP($C668,Product_Dim!$A$2:$D$101,2,FALSE)</f>
        <v>Home</v>
      </c>
      <c r="H668">
        <v>4</v>
      </c>
      <c r="I668">
        <v>316.18</v>
      </c>
      <c r="J668">
        <v>0.12</v>
      </c>
      <c r="K668" s="3">
        <v>1112.9536000000001</v>
      </c>
      <c r="L668" t="s">
        <v>852</v>
      </c>
      <c r="M668" t="str">
        <f>VLOOKUP($E668,Customer_Dim!$A$2:$F$501,3,FALSE)</f>
        <v>Female</v>
      </c>
      <c r="N668" t="str">
        <f>VLOOKUP($E668,Customer_Dim!$A$2:$F$501,5,FALSE)</f>
        <v>USA</v>
      </c>
      <c r="O668" t="str">
        <f>VLOOKUP($E668,Customer_Dim!$A$2:$F$501,6,FALSE)</f>
        <v>Bronze</v>
      </c>
      <c r="P668" t="str">
        <f>VLOOKUP($A668,Store_Dim!$A$2:$F$21,3,FALSE)</f>
        <v>NorthEast Jenniferstad</v>
      </c>
    </row>
    <row r="669" spans="1:16" x14ac:dyDescent="0.25">
      <c r="A669" t="s">
        <v>829</v>
      </c>
      <c r="B669" t="s">
        <v>1195</v>
      </c>
      <c r="C669" t="s">
        <v>598</v>
      </c>
      <c r="D669" s="2">
        <v>45727</v>
      </c>
      <c r="E669" t="s">
        <v>214</v>
      </c>
      <c r="F669" t="str">
        <f>VLOOKUP($C669,Product_Dim!$A$2:$D$101,3,FALSE)</f>
        <v>Gibson, Hobbs and Weaver</v>
      </c>
      <c r="G669" t="str">
        <f>VLOOKUP($C669,Product_Dim!$A$2:$D$101,2,FALSE)</f>
        <v>Electronics</v>
      </c>
      <c r="H669">
        <v>3</v>
      </c>
      <c r="I669">
        <v>121.64</v>
      </c>
      <c r="J669">
        <v>7.0000000000000007E-2</v>
      </c>
      <c r="K669" s="3">
        <v>339.37560000000002</v>
      </c>
      <c r="L669" t="s">
        <v>854</v>
      </c>
      <c r="M669" t="str">
        <f>VLOOKUP($E669,Customer_Dim!$A$2:$F$501,3,FALSE)</f>
        <v>Male</v>
      </c>
      <c r="N669" t="str">
        <f>VLOOKUP($E669,Customer_Dim!$A$2:$F$501,5,FALSE)</f>
        <v>USA</v>
      </c>
      <c r="O669" t="str">
        <f>VLOOKUP($E669,Customer_Dim!$A$2:$F$501,6,FALSE)</f>
        <v>Gold</v>
      </c>
      <c r="P669" t="str">
        <f>VLOOKUP($A669,Store_Dim!$A$2:$F$21,3,FALSE)</f>
        <v>NorthEast Jenniferstad</v>
      </c>
    </row>
    <row r="670" spans="1:16" x14ac:dyDescent="0.25">
      <c r="A670" t="s">
        <v>829</v>
      </c>
      <c r="B670" t="s">
        <v>1946</v>
      </c>
      <c r="C670" t="s">
        <v>598</v>
      </c>
      <c r="D670" s="2">
        <v>45578</v>
      </c>
      <c r="E670" t="s">
        <v>338</v>
      </c>
      <c r="F670" t="str">
        <f>VLOOKUP($C670,Product_Dim!$A$2:$D$101,3,FALSE)</f>
        <v>Gibson, Hobbs and Weaver</v>
      </c>
      <c r="G670" t="str">
        <f>VLOOKUP($C670,Product_Dim!$A$2:$D$101,2,FALSE)</f>
        <v>Electronics</v>
      </c>
      <c r="H670">
        <v>4</v>
      </c>
      <c r="I670">
        <v>632.24</v>
      </c>
      <c r="J670">
        <v>0.25</v>
      </c>
      <c r="K670" s="3">
        <v>1896.72</v>
      </c>
      <c r="L670" t="s">
        <v>854</v>
      </c>
      <c r="M670" t="str">
        <f>VLOOKUP($E670,Customer_Dim!$A$2:$F$501,3,FALSE)</f>
        <v>Male</v>
      </c>
      <c r="N670" t="str">
        <f>VLOOKUP($E670,Customer_Dim!$A$2:$F$501,5,FALSE)</f>
        <v>USA</v>
      </c>
      <c r="O670" t="str">
        <f>VLOOKUP($E670,Customer_Dim!$A$2:$F$501,6,FALSE)</f>
        <v>Platinum</v>
      </c>
      <c r="P670" t="str">
        <f>VLOOKUP($A670,Store_Dim!$A$2:$F$21,3,FALSE)</f>
        <v>NorthEast Jenniferstad</v>
      </c>
    </row>
    <row r="671" spans="1:16" hidden="1" x14ac:dyDescent="0.25">
      <c r="A671" t="s">
        <v>829</v>
      </c>
      <c r="B671" t="s">
        <v>1296</v>
      </c>
      <c r="C671" t="s">
        <v>598</v>
      </c>
      <c r="D671" s="2">
        <v>45929</v>
      </c>
      <c r="E671" t="s">
        <v>401</v>
      </c>
      <c r="F671" t="str">
        <f>VLOOKUP($C671,Product_Dim!$A$2:$D$101,3,FALSE)</f>
        <v>Gibson, Hobbs and Weaver</v>
      </c>
      <c r="G671" t="str">
        <f>VLOOKUP($C671,Product_Dim!$A$2:$D$101,2,FALSE)</f>
        <v>Electronics</v>
      </c>
      <c r="H671">
        <v>2</v>
      </c>
      <c r="I671">
        <v>298.01</v>
      </c>
      <c r="J671">
        <v>0.05</v>
      </c>
      <c r="K671" s="3">
        <v>566.21899999999994</v>
      </c>
      <c r="L671" t="s">
        <v>852</v>
      </c>
      <c r="M671" t="str">
        <f>VLOOKUP($E671,Customer_Dim!$A$2:$F$501,3,FALSE)</f>
        <v>Female</v>
      </c>
      <c r="N671" t="str">
        <f>VLOOKUP($E671,Customer_Dim!$A$2:$F$501,5,FALSE)</f>
        <v>USA</v>
      </c>
      <c r="O671" t="str">
        <f>VLOOKUP($E671,Customer_Dim!$A$2:$F$501,6,FALSE)</f>
        <v>Silver</v>
      </c>
      <c r="P671" t="str">
        <f>VLOOKUP($A671,Store_Dim!$A$2:$F$21,3,FALSE)</f>
        <v>NorthEast Jenniferstad</v>
      </c>
    </row>
    <row r="672" spans="1:16" hidden="1" x14ac:dyDescent="0.25">
      <c r="A672" t="s">
        <v>829</v>
      </c>
      <c r="B672" t="s">
        <v>1493</v>
      </c>
      <c r="C672" t="s">
        <v>598</v>
      </c>
      <c r="D672" s="2">
        <v>45373</v>
      </c>
      <c r="E672" t="s">
        <v>403</v>
      </c>
      <c r="F672" t="str">
        <f>VLOOKUP($C672,Product_Dim!$A$2:$D$101,3,FALSE)</f>
        <v>Gibson, Hobbs and Weaver</v>
      </c>
      <c r="G672" t="str">
        <f>VLOOKUP($C672,Product_Dim!$A$2:$D$101,2,FALSE)</f>
        <v>Electronics</v>
      </c>
      <c r="H672">
        <v>4</v>
      </c>
      <c r="I672">
        <v>369.22</v>
      </c>
      <c r="J672">
        <v>0.18</v>
      </c>
      <c r="K672" s="3">
        <v>1211.0416</v>
      </c>
      <c r="L672" t="s">
        <v>857</v>
      </c>
      <c r="M672" t="str">
        <f>VLOOKUP($E672,Customer_Dim!$A$2:$F$501,3,FALSE)</f>
        <v>Female</v>
      </c>
      <c r="N672" t="str">
        <f>VLOOKUP($E672,Customer_Dim!$A$2:$F$501,5,FALSE)</f>
        <v>USA</v>
      </c>
      <c r="O672" t="str">
        <f>VLOOKUP($E672,Customer_Dim!$A$2:$F$501,6,FALSE)</f>
        <v>Silver</v>
      </c>
      <c r="P672" t="str">
        <f>VLOOKUP($A672,Store_Dim!$A$2:$F$21,3,FALSE)</f>
        <v>NorthEast Jenniferstad</v>
      </c>
    </row>
    <row r="673" spans="1:16" x14ac:dyDescent="0.25">
      <c r="A673" t="s">
        <v>829</v>
      </c>
      <c r="B673" t="s">
        <v>1402</v>
      </c>
      <c r="C673" t="s">
        <v>600</v>
      </c>
      <c r="D673" s="2">
        <v>45295</v>
      </c>
      <c r="E673" t="s">
        <v>186</v>
      </c>
      <c r="F673" t="str">
        <f>VLOOKUP($C673,Product_Dim!$A$2:$D$101,3,FALSE)</f>
        <v>Rice LLC</v>
      </c>
      <c r="G673" t="str">
        <f>VLOOKUP($C673,Product_Dim!$A$2:$D$101,2,FALSE)</f>
        <v>Beauty</v>
      </c>
      <c r="H673">
        <v>2</v>
      </c>
      <c r="I673">
        <v>562.97</v>
      </c>
      <c r="J673">
        <v>0.2</v>
      </c>
      <c r="K673" s="3">
        <v>900.75200000000007</v>
      </c>
      <c r="L673" t="s">
        <v>852</v>
      </c>
      <c r="M673" t="str">
        <f>VLOOKUP($E673,Customer_Dim!$A$2:$F$501,3,FALSE)</f>
        <v>Male</v>
      </c>
      <c r="N673" t="str">
        <f>VLOOKUP($E673,Customer_Dim!$A$2:$F$501,5,FALSE)</f>
        <v>USA</v>
      </c>
      <c r="O673" t="str">
        <f>VLOOKUP($E673,Customer_Dim!$A$2:$F$501,6,FALSE)</f>
        <v>Silver</v>
      </c>
      <c r="P673" t="str">
        <f>VLOOKUP($A673,Store_Dim!$A$2:$F$21,3,FALSE)</f>
        <v>NorthEast Jenniferstad</v>
      </c>
    </row>
    <row r="674" spans="1:16" x14ac:dyDescent="0.25">
      <c r="A674" t="s">
        <v>829</v>
      </c>
      <c r="B674" t="s">
        <v>1154</v>
      </c>
      <c r="C674" t="s">
        <v>600</v>
      </c>
      <c r="D674" s="2">
        <v>45268</v>
      </c>
      <c r="E674" t="s">
        <v>263</v>
      </c>
      <c r="F674" t="str">
        <f>VLOOKUP($C674,Product_Dim!$A$2:$D$101,3,FALSE)</f>
        <v>Rice LLC</v>
      </c>
      <c r="G674" t="str">
        <f>VLOOKUP($C674,Product_Dim!$A$2:$D$101,2,FALSE)</f>
        <v>Beauty</v>
      </c>
      <c r="H674">
        <v>4</v>
      </c>
      <c r="I674">
        <v>889.47</v>
      </c>
      <c r="J674">
        <v>0.24</v>
      </c>
      <c r="K674" s="3">
        <v>2703.9888000000001</v>
      </c>
      <c r="L674" t="s">
        <v>852</v>
      </c>
      <c r="M674" t="str">
        <f>VLOOKUP($E674,Customer_Dim!$A$2:$F$501,3,FALSE)</f>
        <v>Male</v>
      </c>
      <c r="N674" t="str">
        <f>VLOOKUP($E674,Customer_Dim!$A$2:$F$501,5,FALSE)</f>
        <v>USA</v>
      </c>
      <c r="O674" t="str">
        <f>VLOOKUP($E674,Customer_Dim!$A$2:$F$501,6,FALSE)</f>
        <v>Bronze</v>
      </c>
      <c r="P674" t="str">
        <f>VLOOKUP($A674,Store_Dim!$A$2:$F$21,3,FALSE)</f>
        <v>NorthEast Jenniferstad</v>
      </c>
    </row>
    <row r="675" spans="1:16" x14ac:dyDescent="0.25">
      <c r="A675" t="s">
        <v>829</v>
      </c>
      <c r="B675" t="s">
        <v>1789</v>
      </c>
      <c r="C675" t="s">
        <v>602</v>
      </c>
      <c r="D675" s="2">
        <v>45235</v>
      </c>
      <c r="E675" t="s">
        <v>182</v>
      </c>
      <c r="F675" t="str">
        <f>VLOOKUP($C675,Product_Dim!$A$2:$D$101,3,FALSE)</f>
        <v>Dawson-Perkins</v>
      </c>
      <c r="G675" t="str">
        <f>VLOOKUP($C675,Product_Dim!$A$2:$D$101,2,FALSE)</f>
        <v>Electronics</v>
      </c>
      <c r="H675">
        <v>2</v>
      </c>
      <c r="I675">
        <v>65.44</v>
      </c>
      <c r="J675">
        <v>0.05</v>
      </c>
      <c r="K675" s="3">
        <v>124.336</v>
      </c>
      <c r="L675" t="s">
        <v>854</v>
      </c>
      <c r="M675" t="str">
        <f>VLOOKUP($E675,Customer_Dim!$A$2:$F$501,3,FALSE)</f>
        <v>Male</v>
      </c>
      <c r="N675" t="str">
        <f>VLOOKUP($E675,Customer_Dim!$A$2:$F$501,5,FALSE)</f>
        <v>USA</v>
      </c>
      <c r="O675" t="str">
        <f>VLOOKUP($E675,Customer_Dim!$A$2:$F$501,6,FALSE)</f>
        <v>Bronze</v>
      </c>
      <c r="P675" t="str">
        <f>VLOOKUP($A675,Store_Dim!$A$2:$F$21,3,FALSE)</f>
        <v>NorthEast Jenniferstad</v>
      </c>
    </row>
    <row r="676" spans="1:16" hidden="1" x14ac:dyDescent="0.25">
      <c r="A676" t="s">
        <v>829</v>
      </c>
      <c r="B676" t="s">
        <v>1276</v>
      </c>
      <c r="C676" t="s">
        <v>602</v>
      </c>
      <c r="D676" s="2">
        <v>45853</v>
      </c>
      <c r="E676" t="s">
        <v>405</v>
      </c>
      <c r="F676" t="str">
        <f>VLOOKUP($C676,Product_Dim!$A$2:$D$101,3,FALSE)</f>
        <v>Dawson-Perkins</v>
      </c>
      <c r="G676" t="str">
        <f>VLOOKUP($C676,Product_Dim!$A$2:$D$101,2,FALSE)</f>
        <v>Electronics</v>
      </c>
      <c r="H676">
        <v>1</v>
      </c>
      <c r="I676">
        <v>206.45</v>
      </c>
      <c r="J676">
        <v>0.15</v>
      </c>
      <c r="K676" s="3">
        <v>175.48249999999999</v>
      </c>
      <c r="L676" t="s">
        <v>854</v>
      </c>
      <c r="M676" t="str">
        <f>VLOOKUP($E676,Customer_Dim!$A$2:$F$501,3,FALSE)</f>
        <v>Female</v>
      </c>
      <c r="N676" t="str">
        <f>VLOOKUP($E676,Customer_Dim!$A$2:$F$501,5,FALSE)</f>
        <v>USA</v>
      </c>
      <c r="O676" t="str">
        <f>VLOOKUP($E676,Customer_Dim!$A$2:$F$501,6,FALSE)</f>
        <v>Silver</v>
      </c>
      <c r="P676" t="str">
        <f>VLOOKUP($A676,Store_Dim!$A$2:$F$21,3,FALSE)</f>
        <v>NorthEast Jenniferstad</v>
      </c>
    </row>
    <row r="677" spans="1:16" x14ac:dyDescent="0.25">
      <c r="A677" t="s">
        <v>829</v>
      </c>
      <c r="B677" t="s">
        <v>1799</v>
      </c>
      <c r="C677" t="s">
        <v>604</v>
      </c>
      <c r="D677" s="2">
        <v>45567</v>
      </c>
      <c r="E677" t="s">
        <v>118</v>
      </c>
      <c r="F677" t="str">
        <f>VLOOKUP($C677,Product_Dim!$A$2:$D$101,3,FALSE)</f>
        <v>Luna, Anderson and Bowman</v>
      </c>
      <c r="G677" t="str">
        <f>VLOOKUP($C677,Product_Dim!$A$2:$D$101,2,FALSE)</f>
        <v>Home</v>
      </c>
      <c r="H677">
        <v>4</v>
      </c>
      <c r="I677">
        <v>973.9</v>
      </c>
      <c r="J677">
        <v>0.02</v>
      </c>
      <c r="K677" s="3">
        <v>3817.6880000000001</v>
      </c>
      <c r="L677" t="s">
        <v>857</v>
      </c>
      <c r="M677" t="str">
        <f>VLOOKUP($E677,Customer_Dim!$A$2:$F$501,3,FALSE)</f>
        <v>Male</v>
      </c>
      <c r="N677" t="str">
        <f>VLOOKUP($E677,Customer_Dim!$A$2:$F$501,5,FALSE)</f>
        <v>USA</v>
      </c>
      <c r="O677" t="str">
        <f>VLOOKUP($E677,Customer_Dim!$A$2:$F$501,6,FALSE)</f>
        <v>Silver</v>
      </c>
      <c r="P677" t="str">
        <f>VLOOKUP($A677,Store_Dim!$A$2:$F$21,3,FALSE)</f>
        <v>NorthEast Jenniferstad</v>
      </c>
    </row>
    <row r="678" spans="1:16" x14ac:dyDescent="0.25">
      <c r="A678" t="s">
        <v>829</v>
      </c>
      <c r="B678" t="s">
        <v>1201</v>
      </c>
      <c r="C678" t="s">
        <v>606</v>
      </c>
      <c r="D678" s="2">
        <v>45541</v>
      </c>
      <c r="E678" t="s">
        <v>101</v>
      </c>
      <c r="F678" t="str">
        <f>VLOOKUP($C678,Product_Dim!$A$2:$D$101,3,FALSE)</f>
        <v>Thomas LLC</v>
      </c>
      <c r="G678" t="str">
        <f>VLOOKUP($C678,Product_Dim!$A$2:$D$101,2,FALSE)</f>
        <v>Electronics</v>
      </c>
      <c r="H678">
        <v>2</v>
      </c>
      <c r="I678">
        <v>280.37</v>
      </c>
      <c r="J678">
        <v>0.22</v>
      </c>
      <c r="K678" s="3">
        <v>437.37720000000002</v>
      </c>
      <c r="L678" t="s">
        <v>857</v>
      </c>
      <c r="M678" t="str">
        <f>VLOOKUP($E678,Customer_Dim!$A$2:$F$501,3,FALSE)</f>
        <v>Male</v>
      </c>
      <c r="N678" t="str">
        <f>VLOOKUP($E678,Customer_Dim!$A$2:$F$501,5,FALSE)</f>
        <v>USA</v>
      </c>
      <c r="O678" t="str">
        <f>VLOOKUP($E678,Customer_Dim!$A$2:$F$501,6,FALSE)</f>
        <v>Platinum</v>
      </c>
      <c r="P678" t="str">
        <f>VLOOKUP($A678,Store_Dim!$A$2:$F$21,3,FALSE)</f>
        <v>NorthEast Jenniferstad</v>
      </c>
    </row>
    <row r="679" spans="1:16" x14ac:dyDescent="0.25">
      <c r="A679" t="s">
        <v>829</v>
      </c>
      <c r="B679" t="s">
        <v>1209</v>
      </c>
      <c r="C679" t="s">
        <v>606</v>
      </c>
      <c r="D679" s="2">
        <v>45304</v>
      </c>
      <c r="E679" t="s">
        <v>307</v>
      </c>
      <c r="F679" t="str">
        <f>VLOOKUP($C679,Product_Dim!$A$2:$D$101,3,FALSE)</f>
        <v>Thomas LLC</v>
      </c>
      <c r="G679" t="str">
        <f>VLOOKUP($C679,Product_Dim!$A$2:$D$101,2,FALSE)</f>
        <v>Electronics</v>
      </c>
      <c r="H679">
        <v>2</v>
      </c>
      <c r="I679">
        <v>899.27</v>
      </c>
      <c r="J679">
        <v>0.17</v>
      </c>
      <c r="K679" s="3">
        <v>1492.7882</v>
      </c>
      <c r="L679" t="s">
        <v>852</v>
      </c>
      <c r="M679" t="str">
        <f>VLOOKUP($E679,Customer_Dim!$A$2:$F$501,3,FALSE)</f>
        <v>Male</v>
      </c>
      <c r="N679" t="str">
        <f>VLOOKUP($E679,Customer_Dim!$A$2:$F$501,5,FALSE)</f>
        <v>USA</v>
      </c>
      <c r="O679" t="str">
        <f>VLOOKUP($E679,Customer_Dim!$A$2:$F$501,6,FALSE)</f>
        <v>Platinum</v>
      </c>
      <c r="P679" t="str">
        <f>VLOOKUP($A679,Store_Dim!$A$2:$F$21,3,FALSE)</f>
        <v>NorthEast Jenniferstad</v>
      </c>
    </row>
    <row r="680" spans="1:16" x14ac:dyDescent="0.25">
      <c r="A680" t="s">
        <v>829</v>
      </c>
      <c r="B680" t="s">
        <v>1952</v>
      </c>
      <c r="C680" t="s">
        <v>606</v>
      </c>
      <c r="D680" s="2">
        <v>45869</v>
      </c>
      <c r="E680" t="s">
        <v>548</v>
      </c>
      <c r="F680" t="str">
        <f>VLOOKUP($C680,Product_Dim!$A$2:$D$101,3,FALSE)</f>
        <v>Thomas LLC</v>
      </c>
      <c r="G680" t="str">
        <f>VLOOKUP($C680,Product_Dim!$A$2:$D$101,2,FALSE)</f>
        <v>Electronics</v>
      </c>
      <c r="H680">
        <v>3</v>
      </c>
      <c r="I680">
        <v>248.43</v>
      </c>
      <c r="J680">
        <v>0.24</v>
      </c>
      <c r="K680" s="3">
        <v>566.42039999999997</v>
      </c>
      <c r="L680" t="s">
        <v>857</v>
      </c>
      <c r="M680" t="str">
        <f>VLOOKUP($E680,Customer_Dim!$A$2:$F$501,3,FALSE)</f>
        <v>Male</v>
      </c>
      <c r="N680" t="str">
        <f>VLOOKUP($E680,Customer_Dim!$A$2:$F$501,5,FALSE)</f>
        <v>USA</v>
      </c>
      <c r="O680" t="str">
        <f>VLOOKUP($E680,Customer_Dim!$A$2:$F$501,6,FALSE)</f>
        <v>Gold</v>
      </c>
      <c r="P680" t="str">
        <f>VLOOKUP($A680,Store_Dim!$A$2:$F$21,3,FALSE)</f>
        <v>NorthEast Jenniferstad</v>
      </c>
    </row>
    <row r="681" spans="1:16" hidden="1" x14ac:dyDescent="0.25">
      <c r="A681" t="s">
        <v>829</v>
      </c>
      <c r="B681" t="s">
        <v>2543</v>
      </c>
      <c r="C681" t="s">
        <v>610</v>
      </c>
      <c r="D681" s="2">
        <v>45536</v>
      </c>
      <c r="E681" t="s">
        <v>73</v>
      </c>
      <c r="F681" t="str">
        <f>VLOOKUP($C681,Product_Dim!$A$2:$D$101,3,FALSE)</f>
        <v>Ford, Murphy and Wilson</v>
      </c>
      <c r="G681" t="str">
        <f>VLOOKUP($C681,Product_Dim!$A$2:$D$101,2,FALSE)</f>
        <v>Sports</v>
      </c>
      <c r="H681">
        <v>4</v>
      </c>
      <c r="I681">
        <v>742.15</v>
      </c>
      <c r="J681">
        <v>0.1</v>
      </c>
      <c r="K681" s="3">
        <v>2671.74</v>
      </c>
      <c r="L681" t="s">
        <v>857</v>
      </c>
      <c r="M681" t="str">
        <f>VLOOKUP($E681,Customer_Dim!$A$2:$F$501,3,FALSE)</f>
        <v>Female</v>
      </c>
      <c r="N681" t="str">
        <f>VLOOKUP($E681,Customer_Dim!$A$2:$F$501,5,FALSE)</f>
        <v>USA</v>
      </c>
      <c r="O681" t="str">
        <f>VLOOKUP($E681,Customer_Dim!$A$2:$F$501,6,FALSE)</f>
        <v>Platinum</v>
      </c>
      <c r="P681" t="str">
        <f>VLOOKUP($A681,Store_Dim!$A$2:$F$21,3,FALSE)</f>
        <v>NorthEast Jenniferstad</v>
      </c>
    </row>
    <row r="682" spans="1:16" x14ac:dyDescent="0.25">
      <c r="A682" t="s">
        <v>829</v>
      </c>
      <c r="B682" t="s">
        <v>1489</v>
      </c>
      <c r="C682" t="s">
        <v>612</v>
      </c>
      <c r="D682" s="2">
        <v>45693</v>
      </c>
      <c r="E682" t="s">
        <v>478</v>
      </c>
      <c r="F682" t="str">
        <f>VLOOKUP($C682,Product_Dim!$A$2:$D$101,3,FALSE)</f>
        <v>Guerra-Hendrix</v>
      </c>
      <c r="G682" t="str">
        <f>VLOOKUP($C682,Product_Dim!$A$2:$D$101,2,FALSE)</f>
        <v>Clothing</v>
      </c>
      <c r="H682">
        <v>1</v>
      </c>
      <c r="I682">
        <v>124.98</v>
      </c>
      <c r="J682">
        <v>7.0000000000000007E-2</v>
      </c>
      <c r="K682" s="3">
        <v>116.23139999999999</v>
      </c>
      <c r="L682" t="s">
        <v>857</v>
      </c>
      <c r="M682" t="str">
        <f>VLOOKUP($E682,Customer_Dim!$A$2:$F$501,3,FALSE)</f>
        <v>Male</v>
      </c>
      <c r="N682" t="str">
        <f>VLOOKUP($E682,Customer_Dim!$A$2:$F$501,5,FALSE)</f>
        <v>USA</v>
      </c>
      <c r="O682" t="str">
        <f>VLOOKUP($E682,Customer_Dim!$A$2:$F$501,6,FALSE)</f>
        <v>Silver</v>
      </c>
      <c r="P682" t="str">
        <f>VLOOKUP($A682,Store_Dim!$A$2:$F$21,3,FALSE)</f>
        <v>NorthEast Jenniferstad</v>
      </c>
    </row>
    <row r="683" spans="1:16" hidden="1" x14ac:dyDescent="0.25">
      <c r="A683" t="s">
        <v>829</v>
      </c>
      <c r="B683" t="s">
        <v>1408</v>
      </c>
      <c r="C683" t="s">
        <v>614</v>
      </c>
      <c r="D683" s="2">
        <v>45752</v>
      </c>
      <c r="E683" t="s">
        <v>337</v>
      </c>
      <c r="F683" t="str">
        <f>VLOOKUP($C683,Product_Dim!$A$2:$D$101,3,FALSE)</f>
        <v>May-Reese</v>
      </c>
      <c r="G683" t="str">
        <f>VLOOKUP($C683,Product_Dim!$A$2:$D$101,2,FALSE)</f>
        <v>Sports</v>
      </c>
      <c r="H683">
        <v>3</v>
      </c>
      <c r="I683">
        <v>543.22</v>
      </c>
      <c r="J683">
        <v>0.05</v>
      </c>
      <c r="K683" s="3">
        <v>1548.1769999999999</v>
      </c>
      <c r="L683" t="s">
        <v>857</v>
      </c>
      <c r="M683" t="str">
        <f>VLOOKUP($E683,Customer_Dim!$A$2:$F$501,3,FALSE)</f>
        <v>Female</v>
      </c>
      <c r="N683" t="str">
        <f>VLOOKUP($E683,Customer_Dim!$A$2:$F$501,5,FALSE)</f>
        <v>USA</v>
      </c>
      <c r="O683" t="str">
        <f>VLOOKUP($E683,Customer_Dim!$A$2:$F$501,6,FALSE)</f>
        <v>Gold</v>
      </c>
      <c r="P683" t="str">
        <f>VLOOKUP($A683,Store_Dim!$A$2:$F$21,3,FALSE)</f>
        <v>NorthEast Jenniferstad</v>
      </c>
    </row>
    <row r="684" spans="1:16" x14ac:dyDescent="0.25">
      <c r="A684" t="s">
        <v>829</v>
      </c>
      <c r="B684" t="s">
        <v>1646</v>
      </c>
      <c r="C684" t="s">
        <v>614</v>
      </c>
      <c r="D684" s="2">
        <v>45870</v>
      </c>
      <c r="E684" t="s">
        <v>535</v>
      </c>
      <c r="F684" t="str">
        <f>VLOOKUP($C684,Product_Dim!$A$2:$D$101,3,FALSE)</f>
        <v>May-Reese</v>
      </c>
      <c r="G684" t="str">
        <f>VLOOKUP($C684,Product_Dim!$A$2:$D$101,2,FALSE)</f>
        <v>Sports</v>
      </c>
      <c r="H684">
        <v>1</v>
      </c>
      <c r="I684">
        <v>512.16</v>
      </c>
      <c r="J684">
        <v>0.02</v>
      </c>
      <c r="K684" s="3">
        <v>501.91680000000002</v>
      </c>
      <c r="L684" t="s">
        <v>857</v>
      </c>
      <c r="M684" t="str">
        <f>VLOOKUP($E684,Customer_Dim!$A$2:$F$501,3,FALSE)</f>
        <v>Male</v>
      </c>
      <c r="N684" t="str">
        <f>VLOOKUP($E684,Customer_Dim!$A$2:$F$501,5,FALSE)</f>
        <v>USA</v>
      </c>
      <c r="O684" t="str">
        <f>VLOOKUP($E684,Customer_Dim!$A$2:$F$501,6,FALSE)</f>
        <v>Bronze</v>
      </c>
      <c r="P684" t="str">
        <f>VLOOKUP($A684,Store_Dim!$A$2:$F$21,3,FALSE)</f>
        <v>NorthEast Jenniferstad</v>
      </c>
    </row>
    <row r="685" spans="1:16" hidden="1" x14ac:dyDescent="0.25">
      <c r="A685" t="s">
        <v>829</v>
      </c>
      <c r="B685" t="s">
        <v>2300</v>
      </c>
      <c r="C685" t="s">
        <v>577</v>
      </c>
      <c r="D685" s="2">
        <v>45758</v>
      </c>
      <c r="E685" t="s">
        <v>178</v>
      </c>
      <c r="F685" t="str">
        <f>VLOOKUP($C685,Product_Dim!$A$2:$D$101,3,FALSE)</f>
        <v>Sims Inc</v>
      </c>
      <c r="G685" t="str">
        <f>VLOOKUP($C685,Product_Dim!$A$2:$D$101,2,FALSE)</f>
        <v>Clothing</v>
      </c>
      <c r="H685">
        <v>4</v>
      </c>
      <c r="I685">
        <v>601.5</v>
      </c>
      <c r="J685">
        <v>0.18</v>
      </c>
      <c r="K685" s="3">
        <v>1972.92</v>
      </c>
      <c r="L685" t="s">
        <v>852</v>
      </c>
      <c r="M685" t="str">
        <f>VLOOKUP($E685,Customer_Dim!$A$2:$F$501,3,FALSE)</f>
        <v>Female</v>
      </c>
      <c r="N685" t="str">
        <f>VLOOKUP($E685,Customer_Dim!$A$2:$F$501,5,FALSE)</f>
        <v>USA</v>
      </c>
      <c r="O685" t="str">
        <f>VLOOKUP($E685,Customer_Dim!$A$2:$F$501,6,FALSE)</f>
        <v>Platinum</v>
      </c>
      <c r="P685" t="str">
        <f>VLOOKUP($A685,Store_Dim!$A$2:$F$21,3,FALSE)</f>
        <v>NorthEast Jenniferstad</v>
      </c>
    </row>
    <row r="686" spans="1:16" hidden="1" x14ac:dyDescent="0.25">
      <c r="A686" t="s">
        <v>829</v>
      </c>
      <c r="B686" t="s">
        <v>1401</v>
      </c>
      <c r="C686" t="s">
        <v>622</v>
      </c>
      <c r="D686" s="2">
        <v>45281</v>
      </c>
      <c r="E686" t="s">
        <v>90</v>
      </c>
      <c r="F686" t="str">
        <f>VLOOKUP($C686,Product_Dim!$A$2:$D$101,3,FALSE)</f>
        <v>Moon, Mora and Santos</v>
      </c>
      <c r="G686" t="str">
        <f>VLOOKUP($C686,Product_Dim!$A$2:$D$101,2,FALSE)</f>
        <v>Clothing</v>
      </c>
      <c r="H686">
        <v>1</v>
      </c>
      <c r="I686">
        <v>352.43</v>
      </c>
      <c r="J686">
        <v>0.14000000000000001</v>
      </c>
      <c r="K686" s="3">
        <v>303.08980000000003</v>
      </c>
      <c r="L686" t="s">
        <v>854</v>
      </c>
      <c r="M686" t="str">
        <f>VLOOKUP($E686,Customer_Dim!$A$2:$F$501,3,FALSE)</f>
        <v>Female</v>
      </c>
      <c r="N686" t="str">
        <f>VLOOKUP($E686,Customer_Dim!$A$2:$F$501,5,FALSE)</f>
        <v>USA</v>
      </c>
      <c r="O686" t="str">
        <f>VLOOKUP($E686,Customer_Dim!$A$2:$F$501,6,FALSE)</f>
        <v>Platinum</v>
      </c>
      <c r="P686" t="str">
        <f>VLOOKUP($A686,Store_Dim!$A$2:$F$21,3,FALSE)</f>
        <v>NorthEast Jenniferstad</v>
      </c>
    </row>
    <row r="687" spans="1:16" x14ac:dyDescent="0.25">
      <c r="A687" t="s">
        <v>829</v>
      </c>
      <c r="B687" t="s">
        <v>1491</v>
      </c>
      <c r="C687" t="s">
        <v>622</v>
      </c>
      <c r="D687" s="2">
        <v>45572</v>
      </c>
      <c r="E687" t="s">
        <v>234</v>
      </c>
      <c r="F687" t="str">
        <f>VLOOKUP($C687,Product_Dim!$A$2:$D$101,3,FALSE)</f>
        <v>Moon, Mora and Santos</v>
      </c>
      <c r="G687" t="str">
        <f>VLOOKUP($C687,Product_Dim!$A$2:$D$101,2,FALSE)</f>
        <v>Clothing</v>
      </c>
      <c r="H687">
        <v>1</v>
      </c>
      <c r="I687">
        <v>563.32000000000005</v>
      </c>
      <c r="J687">
        <v>0.01</v>
      </c>
      <c r="K687" s="3">
        <v>557.68680000000006</v>
      </c>
      <c r="L687" t="s">
        <v>854</v>
      </c>
      <c r="M687" t="str">
        <f>VLOOKUP($E687,Customer_Dim!$A$2:$F$501,3,FALSE)</f>
        <v>Male</v>
      </c>
      <c r="N687" t="str">
        <f>VLOOKUP($E687,Customer_Dim!$A$2:$F$501,5,FALSE)</f>
        <v>USA</v>
      </c>
      <c r="O687" t="str">
        <f>VLOOKUP($E687,Customer_Dim!$A$2:$F$501,6,FALSE)</f>
        <v>Gold</v>
      </c>
      <c r="P687" t="str">
        <f>VLOOKUP($A687,Store_Dim!$A$2:$F$21,3,FALSE)</f>
        <v>NorthEast Jenniferstad</v>
      </c>
    </row>
    <row r="688" spans="1:16" x14ac:dyDescent="0.25">
      <c r="A688" t="s">
        <v>829</v>
      </c>
      <c r="B688" t="s">
        <v>868</v>
      </c>
      <c r="C688" t="s">
        <v>624</v>
      </c>
      <c r="D688" s="2">
        <v>45829</v>
      </c>
      <c r="E688" t="s">
        <v>415</v>
      </c>
      <c r="F688" t="str">
        <f>VLOOKUP($C688,Product_Dim!$A$2:$D$101,3,FALSE)</f>
        <v>Cook Ltd</v>
      </c>
      <c r="G688" t="str">
        <f>VLOOKUP($C688,Product_Dim!$A$2:$D$101,2,FALSE)</f>
        <v>Sports</v>
      </c>
      <c r="H688">
        <v>4</v>
      </c>
      <c r="I688">
        <v>403.47</v>
      </c>
      <c r="J688">
        <v>0.28999999999999998</v>
      </c>
      <c r="K688" s="3">
        <v>1145.8548000000001</v>
      </c>
      <c r="L688" t="s">
        <v>854</v>
      </c>
      <c r="M688" t="str">
        <f>VLOOKUP($E688,Customer_Dim!$A$2:$F$501,3,FALSE)</f>
        <v>Male</v>
      </c>
      <c r="N688" t="str">
        <f>VLOOKUP($E688,Customer_Dim!$A$2:$F$501,5,FALSE)</f>
        <v>USA</v>
      </c>
      <c r="O688" t="str">
        <f>VLOOKUP($E688,Customer_Dim!$A$2:$F$501,6,FALSE)</f>
        <v>Silver</v>
      </c>
      <c r="P688" t="str">
        <f>VLOOKUP($A688,Store_Dim!$A$2:$F$21,3,FALSE)</f>
        <v>NorthEast Jenniferstad</v>
      </c>
    </row>
    <row r="689" spans="1:16" hidden="1" x14ac:dyDescent="0.25">
      <c r="A689" t="s">
        <v>829</v>
      </c>
      <c r="B689" t="s">
        <v>1676</v>
      </c>
      <c r="C689" t="s">
        <v>626</v>
      </c>
      <c r="D689" s="2">
        <v>45520</v>
      </c>
      <c r="E689" t="s">
        <v>43</v>
      </c>
      <c r="F689" t="str">
        <f>VLOOKUP($C689,Product_Dim!$A$2:$D$101,3,FALSE)</f>
        <v>Brown and Sons</v>
      </c>
      <c r="G689" t="str">
        <f>VLOOKUP($C689,Product_Dim!$A$2:$D$101,2,FALSE)</f>
        <v>Clothing</v>
      </c>
      <c r="H689">
        <v>4</v>
      </c>
      <c r="I689">
        <v>94.13</v>
      </c>
      <c r="J689">
        <v>0.15</v>
      </c>
      <c r="K689" s="3">
        <v>320.04199999999997</v>
      </c>
      <c r="L689" t="s">
        <v>852</v>
      </c>
      <c r="M689" t="str">
        <f>VLOOKUP($E689,Customer_Dim!$A$2:$F$501,3,FALSE)</f>
        <v>Female</v>
      </c>
      <c r="N689" t="str">
        <f>VLOOKUP($E689,Customer_Dim!$A$2:$F$501,5,FALSE)</f>
        <v>USA</v>
      </c>
      <c r="O689" t="str">
        <f>VLOOKUP($E689,Customer_Dim!$A$2:$F$501,6,FALSE)</f>
        <v>Platinum</v>
      </c>
      <c r="P689" t="str">
        <f>VLOOKUP($A689,Store_Dim!$A$2:$F$21,3,FALSE)</f>
        <v>NorthEast Jenniferstad</v>
      </c>
    </row>
    <row r="690" spans="1:16" x14ac:dyDescent="0.25">
      <c r="A690" t="s">
        <v>829</v>
      </c>
      <c r="B690" t="s">
        <v>2263</v>
      </c>
      <c r="C690" t="s">
        <v>626</v>
      </c>
      <c r="D690" s="2">
        <v>45296</v>
      </c>
      <c r="E690" t="s">
        <v>118</v>
      </c>
      <c r="F690" t="str">
        <f>VLOOKUP($C690,Product_Dim!$A$2:$D$101,3,FALSE)</f>
        <v>Brown and Sons</v>
      </c>
      <c r="G690" t="str">
        <f>VLOOKUP($C690,Product_Dim!$A$2:$D$101,2,FALSE)</f>
        <v>Clothing</v>
      </c>
      <c r="H690">
        <v>2</v>
      </c>
      <c r="I690">
        <v>795.37</v>
      </c>
      <c r="J690">
        <v>0.2</v>
      </c>
      <c r="K690" s="3">
        <v>1272.5920000000001</v>
      </c>
      <c r="L690" t="s">
        <v>857</v>
      </c>
      <c r="M690" t="str">
        <f>VLOOKUP($E690,Customer_Dim!$A$2:$F$501,3,FALSE)</f>
        <v>Male</v>
      </c>
      <c r="N690" t="str">
        <f>VLOOKUP($E690,Customer_Dim!$A$2:$F$501,5,FALSE)</f>
        <v>USA</v>
      </c>
      <c r="O690" t="str">
        <f>VLOOKUP($E690,Customer_Dim!$A$2:$F$501,6,FALSE)</f>
        <v>Silver</v>
      </c>
      <c r="P690" t="str">
        <f>VLOOKUP($A690,Store_Dim!$A$2:$F$21,3,FALSE)</f>
        <v>NorthEast Jenniferstad</v>
      </c>
    </row>
    <row r="691" spans="1:16" x14ac:dyDescent="0.25">
      <c r="A691" t="s">
        <v>829</v>
      </c>
      <c r="B691" t="s">
        <v>1030</v>
      </c>
      <c r="C691" t="s">
        <v>626</v>
      </c>
      <c r="D691" s="2">
        <v>45371</v>
      </c>
      <c r="E691" t="s">
        <v>192</v>
      </c>
      <c r="F691" t="str">
        <f>VLOOKUP($C691,Product_Dim!$A$2:$D$101,3,FALSE)</f>
        <v>Brown and Sons</v>
      </c>
      <c r="G691" t="str">
        <f>VLOOKUP($C691,Product_Dim!$A$2:$D$101,2,FALSE)</f>
        <v>Clothing</v>
      </c>
      <c r="H691">
        <v>1</v>
      </c>
      <c r="I691">
        <v>857.35</v>
      </c>
      <c r="J691">
        <v>0.28000000000000003</v>
      </c>
      <c r="K691" s="3">
        <v>617.29200000000003</v>
      </c>
      <c r="L691" t="s">
        <v>854</v>
      </c>
      <c r="M691" t="str">
        <f>VLOOKUP($E691,Customer_Dim!$A$2:$F$501,3,FALSE)</f>
        <v>Male</v>
      </c>
      <c r="N691" t="str">
        <f>VLOOKUP($E691,Customer_Dim!$A$2:$F$501,5,FALSE)</f>
        <v>USA</v>
      </c>
      <c r="O691" t="str">
        <f>VLOOKUP($E691,Customer_Dim!$A$2:$F$501,6,FALSE)</f>
        <v>Silver</v>
      </c>
      <c r="P691" t="str">
        <f>VLOOKUP($A691,Store_Dim!$A$2:$F$21,3,FALSE)</f>
        <v>NorthEast Jenniferstad</v>
      </c>
    </row>
    <row r="692" spans="1:16" x14ac:dyDescent="0.25">
      <c r="A692" t="s">
        <v>829</v>
      </c>
      <c r="B692" t="s">
        <v>1786</v>
      </c>
      <c r="C692" t="s">
        <v>626</v>
      </c>
      <c r="D692" s="2">
        <v>45441</v>
      </c>
      <c r="E692" t="s">
        <v>524</v>
      </c>
      <c r="F692" t="str">
        <f>VLOOKUP($C692,Product_Dim!$A$2:$D$101,3,FALSE)</f>
        <v>Brown and Sons</v>
      </c>
      <c r="G692" t="str">
        <f>VLOOKUP($C692,Product_Dim!$A$2:$D$101,2,FALSE)</f>
        <v>Clothing</v>
      </c>
      <c r="H692">
        <v>3</v>
      </c>
      <c r="I692">
        <v>504.97</v>
      </c>
      <c r="J692">
        <v>0.3</v>
      </c>
      <c r="K692" s="3">
        <v>1060.4369999999999</v>
      </c>
      <c r="L692" t="s">
        <v>852</v>
      </c>
      <c r="M692" t="str">
        <f>VLOOKUP($E692,Customer_Dim!$A$2:$F$501,3,FALSE)</f>
        <v>Male</v>
      </c>
      <c r="N692" t="str">
        <f>VLOOKUP($E692,Customer_Dim!$A$2:$F$501,5,FALSE)</f>
        <v>USA</v>
      </c>
      <c r="O692" t="str">
        <f>VLOOKUP($E692,Customer_Dim!$A$2:$F$501,6,FALSE)</f>
        <v>Platinum</v>
      </c>
      <c r="P692" t="str">
        <f>VLOOKUP($A692,Store_Dim!$A$2:$F$21,3,FALSE)</f>
        <v>NorthEast Jenniferstad</v>
      </c>
    </row>
    <row r="693" spans="1:16" x14ac:dyDescent="0.25">
      <c r="A693" t="s">
        <v>829</v>
      </c>
      <c r="B693" t="s">
        <v>2018</v>
      </c>
      <c r="C693" t="s">
        <v>579</v>
      </c>
      <c r="D693" s="2">
        <v>45506</v>
      </c>
      <c r="E693" t="s">
        <v>538</v>
      </c>
      <c r="F693" t="str">
        <f>VLOOKUP($C693,Product_Dim!$A$2:$D$101,3,FALSE)</f>
        <v>Pineda Ltd</v>
      </c>
      <c r="G693" t="str">
        <f>VLOOKUP($C693,Product_Dim!$A$2:$D$101,2,FALSE)</f>
        <v>Clothing</v>
      </c>
      <c r="H693">
        <v>1</v>
      </c>
      <c r="I693">
        <v>74.290000000000006</v>
      </c>
      <c r="J693">
        <v>0.3</v>
      </c>
      <c r="K693" s="3">
        <v>52.003</v>
      </c>
      <c r="L693" t="s">
        <v>857</v>
      </c>
      <c r="M693" t="str">
        <f>VLOOKUP($E693,Customer_Dim!$A$2:$F$501,3,FALSE)</f>
        <v>Male</v>
      </c>
      <c r="N693" t="str">
        <f>VLOOKUP($E693,Customer_Dim!$A$2:$F$501,5,FALSE)</f>
        <v>USA</v>
      </c>
      <c r="O693" t="str">
        <f>VLOOKUP($E693,Customer_Dim!$A$2:$F$501,6,FALSE)</f>
        <v>Platinum</v>
      </c>
      <c r="P693" t="str">
        <f>VLOOKUP($A693,Store_Dim!$A$2:$F$21,3,FALSE)</f>
        <v>NorthEast Jenniferstad</v>
      </c>
    </row>
    <row r="694" spans="1:16" hidden="1" x14ac:dyDescent="0.25">
      <c r="A694" t="s">
        <v>829</v>
      </c>
      <c r="B694" t="s">
        <v>1695</v>
      </c>
      <c r="C694" t="s">
        <v>638</v>
      </c>
      <c r="D694" s="2">
        <v>45380</v>
      </c>
      <c r="E694" t="s">
        <v>172</v>
      </c>
      <c r="F694" t="str">
        <f>VLOOKUP($C694,Product_Dim!$A$2:$D$101,3,FALSE)</f>
        <v>Nolan-Snow</v>
      </c>
      <c r="G694" t="str">
        <f>VLOOKUP($C694,Product_Dim!$A$2:$D$101,2,FALSE)</f>
        <v>Sports</v>
      </c>
      <c r="H694">
        <v>3</v>
      </c>
      <c r="I694">
        <v>108.14</v>
      </c>
      <c r="J694">
        <v>0.19</v>
      </c>
      <c r="K694" s="3">
        <v>262.78019999999998</v>
      </c>
      <c r="L694" t="s">
        <v>857</v>
      </c>
      <c r="M694" t="str">
        <f>VLOOKUP($E694,Customer_Dim!$A$2:$F$501,3,FALSE)</f>
        <v>Female</v>
      </c>
      <c r="N694" t="str">
        <f>VLOOKUP($E694,Customer_Dim!$A$2:$F$501,5,FALSE)</f>
        <v>USA</v>
      </c>
      <c r="O694" t="str">
        <f>VLOOKUP($E694,Customer_Dim!$A$2:$F$501,6,FALSE)</f>
        <v>Gold</v>
      </c>
      <c r="P694" t="str">
        <f>VLOOKUP($A694,Store_Dim!$A$2:$F$21,3,FALSE)</f>
        <v>NorthEast Jenniferstad</v>
      </c>
    </row>
    <row r="695" spans="1:16" hidden="1" x14ac:dyDescent="0.25">
      <c r="A695" t="s">
        <v>829</v>
      </c>
      <c r="B695" t="s">
        <v>2602</v>
      </c>
      <c r="C695" t="s">
        <v>638</v>
      </c>
      <c r="D695" s="2">
        <v>45744</v>
      </c>
      <c r="E695" t="s">
        <v>530</v>
      </c>
      <c r="F695" t="str">
        <f>VLOOKUP($C695,Product_Dim!$A$2:$D$101,3,FALSE)</f>
        <v>Nolan-Snow</v>
      </c>
      <c r="G695" t="str">
        <f>VLOOKUP($C695,Product_Dim!$A$2:$D$101,2,FALSE)</f>
        <v>Sports</v>
      </c>
      <c r="H695">
        <v>2</v>
      </c>
      <c r="I695">
        <v>31.28</v>
      </c>
      <c r="J695">
        <v>0.2</v>
      </c>
      <c r="K695" s="3">
        <v>50.048000000000002</v>
      </c>
      <c r="L695" t="s">
        <v>857</v>
      </c>
      <c r="M695" t="str">
        <f>VLOOKUP($E695,Customer_Dim!$A$2:$F$501,3,FALSE)</f>
        <v>Female</v>
      </c>
      <c r="N695" t="str">
        <f>VLOOKUP($E695,Customer_Dim!$A$2:$F$501,5,FALSE)</f>
        <v>USA</v>
      </c>
      <c r="O695" t="str">
        <f>VLOOKUP($E695,Customer_Dim!$A$2:$F$501,6,FALSE)</f>
        <v>Bronze</v>
      </c>
      <c r="P695" t="str">
        <f>VLOOKUP($A695,Store_Dim!$A$2:$F$21,3,FALSE)</f>
        <v>NorthEast Jenniferstad</v>
      </c>
    </row>
    <row r="696" spans="1:16" hidden="1" x14ac:dyDescent="0.25">
      <c r="A696" t="s">
        <v>829</v>
      </c>
      <c r="B696" t="s">
        <v>2116</v>
      </c>
      <c r="C696" t="s">
        <v>640</v>
      </c>
      <c r="D696" s="2">
        <v>45253</v>
      </c>
      <c r="E696" t="s">
        <v>488</v>
      </c>
      <c r="F696" t="str">
        <f>VLOOKUP($C696,Product_Dim!$A$2:$D$101,3,FALSE)</f>
        <v>Griffin Ltd</v>
      </c>
      <c r="G696" t="str">
        <f>VLOOKUP($C696,Product_Dim!$A$2:$D$101,2,FALSE)</f>
        <v>Beauty</v>
      </c>
      <c r="H696">
        <v>1</v>
      </c>
      <c r="I696">
        <v>223.25</v>
      </c>
      <c r="J696">
        <v>0.28999999999999998</v>
      </c>
      <c r="K696" s="3">
        <v>158.50749999999999</v>
      </c>
      <c r="L696" t="s">
        <v>852</v>
      </c>
      <c r="M696" t="str">
        <f>VLOOKUP($E696,Customer_Dim!$A$2:$F$501,3,FALSE)</f>
        <v>Female</v>
      </c>
      <c r="N696" t="str">
        <f>VLOOKUP($E696,Customer_Dim!$A$2:$F$501,5,FALSE)</f>
        <v>USA</v>
      </c>
      <c r="O696" t="str">
        <f>VLOOKUP($E696,Customer_Dim!$A$2:$F$501,6,FALSE)</f>
        <v>Platinum</v>
      </c>
      <c r="P696" t="str">
        <f>VLOOKUP($A696,Store_Dim!$A$2:$F$21,3,FALSE)</f>
        <v>NorthEast Jenniferstad</v>
      </c>
    </row>
    <row r="697" spans="1:16" x14ac:dyDescent="0.25">
      <c r="A697" t="s">
        <v>829</v>
      </c>
      <c r="B697" t="s">
        <v>1721</v>
      </c>
      <c r="C697" t="s">
        <v>642</v>
      </c>
      <c r="D697" s="2">
        <v>45700</v>
      </c>
      <c r="E697" t="s">
        <v>184</v>
      </c>
      <c r="F697" t="str">
        <f>VLOOKUP($C697,Product_Dim!$A$2:$D$101,3,FALSE)</f>
        <v>Weiss-Watson</v>
      </c>
      <c r="G697" t="str">
        <f>VLOOKUP($C697,Product_Dim!$A$2:$D$101,2,FALSE)</f>
        <v>Home</v>
      </c>
      <c r="H697">
        <v>2</v>
      </c>
      <c r="I697">
        <v>667.17</v>
      </c>
      <c r="J697">
        <v>0.1</v>
      </c>
      <c r="K697" s="3">
        <v>1200.9059999999999</v>
      </c>
      <c r="L697" t="s">
        <v>854</v>
      </c>
      <c r="M697" t="str">
        <f>VLOOKUP($E697,Customer_Dim!$A$2:$F$501,3,FALSE)</f>
        <v>Male</v>
      </c>
      <c r="N697" t="str">
        <f>VLOOKUP($E697,Customer_Dim!$A$2:$F$501,5,FALSE)</f>
        <v>USA</v>
      </c>
      <c r="O697" t="str">
        <f>VLOOKUP($E697,Customer_Dim!$A$2:$F$501,6,FALSE)</f>
        <v>Platinum</v>
      </c>
      <c r="P697" t="str">
        <f>VLOOKUP($A697,Store_Dim!$A$2:$F$21,3,FALSE)</f>
        <v>NorthEast Jenniferstad</v>
      </c>
    </row>
    <row r="698" spans="1:16" x14ac:dyDescent="0.25">
      <c r="A698" t="s">
        <v>829</v>
      </c>
      <c r="B698" t="s">
        <v>2645</v>
      </c>
      <c r="C698" t="s">
        <v>642</v>
      </c>
      <c r="D698" s="2">
        <v>45446</v>
      </c>
      <c r="E698" t="s">
        <v>448</v>
      </c>
      <c r="F698" t="str">
        <f>VLOOKUP($C698,Product_Dim!$A$2:$D$101,3,FALSE)</f>
        <v>Weiss-Watson</v>
      </c>
      <c r="G698" t="str">
        <f>VLOOKUP($C698,Product_Dim!$A$2:$D$101,2,FALSE)</f>
        <v>Home</v>
      </c>
      <c r="H698">
        <v>1</v>
      </c>
      <c r="I698">
        <v>161.16999999999999</v>
      </c>
      <c r="J698">
        <v>0.05</v>
      </c>
      <c r="K698" s="3">
        <v>153.11150000000001</v>
      </c>
      <c r="L698" t="s">
        <v>852</v>
      </c>
      <c r="M698" t="str">
        <f>VLOOKUP($E698,Customer_Dim!$A$2:$F$501,3,FALSE)</f>
        <v>Male</v>
      </c>
      <c r="N698" t="str">
        <f>VLOOKUP($E698,Customer_Dim!$A$2:$F$501,5,FALSE)</f>
        <v>USA</v>
      </c>
      <c r="O698" t="str">
        <f>VLOOKUP($E698,Customer_Dim!$A$2:$F$501,6,FALSE)</f>
        <v>Silver</v>
      </c>
      <c r="P698" t="str">
        <f>VLOOKUP($A698,Store_Dim!$A$2:$F$21,3,FALSE)</f>
        <v>NorthEast Jenniferstad</v>
      </c>
    </row>
    <row r="699" spans="1:16" hidden="1" x14ac:dyDescent="0.25">
      <c r="A699" t="s">
        <v>829</v>
      </c>
      <c r="B699" t="s">
        <v>1994</v>
      </c>
      <c r="C699" t="s">
        <v>644</v>
      </c>
      <c r="D699" s="2">
        <v>45861</v>
      </c>
      <c r="E699" t="s">
        <v>244</v>
      </c>
      <c r="F699" t="str">
        <f>VLOOKUP($C699,Product_Dim!$A$2:$D$101,3,FALSE)</f>
        <v>Lucero LLC</v>
      </c>
      <c r="G699" t="str">
        <f>VLOOKUP($C699,Product_Dim!$A$2:$D$101,2,FALSE)</f>
        <v>Electronics</v>
      </c>
      <c r="H699">
        <v>2</v>
      </c>
      <c r="I699">
        <v>696.61</v>
      </c>
      <c r="J699">
        <v>0.17</v>
      </c>
      <c r="K699" s="3">
        <v>1156.3725999999999</v>
      </c>
      <c r="L699" t="s">
        <v>854</v>
      </c>
      <c r="M699" t="str">
        <f>VLOOKUP($E699,Customer_Dim!$A$2:$F$501,3,FALSE)</f>
        <v>Female</v>
      </c>
      <c r="N699" t="str">
        <f>VLOOKUP($E699,Customer_Dim!$A$2:$F$501,5,FALSE)</f>
        <v>USA</v>
      </c>
      <c r="O699" t="str">
        <f>VLOOKUP($E699,Customer_Dim!$A$2:$F$501,6,FALSE)</f>
        <v>Silver</v>
      </c>
      <c r="P699" t="str">
        <f>VLOOKUP($A699,Store_Dim!$A$2:$F$21,3,FALSE)</f>
        <v>NorthEast Jenniferstad</v>
      </c>
    </row>
    <row r="700" spans="1:16" hidden="1" x14ac:dyDescent="0.25">
      <c r="A700" t="s">
        <v>829</v>
      </c>
      <c r="B700" t="s">
        <v>2477</v>
      </c>
      <c r="C700" t="s">
        <v>644</v>
      </c>
      <c r="D700" s="2">
        <v>45479</v>
      </c>
      <c r="E700" t="s">
        <v>461</v>
      </c>
      <c r="F700" t="str">
        <f>VLOOKUP($C700,Product_Dim!$A$2:$D$101,3,FALSE)</f>
        <v>Lucero LLC</v>
      </c>
      <c r="G700" t="str">
        <f>VLOOKUP($C700,Product_Dim!$A$2:$D$101,2,FALSE)</f>
        <v>Electronics</v>
      </c>
      <c r="H700">
        <v>2</v>
      </c>
      <c r="I700">
        <v>223.73</v>
      </c>
      <c r="J700">
        <v>0.11</v>
      </c>
      <c r="K700" s="3">
        <v>398.23939999999999</v>
      </c>
      <c r="L700" t="s">
        <v>854</v>
      </c>
      <c r="M700" t="str">
        <f>VLOOKUP($E700,Customer_Dim!$A$2:$F$501,3,FALSE)</f>
        <v>Female</v>
      </c>
      <c r="N700" t="str">
        <f>VLOOKUP($E700,Customer_Dim!$A$2:$F$501,5,FALSE)</f>
        <v>USA</v>
      </c>
      <c r="O700" t="str">
        <f>VLOOKUP($E700,Customer_Dim!$A$2:$F$501,6,FALSE)</f>
        <v>Bronze</v>
      </c>
      <c r="P700" t="str">
        <f>VLOOKUP($A700,Store_Dim!$A$2:$F$21,3,FALSE)</f>
        <v>NorthEast Jenniferstad</v>
      </c>
    </row>
    <row r="701" spans="1:16" hidden="1" x14ac:dyDescent="0.25">
      <c r="A701" t="s">
        <v>829</v>
      </c>
      <c r="B701" t="s">
        <v>2073</v>
      </c>
      <c r="C701" t="s">
        <v>646</v>
      </c>
      <c r="D701" s="2">
        <v>45905</v>
      </c>
      <c r="E701" t="s">
        <v>67</v>
      </c>
      <c r="F701" t="str">
        <f>VLOOKUP($C701,Product_Dim!$A$2:$D$101,3,FALSE)</f>
        <v>Jones LLC</v>
      </c>
      <c r="G701" t="str">
        <f>VLOOKUP($C701,Product_Dim!$A$2:$D$101,2,FALSE)</f>
        <v>Home</v>
      </c>
      <c r="H701">
        <v>4</v>
      </c>
      <c r="I701">
        <v>642.04999999999995</v>
      </c>
      <c r="J701">
        <v>0.25</v>
      </c>
      <c r="K701" s="3">
        <v>1926.15</v>
      </c>
      <c r="L701" t="s">
        <v>852</v>
      </c>
      <c r="M701" t="str">
        <f>VLOOKUP($E701,Customer_Dim!$A$2:$F$501,3,FALSE)</f>
        <v>Female</v>
      </c>
      <c r="N701" t="str">
        <f>VLOOKUP($E701,Customer_Dim!$A$2:$F$501,5,FALSE)</f>
        <v>USA</v>
      </c>
      <c r="O701" t="str">
        <f>VLOOKUP($E701,Customer_Dim!$A$2:$F$501,6,FALSE)</f>
        <v>Bronze</v>
      </c>
      <c r="P701" t="str">
        <f>VLOOKUP($A701,Store_Dim!$A$2:$F$21,3,FALSE)</f>
        <v>NorthEast Jenniferstad</v>
      </c>
    </row>
    <row r="702" spans="1:16" x14ac:dyDescent="0.25">
      <c r="A702" t="s">
        <v>829</v>
      </c>
      <c r="B702" t="s">
        <v>2535</v>
      </c>
      <c r="C702" t="s">
        <v>650</v>
      </c>
      <c r="D702" s="2">
        <v>45268</v>
      </c>
      <c r="E702" t="s">
        <v>200</v>
      </c>
      <c r="F702" t="str">
        <f>VLOOKUP($C702,Product_Dim!$A$2:$D$101,3,FALSE)</f>
        <v>Hogan-Lee</v>
      </c>
      <c r="G702" t="str">
        <f>VLOOKUP($C702,Product_Dim!$A$2:$D$101,2,FALSE)</f>
        <v>Clothing</v>
      </c>
      <c r="H702">
        <v>3</v>
      </c>
      <c r="I702">
        <v>281.95999999999998</v>
      </c>
      <c r="J702">
        <v>0.01</v>
      </c>
      <c r="K702" s="3">
        <v>837.42119999999989</v>
      </c>
      <c r="L702" t="s">
        <v>857</v>
      </c>
      <c r="M702" t="str">
        <f>VLOOKUP($E702,Customer_Dim!$A$2:$F$501,3,FALSE)</f>
        <v>Male</v>
      </c>
      <c r="N702" t="str">
        <f>VLOOKUP($E702,Customer_Dim!$A$2:$F$501,5,FALSE)</f>
        <v>USA</v>
      </c>
      <c r="O702" t="str">
        <f>VLOOKUP($E702,Customer_Dim!$A$2:$F$501,6,FALSE)</f>
        <v>Silver</v>
      </c>
      <c r="P702" t="str">
        <f>VLOOKUP($A702,Store_Dim!$A$2:$F$21,3,FALSE)</f>
        <v>NorthEast Jenniferstad</v>
      </c>
    </row>
    <row r="703" spans="1:16" hidden="1" x14ac:dyDescent="0.25">
      <c r="A703" t="s">
        <v>829</v>
      </c>
      <c r="B703" t="s">
        <v>1679</v>
      </c>
      <c r="C703" t="s">
        <v>650</v>
      </c>
      <c r="D703" s="2">
        <v>45877</v>
      </c>
      <c r="E703" t="s">
        <v>495</v>
      </c>
      <c r="F703" t="str">
        <f>VLOOKUP($C703,Product_Dim!$A$2:$D$101,3,FALSE)</f>
        <v>Hogan-Lee</v>
      </c>
      <c r="G703" t="str">
        <f>VLOOKUP($C703,Product_Dim!$A$2:$D$101,2,FALSE)</f>
        <v>Clothing</v>
      </c>
      <c r="H703">
        <v>4</v>
      </c>
      <c r="I703">
        <v>184.57</v>
      </c>
      <c r="J703">
        <v>0.28000000000000003</v>
      </c>
      <c r="K703" s="3">
        <v>531.5616</v>
      </c>
      <c r="L703" t="s">
        <v>852</v>
      </c>
      <c r="M703" t="str">
        <f>VLOOKUP($E703,Customer_Dim!$A$2:$F$501,3,FALSE)</f>
        <v>Female</v>
      </c>
      <c r="N703" t="str">
        <f>VLOOKUP($E703,Customer_Dim!$A$2:$F$501,5,FALSE)</f>
        <v>USA</v>
      </c>
      <c r="O703" t="str">
        <f>VLOOKUP($E703,Customer_Dim!$A$2:$F$501,6,FALSE)</f>
        <v>Bronze</v>
      </c>
      <c r="P703" t="str">
        <f>VLOOKUP($A703,Store_Dim!$A$2:$F$21,3,FALSE)</f>
        <v>NorthEast Jenniferstad</v>
      </c>
    </row>
    <row r="704" spans="1:16" x14ac:dyDescent="0.25">
      <c r="A704" t="s">
        <v>829</v>
      </c>
      <c r="B704" t="s">
        <v>2160</v>
      </c>
      <c r="C704" t="s">
        <v>652</v>
      </c>
      <c r="D704" s="2">
        <v>45774</v>
      </c>
      <c r="E704" t="s">
        <v>203</v>
      </c>
      <c r="F704" t="str">
        <f>VLOOKUP($C704,Product_Dim!$A$2:$D$101,3,FALSE)</f>
        <v>Sims-Smith</v>
      </c>
      <c r="G704" t="str">
        <f>VLOOKUP($C704,Product_Dim!$A$2:$D$101,2,FALSE)</f>
        <v>Sports</v>
      </c>
      <c r="H704">
        <v>2</v>
      </c>
      <c r="I704">
        <v>235.39</v>
      </c>
      <c r="J704">
        <v>0.27</v>
      </c>
      <c r="K704" s="3">
        <v>343.6694</v>
      </c>
      <c r="L704" t="s">
        <v>857</v>
      </c>
      <c r="M704" t="str">
        <f>VLOOKUP($E704,Customer_Dim!$A$2:$F$501,3,FALSE)</f>
        <v>Male</v>
      </c>
      <c r="N704" t="str">
        <f>VLOOKUP($E704,Customer_Dim!$A$2:$F$501,5,FALSE)</f>
        <v>USA</v>
      </c>
      <c r="O704" t="str">
        <f>VLOOKUP($E704,Customer_Dim!$A$2:$F$501,6,FALSE)</f>
        <v>Bronze</v>
      </c>
      <c r="P704" t="str">
        <f>VLOOKUP($A704,Store_Dim!$A$2:$F$21,3,FALSE)</f>
        <v>NorthEast Jenniferstad</v>
      </c>
    </row>
    <row r="705" spans="1:16" x14ac:dyDescent="0.25">
      <c r="A705" t="s">
        <v>829</v>
      </c>
      <c r="B705" t="s">
        <v>1907</v>
      </c>
      <c r="C705" t="s">
        <v>652</v>
      </c>
      <c r="D705" s="2">
        <v>45551</v>
      </c>
      <c r="E705" t="s">
        <v>447</v>
      </c>
      <c r="F705" t="str">
        <f>VLOOKUP($C705,Product_Dim!$A$2:$D$101,3,FALSE)</f>
        <v>Sims-Smith</v>
      </c>
      <c r="G705" t="str">
        <f>VLOOKUP($C705,Product_Dim!$A$2:$D$101,2,FALSE)</f>
        <v>Sports</v>
      </c>
      <c r="H705">
        <v>4</v>
      </c>
      <c r="I705">
        <v>132.88999999999999</v>
      </c>
      <c r="J705">
        <v>0.12</v>
      </c>
      <c r="K705" s="3">
        <v>467.77280000000002</v>
      </c>
      <c r="L705" t="s">
        <v>852</v>
      </c>
      <c r="M705" t="str">
        <f>VLOOKUP($E705,Customer_Dim!$A$2:$F$501,3,FALSE)</f>
        <v>Male</v>
      </c>
      <c r="N705" t="str">
        <f>VLOOKUP($E705,Customer_Dim!$A$2:$F$501,5,FALSE)</f>
        <v>USA</v>
      </c>
      <c r="O705" t="str">
        <f>VLOOKUP($E705,Customer_Dim!$A$2:$F$501,6,FALSE)</f>
        <v>Gold</v>
      </c>
      <c r="P705" t="str">
        <f>VLOOKUP($A705,Store_Dim!$A$2:$F$21,3,FALSE)</f>
        <v>NorthEast Jenniferstad</v>
      </c>
    </row>
    <row r="706" spans="1:16" hidden="1" x14ac:dyDescent="0.25">
      <c r="A706" t="s">
        <v>829</v>
      </c>
      <c r="B706" t="s">
        <v>2378</v>
      </c>
      <c r="C706" t="s">
        <v>654</v>
      </c>
      <c r="D706" s="2">
        <v>45239</v>
      </c>
      <c r="E706" t="s">
        <v>267</v>
      </c>
      <c r="F706" t="str">
        <f>VLOOKUP($C706,Product_Dim!$A$2:$D$101,3,FALSE)</f>
        <v>Cummings and Sons</v>
      </c>
      <c r="G706" t="str">
        <f>VLOOKUP($C706,Product_Dim!$A$2:$D$101,2,FALSE)</f>
        <v>Electronics</v>
      </c>
      <c r="H706">
        <v>2</v>
      </c>
      <c r="I706">
        <v>768.08</v>
      </c>
      <c r="J706">
        <v>0.26</v>
      </c>
      <c r="K706" s="3">
        <v>1136.7583999999999</v>
      </c>
      <c r="L706" t="s">
        <v>854</v>
      </c>
      <c r="M706" t="str">
        <f>VLOOKUP($E706,Customer_Dim!$A$2:$F$501,3,FALSE)</f>
        <v>Female</v>
      </c>
      <c r="N706" t="str">
        <f>VLOOKUP($E706,Customer_Dim!$A$2:$F$501,5,FALSE)</f>
        <v>USA</v>
      </c>
      <c r="O706" t="str">
        <f>VLOOKUP($E706,Customer_Dim!$A$2:$F$501,6,FALSE)</f>
        <v>Platinum</v>
      </c>
      <c r="P706" t="str">
        <f>VLOOKUP($A706,Store_Dim!$A$2:$F$21,3,FALSE)</f>
        <v>NorthEast Jenniferstad</v>
      </c>
    </row>
    <row r="707" spans="1:16" x14ac:dyDescent="0.25">
      <c r="A707" t="s">
        <v>829</v>
      </c>
      <c r="B707" t="s">
        <v>2281</v>
      </c>
      <c r="C707" t="s">
        <v>654</v>
      </c>
      <c r="D707" s="2">
        <v>45244</v>
      </c>
      <c r="E707" t="s">
        <v>455</v>
      </c>
      <c r="F707" t="str">
        <f>VLOOKUP($C707,Product_Dim!$A$2:$D$101,3,FALSE)</f>
        <v>Cummings and Sons</v>
      </c>
      <c r="G707" t="str">
        <f>VLOOKUP($C707,Product_Dim!$A$2:$D$101,2,FALSE)</f>
        <v>Electronics</v>
      </c>
      <c r="H707">
        <v>3</v>
      </c>
      <c r="I707">
        <v>836.27</v>
      </c>
      <c r="J707">
        <v>0.16</v>
      </c>
      <c r="K707" s="3">
        <v>2107.4004</v>
      </c>
      <c r="L707" t="s">
        <v>852</v>
      </c>
      <c r="M707" t="str">
        <f>VLOOKUP($E707,Customer_Dim!$A$2:$F$501,3,FALSE)</f>
        <v>Male</v>
      </c>
      <c r="N707" t="str">
        <f>VLOOKUP($E707,Customer_Dim!$A$2:$F$501,5,FALSE)</f>
        <v>USA</v>
      </c>
      <c r="O707" t="str">
        <f>VLOOKUP($E707,Customer_Dim!$A$2:$F$501,6,FALSE)</f>
        <v>Platinum</v>
      </c>
      <c r="P707" t="str">
        <f>VLOOKUP($A707,Store_Dim!$A$2:$F$21,3,FALSE)</f>
        <v>NorthEast Jenniferstad</v>
      </c>
    </row>
    <row r="708" spans="1:16" hidden="1" x14ac:dyDescent="0.25">
      <c r="A708" t="s">
        <v>829</v>
      </c>
      <c r="B708" t="s">
        <v>1725</v>
      </c>
      <c r="C708" t="s">
        <v>656</v>
      </c>
      <c r="D708" s="2">
        <v>45302</v>
      </c>
      <c r="E708" t="s">
        <v>117</v>
      </c>
      <c r="F708" t="str">
        <f>VLOOKUP($C708,Product_Dim!$A$2:$D$101,3,FALSE)</f>
        <v>Taylor-Hart</v>
      </c>
      <c r="G708" t="str">
        <f>VLOOKUP($C708,Product_Dim!$A$2:$D$101,2,FALSE)</f>
        <v>Electronics</v>
      </c>
      <c r="H708">
        <v>1</v>
      </c>
      <c r="I708">
        <v>517.82000000000005</v>
      </c>
      <c r="J708">
        <v>0.28999999999999998</v>
      </c>
      <c r="K708" s="3">
        <v>367.65219999999999</v>
      </c>
      <c r="L708" t="s">
        <v>852</v>
      </c>
      <c r="M708" t="str">
        <f>VLOOKUP($E708,Customer_Dim!$A$2:$F$501,3,FALSE)</f>
        <v>Female</v>
      </c>
      <c r="N708" t="str">
        <f>VLOOKUP($E708,Customer_Dim!$A$2:$F$501,5,FALSE)</f>
        <v>USA</v>
      </c>
      <c r="O708" t="str">
        <f>VLOOKUP($E708,Customer_Dim!$A$2:$F$501,6,FALSE)</f>
        <v>Silver</v>
      </c>
      <c r="P708" t="str">
        <f>VLOOKUP($A708,Store_Dim!$A$2:$F$21,3,FALSE)</f>
        <v>NorthEast Jenniferstad</v>
      </c>
    </row>
    <row r="709" spans="1:16" x14ac:dyDescent="0.25">
      <c r="A709" t="s">
        <v>829</v>
      </c>
      <c r="B709" t="s">
        <v>1698</v>
      </c>
      <c r="C709" t="s">
        <v>662</v>
      </c>
      <c r="D709" s="2">
        <v>45527</v>
      </c>
      <c r="E709" t="s">
        <v>524</v>
      </c>
      <c r="F709" t="str">
        <f>VLOOKUP($C709,Product_Dim!$A$2:$D$101,3,FALSE)</f>
        <v>Robinson Inc</v>
      </c>
      <c r="G709" t="str">
        <f>VLOOKUP($C709,Product_Dim!$A$2:$D$101,2,FALSE)</f>
        <v>Electronics</v>
      </c>
      <c r="H709">
        <v>3</v>
      </c>
      <c r="I709">
        <v>791.75</v>
      </c>
      <c r="J709">
        <v>0.28999999999999998</v>
      </c>
      <c r="K709" s="3">
        <v>1686.4275</v>
      </c>
      <c r="L709" t="s">
        <v>852</v>
      </c>
      <c r="M709" t="str">
        <f>VLOOKUP($E709,Customer_Dim!$A$2:$F$501,3,FALSE)</f>
        <v>Male</v>
      </c>
      <c r="N709" t="str">
        <f>VLOOKUP($E709,Customer_Dim!$A$2:$F$501,5,FALSE)</f>
        <v>USA</v>
      </c>
      <c r="O709" t="str">
        <f>VLOOKUP($E709,Customer_Dim!$A$2:$F$501,6,FALSE)</f>
        <v>Platinum</v>
      </c>
      <c r="P709" t="str">
        <f>VLOOKUP($A709,Store_Dim!$A$2:$F$21,3,FALSE)</f>
        <v>NorthEast Jenniferstad</v>
      </c>
    </row>
    <row r="710" spans="1:16" x14ac:dyDescent="0.25">
      <c r="A710" t="s">
        <v>829</v>
      </c>
      <c r="B710" t="s">
        <v>1709</v>
      </c>
      <c r="C710" t="s">
        <v>666</v>
      </c>
      <c r="D710" s="2">
        <v>45235</v>
      </c>
      <c r="E710" t="s">
        <v>133</v>
      </c>
      <c r="F710" t="str">
        <f>VLOOKUP($C710,Product_Dim!$A$2:$D$101,3,FALSE)</f>
        <v>Bridges, Banks and Cummings</v>
      </c>
      <c r="G710" t="str">
        <f>VLOOKUP($C710,Product_Dim!$A$2:$D$101,2,FALSE)</f>
        <v>Sports</v>
      </c>
      <c r="H710">
        <v>3</v>
      </c>
      <c r="I710">
        <v>674.66</v>
      </c>
      <c r="J710">
        <v>0.23</v>
      </c>
      <c r="K710" s="3">
        <v>1558.4646</v>
      </c>
      <c r="L710" t="s">
        <v>852</v>
      </c>
      <c r="M710" t="str">
        <f>VLOOKUP($E710,Customer_Dim!$A$2:$F$501,3,FALSE)</f>
        <v>Male</v>
      </c>
      <c r="N710" t="str">
        <f>VLOOKUP($E710,Customer_Dim!$A$2:$F$501,5,FALSE)</f>
        <v>USA</v>
      </c>
      <c r="O710" t="str">
        <f>VLOOKUP($E710,Customer_Dim!$A$2:$F$501,6,FALSE)</f>
        <v>Gold</v>
      </c>
      <c r="P710" t="str">
        <f>VLOOKUP($A710,Store_Dim!$A$2:$F$21,3,FALSE)</f>
        <v>NorthEast Jenniferstad</v>
      </c>
    </row>
    <row r="711" spans="1:16" x14ac:dyDescent="0.25">
      <c r="A711" t="s">
        <v>829</v>
      </c>
      <c r="B711" t="s">
        <v>1228</v>
      </c>
      <c r="C711" t="s">
        <v>666</v>
      </c>
      <c r="D711" s="2">
        <v>45276</v>
      </c>
      <c r="E711" t="s">
        <v>536</v>
      </c>
      <c r="F711" t="str">
        <f>VLOOKUP($C711,Product_Dim!$A$2:$D$101,3,FALSE)</f>
        <v>Bridges, Banks and Cummings</v>
      </c>
      <c r="G711" t="str">
        <f>VLOOKUP($C711,Product_Dim!$A$2:$D$101,2,FALSE)</f>
        <v>Sports</v>
      </c>
      <c r="H711">
        <v>1</v>
      </c>
      <c r="I711">
        <v>496.19</v>
      </c>
      <c r="J711">
        <v>0.08</v>
      </c>
      <c r="K711" s="3">
        <v>456.4948</v>
      </c>
      <c r="L711" t="s">
        <v>857</v>
      </c>
      <c r="M711" t="str">
        <f>VLOOKUP($E711,Customer_Dim!$A$2:$F$501,3,FALSE)</f>
        <v>Male</v>
      </c>
      <c r="N711" t="str">
        <f>VLOOKUP($E711,Customer_Dim!$A$2:$F$501,5,FALSE)</f>
        <v>USA</v>
      </c>
      <c r="O711" t="str">
        <f>VLOOKUP($E711,Customer_Dim!$A$2:$F$501,6,FALSE)</f>
        <v>Gold</v>
      </c>
      <c r="P711" t="str">
        <f>VLOOKUP($A711,Store_Dim!$A$2:$F$21,3,FALSE)</f>
        <v>NorthEast Jenniferstad</v>
      </c>
    </row>
    <row r="712" spans="1:16" x14ac:dyDescent="0.25">
      <c r="A712" t="s">
        <v>829</v>
      </c>
      <c r="B712" t="s">
        <v>1818</v>
      </c>
      <c r="C712" t="s">
        <v>668</v>
      </c>
      <c r="D712" s="2">
        <v>45682</v>
      </c>
      <c r="E712" t="s">
        <v>171</v>
      </c>
      <c r="F712" t="str">
        <f>VLOOKUP($C712,Product_Dim!$A$2:$D$101,3,FALSE)</f>
        <v>Kelly, Smith and Perez</v>
      </c>
      <c r="G712" t="str">
        <f>VLOOKUP($C712,Product_Dim!$A$2:$D$101,2,FALSE)</f>
        <v>Clothing</v>
      </c>
      <c r="H712">
        <v>4</v>
      </c>
      <c r="I712">
        <v>614.99</v>
      </c>
      <c r="J712">
        <v>0.16</v>
      </c>
      <c r="K712" s="3">
        <v>2066.3663999999999</v>
      </c>
      <c r="L712" t="s">
        <v>854</v>
      </c>
      <c r="M712" t="str">
        <f>VLOOKUP($E712,Customer_Dim!$A$2:$F$501,3,FALSE)</f>
        <v>Male</v>
      </c>
      <c r="N712" t="str">
        <f>VLOOKUP($E712,Customer_Dim!$A$2:$F$501,5,FALSE)</f>
        <v>USA</v>
      </c>
      <c r="O712" t="str">
        <f>VLOOKUP($E712,Customer_Dim!$A$2:$F$501,6,FALSE)</f>
        <v>Silver</v>
      </c>
      <c r="P712" t="str">
        <f>VLOOKUP($A712,Store_Dim!$A$2:$F$21,3,FALSE)</f>
        <v>NorthEast Jenniferstad</v>
      </c>
    </row>
    <row r="713" spans="1:16" hidden="1" x14ac:dyDescent="0.25">
      <c r="A713" t="s">
        <v>829</v>
      </c>
      <c r="B713" t="s">
        <v>2414</v>
      </c>
      <c r="C713" t="s">
        <v>672</v>
      </c>
      <c r="D713" s="2">
        <v>45555</v>
      </c>
      <c r="E713" t="s">
        <v>274</v>
      </c>
      <c r="F713" t="str">
        <f>VLOOKUP($C713,Product_Dim!$A$2:$D$101,3,FALSE)</f>
        <v>Byrd, Stewart and Valdez</v>
      </c>
      <c r="G713" t="str">
        <f>VLOOKUP($C713,Product_Dim!$A$2:$D$101,2,FALSE)</f>
        <v>Electronics</v>
      </c>
      <c r="H713">
        <v>1</v>
      </c>
      <c r="I713">
        <v>135.13</v>
      </c>
      <c r="J713">
        <v>0.04</v>
      </c>
      <c r="K713" s="3">
        <v>129.72479999999999</v>
      </c>
      <c r="L713" t="s">
        <v>852</v>
      </c>
      <c r="M713" t="str">
        <f>VLOOKUP($E713,Customer_Dim!$A$2:$F$501,3,FALSE)</f>
        <v>Female</v>
      </c>
      <c r="N713" t="str">
        <f>VLOOKUP($E713,Customer_Dim!$A$2:$F$501,5,FALSE)</f>
        <v>USA</v>
      </c>
      <c r="O713" t="str">
        <f>VLOOKUP($E713,Customer_Dim!$A$2:$F$501,6,FALSE)</f>
        <v>Platinum</v>
      </c>
      <c r="P713" t="str">
        <f>VLOOKUP($A713,Store_Dim!$A$2:$F$21,3,FALSE)</f>
        <v>NorthEast Jenniferstad</v>
      </c>
    </row>
    <row r="714" spans="1:16" hidden="1" x14ac:dyDescent="0.25">
      <c r="A714" t="s">
        <v>829</v>
      </c>
      <c r="B714" t="s">
        <v>2135</v>
      </c>
      <c r="C714" t="s">
        <v>674</v>
      </c>
      <c r="D714" s="2">
        <v>45787</v>
      </c>
      <c r="E714" t="s">
        <v>559</v>
      </c>
      <c r="F714" t="str">
        <f>VLOOKUP($C714,Product_Dim!$A$2:$D$101,3,FALSE)</f>
        <v>Sullivan and Sons</v>
      </c>
      <c r="G714" t="str">
        <f>VLOOKUP($C714,Product_Dim!$A$2:$D$101,2,FALSE)</f>
        <v>Beauty</v>
      </c>
      <c r="H714">
        <v>3</v>
      </c>
      <c r="I714">
        <v>225.14</v>
      </c>
      <c r="J714">
        <v>0.15</v>
      </c>
      <c r="K714" s="3">
        <v>574.10699999999997</v>
      </c>
      <c r="L714" t="s">
        <v>857</v>
      </c>
      <c r="M714" t="str">
        <f>VLOOKUP($E714,Customer_Dim!$A$2:$F$501,3,FALSE)</f>
        <v>Female</v>
      </c>
      <c r="N714" t="str">
        <f>VLOOKUP($E714,Customer_Dim!$A$2:$F$501,5,FALSE)</f>
        <v>USA</v>
      </c>
      <c r="O714" t="str">
        <f>VLOOKUP($E714,Customer_Dim!$A$2:$F$501,6,FALSE)</f>
        <v>Platinum</v>
      </c>
      <c r="P714" t="str">
        <f>VLOOKUP($A714,Store_Dim!$A$2:$F$21,3,FALSE)</f>
        <v>NorthEast Jenniferstad</v>
      </c>
    </row>
    <row r="715" spans="1:16" x14ac:dyDescent="0.25">
      <c r="A715" t="s">
        <v>829</v>
      </c>
      <c r="B715" t="s">
        <v>2216</v>
      </c>
      <c r="C715" t="s">
        <v>684</v>
      </c>
      <c r="D715" s="2">
        <v>45454</v>
      </c>
      <c r="E715" t="s">
        <v>469</v>
      </c>
      <c r="F715" t="str">
        <f>VLOOKUP($C715,Product_Dim!$A$2:$D$101,3,FALSE)</f>
        <v>Thompson-French</v>
      </c>
      <c r="G715" t="str">
        <f>VLOOKUP($C715,Product_Dim!$A$2:$D$101,2,FALSE)</f>
        <v>Sports</v>
      </c>
      <c r="H715">
        <v>3</v>
      </c>
      <c r="I715">
        <v>789.05</v>
      </c>
      <c r="J715">
        <v>0</v>
      </c>
      <c r="K715" s="3">
        <v>2367.15</v>
      </c>
      <c r="L715" t="s">
        <v>854</v>
      </c>
      <c r="M715" t="str">
        <f>VLOOKUP($E715,Customer_Dim!$A$2:$F$501,3,FALSE)</f>
        <v>Male</v>
      </c>
      <c r="N715" t="str">
        <f>VLOOKUP($E715,Customer_Dim!$A$2:$F$501,5,FALSE)</f>
        <v>USA</v>
      </c>
      <c r="O715" t="str">
        <f>VLOOKUP($E715,Customer_Dim!$A$2:$F$501,6,FALSE)</f>
        <v>Bronze</v>
      </c>
      <c r="P715" t="str">
        <f>VLOOKUP($A715,Store_Dim!$A$2:$F$21,3,FALSE)</f>
        <v>NorthEast Jenniferstad</v>
      </c>
    </row>
    <row r="716" spans="1:16" hidden="1" x14ac:dyDescent="0.25">
      <c r="A716" t="s">
        <v>829</v>
      </c>
      <c r="B716" t="s">
        <v>999</v>
      </c>
      <c r="C716" t="s">
        <v>684</v>
      </c>
      <c r="D716" s="2">
        <v>45522</v>
      </c>
      <c r="E716" t="s">
        <v>526</v>
      </c>
      <c r="F716" t="str">
        <f>VLOOKUP($C716,Product_Dim!$A$2:$D$101,3,FALSE)</f>
        <v>Thompson-French</v>
      </c>
      <c r="G716" t="str">
        <f>VLOOKUP($C716,Product_Dim!$A$2:$D$101,2,FALSE)</f>
        <v>Sports</v>
      </c>
      <c r="H716">
        <v>2</v>
      </c>
      <c r="I716">
        <v>536.84</v>
      </c>
      <c r="J716">
        <v>0.09</v>
      </c>
      <c r="K716" s="3">
        <v>977.04880000000014</v>
      </c>
      <c r="L716" t="s">
        <v>857</v>
      </c>
      <c r="M716" t="str">
        <f>VLOOKUP($E716,Customer_Dim!$A$2:$F$501,3,FALSE)</f>
        <v>Female</v>
      </c>
      <c r="N716" t="str">
        <f>VLOOKUP($E716,Customer_Dim!$A$2:$F$501,5,FALSE)</f>
        <v>USA</v>
      </c>
      <c r="O716" t="str">
        <f>VLOOKUP($E716,Customer_Dim!$A$2:$F$501,6,FALSE)</f>
        <v>Gold</v>
      </c>
      <c r="P716" t="str">
        <f>VLOOKUP($A716,Store_Dim!$A$2:$F$21,3,FALSE)</f>
        <v>NorthEast Jenniferstad</v>
      </c>
    </row>
    <row r="717" spans="1:16" hidden="1" x14ac:dyDescent="0.25">
      <c r="A717" t="s">
        <v>829</v>
      </c>
      <c r="B717" t="s">
        <v>2061</v>
      </c>
      <c r="C717" t="s">
        <v>694</v>
      </c>
      <c r="D717" s="2">
        <v>45693</v>
      </c>
      <c r="E717" t="s">
        <v>419</v>
      </c>
      <c r="F717" t="str">
        <f>VLOOKUP($C717,Product_Dim!$A$2:$D$101,3,FALSE)</f>
        <v>Cline-Mccarthy</v>
      </c>
      <c r="G717" t="str">
        <f>VLOOKUP($C717,Product_Dim!$A$2:$D$101,2,FALSE)</f>
        <v>Beauty</v>
      </c>
      <c r="H717">
        <v>3</v>
      </c>
      <c r="I717">
        <v>597.46</v>
      </c>
      <c r="J717">
        <v>0.02</v>
      </c>
      <c r="K717" s="3">
        <v>1756.5324000000001</v>
      </c>
      <c r="L717" t="s">
        <v>854</v>
      </c>
      <c r="M717" t="str">
        <f>VLOOKUP($E717,Customer_Dim!$A$2:$F$501,3,FALSE)</f>
        <v>Female</v>
      </c>
      <c r="N717" t="str">
        <f>VLOOKUP($E717,Customer_Dim!$A$2:$F$501,5,FALSE)</f>
        <v>USA</v>
      </c>
      <c r="O717" t="str">
        <f>VLOOKUP($E717,Customer_Dim!$A$2:$F$501,6,FALSE)</f>
        <v>Silver</v>
      </c>
      <c r="P717" t="str">
        <f>VLOOKUP($A717,Store_Dim!$A$2:$F$21,3,FALSE)</f>
        <v>NorthEast Jenniferstad</v>
      </c>
    </row>
    <row r="718" spans="1:16" x14ac:dyDescent="0.25">
      <c r="A718" t="s">
        <v>829</v>
      </c>
      <c r="B718" t="s">
        <v>2359</v>
      </c>
      <c r="C718" t="s">
        <v>694</v>
      </c>
      <c r="D718" s="2">
        <v>45235</v>
      </c>
      <c r="E718" t="s">
        <v>513</v>
      </c>
      <c r="F718" t="str">
        <f>VLOOKUP($C718,Product_Dim!$A$2:$D$101,3,FALSE)</f>
        <v>Cline-Mccarthy</v>
      </c>
      <c r="G718" t="str">
        <f>VLOOKUP($C718,Product_Dim!$A$2:$D$101,2,FALSE)</f>
        <v>Beauty</v>
      </c>
      <c r="H718">
        <v>1</v>
      </c>
      <c r="I718">
        <v>935.66</v>
      </c>
      <c r="J718">
        <v>0.26</v>
      </c>
      <c r="K718" s="3">
        <v>692.38839999999993</v>
      </c>
      <c r="L718" t="s">
        <v>854</v>
      </c>
      <c r="M718" t="str">
        <f>VLOOKUP($E718,Customer_Dim!$A$2:$F$501,3,FALSE)</f>
        <v>Male</v>
      </c>
      <c r="N718" t="str">
        <f>VLOOKUP($E718,Customer_Dim!$A$2:$F$501,5,FALSE)</f>
        <v>USA</v>
      </c>
      <c r="O718" t="str">
        <f>VLOOKUP($E718,Customer_Dim!$A$2:$F$501,6,FALSE)</f>
        <v>Silver</v>
      </c>
      <c r="P718" t="str">
        <f>VLOOKUP($A718,Store_Dim!$A$2:$F$21,3,FALSE)</f>
        <v>NorthEast Jenniferstad</v>
      </c>
    </row>
    <row r="719" spans="1:16" x14ac:dyDescent="0.25">
      <c r="A719" t="s">
        <v>829</v>
      </c>
      <c r="B719" t="s">
        <v>2599</v>
      </c>
      <c r="C719" t="s">
        <v>696</v>
      </c>
      <c r="D719" s="2">
        <v>45863</v>
      </c>
      <c r="E719" t="s">
        <v>355</v>
      </c>
      <c r="F719" t="str">
        <f>VLOOKUP($C719,Product_Dim!$A$2:$D$101,3,FALSE)</f>
        <v>Gibson, Green and Lopez</v>
      </c>
      <c r="G719" t="str">
        <f>VLOOKUP($C719,Product_Dim!$A$2:$D$101,2,FALSE)</f>
        <v>Beauty</v>
      </c>
      <c r="H719">
        <v>1</v>
      </c>
      <c r="I719">
        <v>145.96</v>
      </c>
      <c r="J719">
        <v>0.3</v>
      </c>
      <c r="K719" s="3">
        <v>102.172</v>
      </c>
      <c r="L719" t="s">
        <v>852</v>
      </c>
      <c r="M719" t="str">
        <f>VLOOKUP($E719,Customer_Dim!$A$2:$F$501,3,FALSE)</f>
        <v>Male</v>
      </c>
      <c r="N719" t="str">
        <f>VLOOKUP($E719,Customer_Dim!$A$2:$F$501,5,FALSE)</f>
        <v>USA</v>
      </c>
      <c r="O719" t="str">
        <f>VLOOKUP($E719,Customer_Dim!$A$2:$F$501,6,FALSE)</f>
        <v>Gold</v>
      </c>
      <c r="P719" t="str">
        <f>VLOOKUP($A719,Store_Dim!$A$2:$F$21,3,FALSE)</f>
        <v>NorthEast Jenniferstad</v>
      </c>
    </row>
    <row r="720" spans="1:16" hidden="1" x14ac:dyDescent="0.25">
      <c r="A720" t="s">
        <v>829</v>
      </c>
      <c r="B720" t="s">
        <v>2727</v>
      </c>
      <c r="C720" t="s">
        <v>698</v>
      </c>
      <c r="D720" s="2">
        <v>45886</v>
      </c>
      <c r="E720" t="s">
        <v>76</v>
      </c>
      <c r="F720" t="str">
        <f>VLOOKUP($C720,Product_Dim!$A$2:$D$101,3,FALSE)</f>
        <v>Lopez LLC</v>
      </c>
      <c r="G720" t="str">
        <f>VLOOKUP($C720,Product_Dim!$A$2:$D$101,2,FALSE)</f>
        <v>Sports</v>
      </c>
      <c r="H720">
        <v>3</v>
      </c>
      <c r="I720">
        <v>259.98</v>
      </c>
      <c r="J720">
        <v>7.0000000000000007E-2</v>
      </c>
      <c r="K720" s="3">
        <v>725.3442</v>
      </c>
      <c r="L720" t="s">
        <v>857</v>
      </c>
      <c r="M720" t="str">
        <f>VLOOKUP($E720,Customer_Dim!$A$2:$F$501,3,FALSE)</f>
        <v>Female</v>
      </c>
      <c r="N720" t="str">
        <f>VLOOKUP($E720,Customer_Dim!$A$2:$F$501,5,FALSE)</f>
        <v>USA</v>
      </c>
      <c r="O720" t="str">
        <f>VLOOKUP($E720,Customer_Dim!$A$2:$F$501,6,FALSE)</f>
        <v>Gold</v>
      </c>
      <c r="P720" t="str">
        <f>VLOOKUP($A720,Store_Dim!$A$2:$F$21,3,FALSE)</f>
        <v>NorthEast Jenniferstad</v>
      </c>
    </row>
    <row r="721" spans="1:16" hidden="1" x14ac:dyDescent="0.25">
      <c r="A721" t="s">
        <v>829</v>
      </c>
      <c r="B721" t="s">
        <v>1077</v>
      </c>
      <c r="C721" t="s">
        <v>698</v>
      </c>
      <c r="D721" s="2">
        <v>45361</v>
      </c>
      <c r="E721" t="s">
        <v>562</v>
      </c>
      <c r="F721" t="str">
        <f>VLOOKUP($C721,Product_Dim!$A$2:$D$101,3,FALSE)</f>
        <v>Lopez LLC</v>
      </c>
      <c r="G721" t="str">
        <f>VLOOKUP($C721,Product_Dim!$A$2:$D$101,2,FALSE)</f>
        <v>Sports</v>
      </c>
      <c r="H721">
        <v>4</v>
      </c>
      <c r="I721">
        <v>385.5</v>
      </c>
      <c r="J721">
        <v>0.03</v>
      </c>
      <c r="K721" s="3">
        <v>1495.74</v>
      </c>
      <c r="L721" t="s">
        <v>854</v>
      </c>
      <c r="M721" t="str">
        <f>VLOOKUP($E721,Customer_Dim!$A$2:$F$501,3,FALSE)</f>
        <v>Female</v>
      </c>
      <c r="N721" t="str">
        <f>VLOOKUP($E721,Customer_Dim!$A$2:$F$501,5,FALSE)</f>
        <v>USA</v>
      </c>
      <c r="O721" t="str">
        <f>VLOOKUP($E721,Customer_Dim!$A$2:$F$501,6,FALSE)</f>
        <v>Bronze</v>
      </c>
      <c r="P721" t="str">
        <f>VLOOKUP($A721,Store_Dim!$A$2:$F$21,3,FALSE)</f>
        <v>NorthEast Jenniferstad</v>
      </c>
    </row>
    <row r="722" spans="1:16" x14ac:dyDescent="0.25">
      <c r="A722" t="s">
        <v>829</v>
      </c>
      <c r="B722" t="s">
        <v>2614</v>
      </c>
      <c r="C722" t="s">
        <v>700</v>
      </c>
      <c r="D722" s="2">
        <v>45402</v>
      </c>
      <c r="E722" t="s">
        <v>220</v>
      </c>
      <c r="F722" t="str">
        <f>VLOOKUP($C722,Product_Dim!$A$2:$D$101,3,FALSE)</f>
        <v>Murray, Gould and Ware</v>
      </c>
      <c r="G722" t="str">
        <f>VLOOKUP($C722,Product_Dim!$A$2:$D$101,2,FALSE)</f>
        <v>Electronics</v>
      </c>
      <c r="H722">
        <v>3</v>
      </c>
      <c r="I722">
        <v>252.63</v>
      </c>
      <c r="J722">
        <v>0.28000000000000003</v>
      </c>
      <c r="K722" s="3">
        <v>545.68079999999998</v>
      </c>
      <c r="L722" t="s">
        <v>852</v>
      </c>
      <c r="M722" t="str">
        <f>VLOOKUP($E722,Customer_Dim!$A$2:$F$501,3,FALSE)</f>
        <v>Male</v>
      </c>
      <c r="N722" t="str">
        <f>VLOOKUP($E722,Customer_Dim!$A$2:$F$501,5,FALSE)</f>
        <v>USA</v>
      </c>
      <c r="O722" t="str">
        <f>VLOOKUP($E722,Customer_Dim!$A$2:$F$501,6,FALSE)</f>
        <v>Bronze</v>
      </c>
      <c r="P722" t="str">
        <f>VLOOKUP($A722,Store_Dim!$A$2:$F$21,3,FALSE)</f>
        <v>NorthEast Jenniferstad</v>
      </c>
    </row>
    <row r="723" spans="1:16" hidden="1" x14ac:dyDescent="0.25">
      <c r="A723" t="s">
        <v>829</v>
      </c>
      <c r="B723" t="s">
        <v>1792</v>
      </c>
      <c r="C723" t="s">
        <v>700</v>
      </c>
      <c r="D723" s="2">
        <v>45595</v>
      </c>
      <c r="E723" t="s">
        <v>559</v>
      </c>
      <c r="F723" t="str">
        <f>VLOOKUP($C723,Product_Dim!$A$2:$D$101,3,FALSE)</f>
        <v>Murray, Gould and Ware</v>
      </c>
      <c r="G723" t="str">
        <f>VLOOKUP($C723,Product_Dim!$A$2:$D$101,2,FALSE)</f>
        <v>Electronics</v>
      </c>
      <c r="H723">
        <v>3</v>
      </c>
      <c r="I723">
        <v>920.82</v>
      </c>
      <c r="J723">
        <v>0.1</v>
      </c>
      <c r="K723" s="3">
        <v>2486.2139999999999</v>
      </c>
      <c r="L723" t="s">
        <v>854</v>
      </c>
      <c r="M723" t="str">
        <f>VLOOKUP($E723,Customer_Dim!$A$2:$F$501,3,FALSE)</f>
        <v>Female</v>
      </c>
      <c r="N723" t="str">
        <f>VLOOKUP($E723,Customer_Dim!$A$2:$F$501,5,FALSE)</f>
        <v>USA</v>
      </c>
      <c r="O723" t="str">
        <f>VLOOKUP($E723,Customer_Dim!$A$2:$F$501,6,FALSE)</f>
        <v>Platinum</v>
      </c>
      <c r="P723" t="str">
        <f>VLOOKUP($A723,Store_Dim!$A$2:$F$21,3,FALSE)</f>
        <v>NorthEast Jenniferstad</v>
      </c>
    </row>
    <row r="724" spans="1:16" hidden="1" x14ac:dyDescent="0.25">
      <c r="A724" t="s">
        <v>829</v>
      </c>
      <c r="B724" t="s">
        <v>2604</v>
      </c>
      <c r="C724" t="s">
        <v>704</v>
      </c>
      <c r="D724" s="2">
        <v>45502</v>
      </c>
      <c r="E724" t="s">
        <v>43</v>
      </c>
      <c r="F724" t="str">
        <f>VLOOKUP($C724,Product_Dim!$A$2:$D$101,3,FALSE)</f>
        <v>Zhang Inc</v>
      </c>
      <c r="G724" t="str">
        <f>VLOOKUP($C724,Product_Dim!$A$2:$D$101,2,FALSE)</f>
        <v>Beauty</v>
      </c>
      <c r="H724">
        <v>3</v>
      </c>
      <c r="I724">
        <v>543.44000000000005</v>
      </c>
      <c r="J724">
        <v>0.13</v>
      </c>
      <c r="K724" s="3">
        <v>1418.3784000000001</v>
      </c>
      <c r="L724" t="s">
        <v>854</v>
      </c>
      <c r="M724" t="str">
        <f>VLOOKUP($E724,Customer_Dim!$A$2:$F$501,3,FALSE)</f>
        <v>Female</v>
      </c>
      <c r="N724" t="str">
        <f>VLOOKUP($E724,Customer_Dim!$A$2:$F$501,5,FALSE)</f>
        <v>USA</v>
      </c>
      <c r="O724" t="str">
        <f>VLOOKUP($E724,Customer_Dim!$A$2:$F$501,6,FALSE)</f>
        <v>Platinum</v>
      </c>
      <c r="P724" t="str">
        <f>VLOOKUP($A724,Store_Dim!$A$2:$F$21,3,FALSE)</f>
        <v>NorthEast Jenniferstad</v>
      </c>
    </row>
    <row r="725" spans="1:16" x14ac:dyDescent="0.25">
      <c r="A725" t="s">
        <v>829</v>
      </c>
      <c r="B725" t="s">
        <v>2740</v>
      </c>
      <c r="C725" t="s">
        <v>704</v>
      </c>
      <c r="D725" s="2">
        <v>45617</v>
      </c>
      <c r="E725" t="s">
        <v>448</v>
      </c>
      <c r="F725" t="str">
        <f>VLOOKUP($C725,Product_Dim!$A$2:$D$101,3,FALSE)</f>
        <v>Zhang Inc</v>
      </c>
      <c r="G725" t="str">
        <f>VLOOKUP($C725,Product_Dim!$A$2:$D$101,2,FALSE)</f>
        <v>Beauty</v>
      </c>
      <c r="H725">
        <v>2</v>
      </c>
      <c r="I725">
        <v>558.9</v>
      </c>
      <c r="J725">
        <v>0.05</v>
      </c>
      <c r="K725" s="3">
        <v>1061.9100000000001</v>
      </c>
      <c r="L725" t="s">
        <v>857</v>
      </c>
      <c r="M725" t="str">
        <f>VLOOKUP($E725,Customer_Dim!$A$2:$F$501,3,FALSE)</f>
        <v>Male</v>
      </c>
      <c r="N725" t="str">
        <f>VLOOKUP($E725,Customer_Dim!$A$2:$F$501,5,FALSE)</f>
        <v>USA</v>
      </c>
      <c r="O725" t="str">
        <f>VLOOKUP($E725,Customer_Dim!$A$2:$F$501,6,FALSE)</f>
        <v>Silver</v>
      </c>
      <c r="P725" t="str">
        <f>VLOOKUP($A725,Store_Dim!$A$2:$F$21,3,FALSE)</f>
        <v>NorthEast Jenniferstad</v>
      </c>
    </row>
    <row r="726" spans="1:16" hidden="1" x14ac:dyDescent="0.25">
      <c r="A726" t="s">
        <v>829</v>
      </c>
      <c r="B726" t="s">
        <v>2355</v>
      </c>
      <c r="C726" t="s">
        <v>706</v>
      </c>
      <c r="D726" s="2">
        <v>45586</v>
      </c>
      <c r="E726" t="s">
        <v>468</v>
      </c>
      <c r="F726" t="str">
        <f>VLOOKUP($C726,Product_Dim!$A$2:$D$101,3,FALSE)</f>
        <v>Montgomery, Benton and Miller</v>
      </c>
      <c r="G726" t="str">
        <f>VLOOKUP($C726,Product_Dim!$A$2:$D$101,2,FALSE)</f>
        <v>Sports</v>
      </c>
      <c r="H726">
        <v>1</v>
      </c>
      <c r="I726">
        <v>524</v>
      </c>
      <c r="J726">
        <v>0.28000000000000003</v>
      </c>
      <c r="K726" s="3">
        <v>377.28</v>
      </c>
      <c r="L726" t="s">
        <v>852</v>
      </c>
      <c r="M726" t="str">
        <f>VLOOKUP($E726,Customer_Dim!$A$2:$F$501,3,FALSE)</f>
        <v>Female</v>
      </c>
      <c r="N726" t="str">
        <f>VLOOKUP($E726,Customer_Dim!$A$2:$F$501,5,FALSE)</f>
        <v>USA</v>
      </c>
      <c r="O726" t="str">
        <f>VLOOKUP($E726,Customer_Dim!$A$2:$F$501,6,FALSE)</f>
        <v>Platinum</v>
      </c>
      <c r="P726" t="str">
        <f>VLOOKUP($A726,Store_Dim!$A$2:$F$21,3,FALSE)</f>
        <v>NorthEast Jenniferstad</v>
      </c>
    </row>
    <row r="727" spans="1:16" hidden="1" x14ac:dyDescent="0.25">
      <c r="A727" t="s">
        <v>829</v>
      </c>
      <c r="B727" t="s">
        <v>931</v>
      </c>
      <c r="C727" t="s">
        <v>710</v>
      </c>
      <c r="D727" s="2">
        <v>45800</v>
      </c>
      <c r="E727" t="s">
        <v>28</v>
      </c>
      <c r="F727" t="str">
        <f>VLOOKUP($C727,Product_Dim!$A$2:$D$101,3,FALSE)</f>
        <v>Flores-Davis</v>
      </c>
      <c r="G727" t="str">
        <f>VLOOKUP($C727,Product_Dim!$A$2:$D$101,2,FALSE)</f>
        <v>Electronics</v>
      </c>
      <c r="H727">
        <v>1</v>
      </c>
      <c r="I727">
        <v>687.82</v>
      </c>
      <c r="J727">
        <v>0.27</v>
      </c>
      <c r="K727" s="3">
        <v>502.10860000000002</v>
      </c>
      <c r="L727" t="s">
        <v>857</v>
      </c>
      <c r="M727" t="str">
        <f>VLOOKUP($E727,Customer_Dim!$A$2:$F$501,3,FALSE)</f>
        <v>Female</v>
      </c>
      <c r="N727" t="str">
        <f>VLOOKUP($E727,Customer_Dim!$A$2:$F$501,5,FALSE)</f>
        <v>USA</v>
      </c>
      <c r="O727" t="str">
        <f>VLOOKUP($E727,Customer_Dim!$A$2:$F$501,6,FALSE)</f>
        <v>Bronze</v>
      </c>
      <c r="P727" t="str">
        <f>VLOOKUP($A727,Store_Dim!$A$2:$F$21,3,FALSE)</f>
        <v>NorthEast Jenniferstad</v>
      </c>
    </row>
    <row r="728" spans="1:16" hidden="1" x14ac:dyDescent="0.25">
      <c r="A728" t="s">
        <v>829</v>
      </c>
      <c r="B728" t="s">
        <v>2087</v>
      </c>
      <c r="C728" t="s">
        <v>588</v>
      </c>
      <c r="D728" s="2">
        <v>45869</v>
      </c>
      <c r="E728" t="s">
        <v>344</v>
      </c>
      <c r="F728" t="str">
        <f>VLOOKUP($C728,Product_Dim!$A$2:$D$101,3,FALSE)</f>
        <v>Harrell LLC</v>
      </c>
      <c r="G728" t="str">
        <f>VLOOKUP($C728,Product_Dim!$A$2:$D$101,2,FALSE)</f>
        <v>Home</v>
      </c>
      <c r="H728">
        <v>3</v>
      </c>
      <c r="I728">
        <v>754.02</v>
      </c>
      <c r="J728">
        <v>0.1</v>
      </c>
      <c r="K728" s="3">
        <v>2035.854</v>
      </c>
      <c r="L728" t="s">
        <v>857</v>
      </c>
      <c r="M728" t="str">
        <f>VLOOKUP($E728,Customer_Dim!$A$2:$F$501,3,FALSE)</f>
        <v>Female</v>
      </c>
      <c r="N728" t="str">
        <f>VLOOKUP($E728,Customer_Dim!$A$2:$F$501,5,FALSE)</f>
        <v>USA</v>
      </c>
      <c r="O728" t="str">
        <f>VLOOKUP($E728,Customer_Dim!$A$2:$F$501,6,FALSE)</f>
        <v>Platinum</v>
      </c>
      <c r="P728" t="str">
        <f>VLOOKUP($A728,Store_Dim!$A$2:$F$21,3,FALSE)</f>
        <v>NorthEast Jenniferstad</v>
      </c>
    </row>
    <row r="729" spans="1:16" x14ac:dyDescent="0.25">
      <c r="A729" t="s">
        <v>829</v>
      </c>
      <c r="B729" t="s">
        <v>2641</v>
      </c>
      <c r="C729" t="s">
        <v>588</v>
      </c>
      <c r="D729" s="2">
        <v>45652</v>
      </c>
      <c r="E729" t="s">
        <v>492</v>
      </c>
      <c r="F729" t="str">
        <f>VLOOKUP($C729,Product_Dim!$A$2:$D$101,3,FALSE)</f>
        <v>Harrell LLC</v>
      </c>
      <c r="G729" t="str">
        <f>VLOOKUP($C729,Product_Dim!$A$2:$D$101,2,FALSE)</f>
        <v>Home</v>
      </c>
      <c r="H729">
        <v>1</v>
      </c>
      <c r="I729">
        <v>384.57</v>
      </c>
      <c r="J729">
        <v>0.06</v>
      </c>
      <c r="K729" s="3">
        <v>361.49579999999997</v>
      </c>
      <c r="L729" t="s">
        <v>854</v>
      </c>
      <c r="M729" t="str">
        <f>VLOOKUP($E729,Customer_Dim!$A$2:$F$501,3,FALSE)</f>
        <v>Male</v>
      </c>
      <c r="N729" t="str">
        <f>VLOOKUP($E729,Customer_Dim!$A$2:$F$501,5,FALSE)</f>
        <v>USA</v>
      </c>
      <c r="O729" t="str">
        <f>VLOOKUP($E729,Customer_Dim!$A$2:$F$501,6,FALSE)</f>
        <v>Bronze</v>
      </c>
      <c r="P729" t="str">
        <f>VLOOKUP($A729,Store_Dim!$A$2:$F$21,3,FALSE)</f>
        <v>NorthEast Jenniferstad</v>
      </c>
    </row>
    <row r="730" spans="1:16" x14ac:dyDescent="0.25">
      <c r="A730" t="s">
        <v>829</v>
      </c>
      <c r="B730" t="s">
        <v>1707</v>
      </c>
      <c r="C730" t="s">
        <v>716</v>
      </c>
      <c r="D730" s="2">
        <v>45873</v>
      </c>
      <c r="E730" t="s">
        <v>474</v>
      </c>
      <c r="F730" t="str">
        <f>VLOOKUP($C730,Product_Dim!$A$2:$D$101,3,FALSE)</f>
        <v>Duran Group</v>
      </c>
      <c r="G730" t="str">
        <f>VLOOKUP($C730,Product_Dim!$A$2:$D$101,2,FALSE)</f>
        <v>Home</v>
      </c>
      <c r="H730">
        <v>3</v>
      </c>
      <c r="I730">
        <v>360.18</v>
      </c>
      <c r="J730">
        <v>0.03</v>
      </c>
      <c r="K730" s="3">
        <v>1048.1238000000001</v>
      </c>
      <c r="L730" t="s">
        <v>852</v>
      </c>
      <c r="M730" t="str">
        <f>VLOOKUP($E730,Customer_Dim!$A$2:$F$501,3,FALSE)</f>
        <v>Male</v>
      </c>
      <c r="N730" t="str">
        <f>VLOOKUP($E730,Customer_Dim!$A$2:$F$501,5,FALSE)</f>
        <v>USA</v>
      </c>
      <c r="O730" t="str">
        <f>VLOOKUP($E730,Customer_Dim!$A$2:$F$501,6,FALSE)</f>
        <v>Gold</v>
      </c>
      <c r="P730" t="str">
        <f>VLOOKUP($A730,Store_Dim!$A$2:$F$21,3,FALSE)</f>
        <v>NorthEast Jenniferstad</v>
      </c>
    </row>
    <row r="731" spans="1:16" x14ac:dyDescent="0.25">
      <c r="A731" t="s">
        <v>829</v>
      </c>
      <c r="B731" t="s">
        <v>2169</v>
      </c>
      <c r="C731" t="s">
        <v>718</v>
      </c>
      <c r="D731" s="2">
        <v>45234</v>
      </c>
      <c r="E731" t="s">
        <v>476</v>
      </c>
      <c r="F731" t="str">
        <f>VLOOKUP($C731,Product_Dim!$A$2:$D$101,3,FALSE)</f>
        <v>Hopkins Ltd</v>
      </c>
      <c r="G731" t="str">
        <f>VLOOKUP($C731,Product_Dim!$A$2:$D$101,2,FALSE)</f>
        <v>Beauty</v>
      </c>
      <c r="H731">
        <v>2</v>
      </c>
      <c r="I731">
        <v>985</v>
      </c>
      <c r="J731">
        <v>0.25</v>
      </c>
      <c r="K731" s="3">
        <v>1477.5</v>
      </c>
      <c r="L731" t="s">
        <v>852</v>
      </c>
      <c r="M731" t="str">
        <f>VLOOKUP($E731,Customer_Dim!$A$2:$F$501,3,FALSE)</f>
        <v>Male</v>
      </c>
      <c r="N731" t="str">
        <f>VLOOKUP($E731,Customer_Dim!$A$2:$F$501,5,FALSE)</f>
        <v>USA</v>
      </c>
      <c r="O731" t="str">
        <f>VLOOKUP($E731,Customer_Dim!$A$2:$F$501,6,FALSE)</f>
        <v>Gold</v>
      </c>
      <c r="P731" t="str">
        <f>VLOOKUP($A731,Store_Dim!$A$2:$F$21,3,FALSE)</f>
        <v>NorthEast Jenniferstad</v>
      </c>
    </row>
    <row r="732" spans="1:16" hidden="1" x14ac:dyDescent="0.25">
      <c r="A732" t="s">
        <v>829</v>
      </c>
      <c r="B732" t="s">
        <v>2685</v>
      </c>
      <c r="C732" t="s">
        <v>724</v>
      </c>
      <c r="D732" s="2">
        <v>45704</v>
      </c>
      <c r="E732" t="s">
        <v>18</v>
      </c>
      <c r="F732" t="str">
        <f>VLOOKUP($C732,Product_Dim!$A$2:$D$101,3,FALSE)</f>
        <v>Bruce-Bowen</v>
      </c>
      <c r="G732" t="str">
        <f>VLOOKUP($C732,Product_Dim!$A$2:$D$101,2,FALSE)</f>
        <v>Electronics</v>
      </c>
      <c r="H732">
        <v>2</v>
      </c>
      <c r="I732">
        <v>25.3</v>
      </c>
      <c r="J732">
        <v>0.21</v>
      </c>
      <c r="K732" s="3">
        <v>39.973999999999997</v>
      </c>
      <c r="L732" t="s">
        <v>852</v>
      </c>
      <c r="M732" t="str">
        <f>VLOOKUP($E732,Customer_Dim!$A$2:$F$501,3,FALSE)</f>
        <v>Female</v>
      </c>
      <c r="N732" t="str">
        <f>VLOOKUP($E732,Customer_Dim!$A$2:$F$501,5,FALSE)</f>
        <v>USA</v>
      </c>
      <c r="O732" t="str">
        <f>VLOOKUP($E732,Customer_Dim!$A$2:$F$501,6,FALSE)</f>
        <v>Bronze</v>
      </c>
      <c r="P732" t="str">
        <f>VLOOKUP($A732,Store_Dim!$A$2:$F$21,3,FALSE)</f>
        <v>NorthEast Jenniferstad</v>
      </c>
    </row>
    <row r="733" spans="1:16" hidden="1" x14ac:dyDescent="0.25">
      <c r="A733" t="s">
        <v>829</v>
      </c>
      <c r="B733" t="s">
        <v>2752</v>
      </c>
      <c r="C733" t="s">
        <v>724</v>
      </c>
      <c r="D733" s="2">
        <v>45344</v>
      </c>
      <c r="E733" t="s">
        <v>528</v>
      </c>
      <c r="F733" t="str">
        <f>VLOOKUP($C733,Product_Dim!$A$2:$D$101,3,FALSE)</f>
        <v>Bruce-Bowen</v>
      </c>
      <c r="G733" t="str">
        <f>VLOOKUP($C733,Product_Dim!$A$2:$D$101,2,FALSE)</f>
        <v>Electronics</v>
      </c>
      <c r="H733">
        <v>4</v>
      </c>
      <c r="I733">
        <v>592.14</v>
      </c>
      <c r="J733">
        <v>0.12</v>
      </c>
      <c r="K733" s="3">
        <v>2084.3328000000001</v>
      </c>
      <c r="L733" t="s">
        <v>857</v>
      </c>
      <c r="M733" t="str">
        <f>VLOOKUP($E733,Customer_Dim!$A$2:$F$501,3,FALSE)</f>
        <v>Female</v>
      </c>
      <c r="N733" t="str">
        <f>VLOOKUP($E733,Customer_Dim!$A$2:$F$501,5,FALSE)</f>
        <v>USA</v>
      </c>
      <c r="O733" t="str">
        <f>VLOOKUP($E733,Customer_Dim!$A$2:$F$501,6,FALSE)</f>
        <v>Silver</v>
      </c>
      <c r="P733" t="str">
        <f>VLOOKUP($A733,Store_Dim!$A$2:$F$21,3,FALSE)</f>
        <v>NorthEast Jenniferstad</v>
      </c>
    </row>
    <row r="734" spans="1:16" hidden="1" x14ac:dyDescent="0.25">
      <c r="A734" t="s">
        <v>829</v>
      </c>
      <c r="B734" t="s">
        <v>1632</v>
      </c>
      <c r="C734" t="s">
        <v>732</v>
      </c>
      <c r="D734" s="2">
        <v>45451</v>
      </c>
      <c r="E734" t="s">
        <v>77</v>
      </c>
      <c r="F734" t="str">
        <f>VLOOKUP($C734,Product_Dim!$A$2:$D$101,3,FALSE)</f>
        <v>Hernandez Inc</v>
      </c>
      <c r="G734" t="str">
        <f>VLOOKUP($C734,Product_Dim!$A$2:$D$101,2,FALSE)</f>
        <v>Home</v>
      </c>
      <c r="H734">
        <v>3</v>
      </c>
      <c r="I734">
        <v>442.36</v>
      </c>
      <c r="J734">
        <v>0.06</v>
      </c>
      <c r="K734" s="3">
        <v>1247.4552000000001</v>
      </c>
      <c r="L734" t="s">
        <v>854</v>
      </c>
      <c r="M734" t="str">
        <f>VLOOKUP($E734,Customer_Dim!$A$2:$F$501,3,FALSE)</f>
        <v>Female</v>
      </c>
      <c r="N734" t="str">
        <f>VLOOKUP($E734,Customer_Dim!$A$2:$F$501,5,FALSE)</f>
        <v>USA</v>
      </c>
      <c r="O734" t="str">
        <f>VLOOKUP($E734,Customer_Dim!$A$2:$F$501,6,FALSE)</f>
        <v>UNKNOWN</v>
      </c>
      <c r="P734" t="str">
        <f>VLOOKUP($A734,Store_Dim!$A$2:$F$21,3,FALSE)</f>
        <v>NorthEast Jenniferstad</v>
      </c>
    </row>
    <row r="735" spans="1:16" hidden="1" x14ac:dyDescent="0.25">
      <c r="A735" t="s">
        <v>829</v>
      </c>
      <c r="B735" t="s">
        <v>2676</v>
      </c>
      <c r="C735" t="s">
        <v>590</v>
      </c>
      <c r="D735" s="2">
        <v>45310</v>
      </c>
      <c r="E735" t="s">
        <v>201</v>
      </c>
      <c r="F735" t="str">
        <f>VLOOKUP($C735,Product_Dim!$A$2:$D$101,3,FALSE)</f>
        <v>Perez-Johnston</v>
      </c>
      <c r="G735" t="str">
        <f>VLOOKUP($C735,Product_Dim!$A$2:$D$101,2,FALSE)</f>
        <v>Electronics</v>
      </c>
      <c r="H735">
        <v>1</v>
      </c>
      <c r="I735">
        <v>43.58</v>
      </c>
      <c r="J735">
        <v>0.01</v>
      </c>
      <c r="K735" s="3">
        <v>43.144199999999998</v>
      </c>
      <c r="L735" t="s">
        <v>857</v>
      </c>
      <c r="M735" t="str">
        <f>VLOOKUP($E735,Customer_Dim!$A$2:$F$501,3,FALSE)</f>
        <v>Female</v>
      </c>
      <c r="N735" t="str">
        <f>VLOOKUP($E735,Customer_Dim!$A$2:$F$501,5,FALSE)</f>
        <v>USA</v>
      </c>
      <c r="O735" t="str">
        <f>VLOOKUP($E735,Customer_Dim!$A$2:$F$501,6,FALSE)</f>
        <v>Platinum</v>
      </c>
      <c r="P735" t="str">
        <f>VLOOKUP($A735,Store_Dim!$A$2:$F$21,3,FALSE)</f>
        <v>NorthEast Jenniferstad</v>
      </c>
    </row>
    <row r="736" spans="1:16" x14ac:dyDescent="0.25">
      <c r="A736" t="s">
        <v>829</v>
      </c>
      <c r="B736" t="s">
        <v>2084</v>
      </c>
      <c r="C736" t="s">
        <v>736</v>
      </c>
      <c r="D736" s="2">
        <v>45572</v>
      </c>
      <c r="E736" t="s">
        <v>48</v>
      </c>
      <c r="F736" t="str">
        <f>VLOOKUP($C736,Product_Dim!$A$2:$D$101,3,FALSE)</f>
        <v>Allison Ltd</v>
      </c>
      <c r="G736" t="str">
        <f>VLOOKUP($C736,Product_Dim!$A$2:$D$101,2,FALSE)</f>
        <v>Home</v>
      </c>
      <c r="H736">
        <v>2</v>
      </c>
      <c r="I736">
        <v>949.3</v>
      </c>
      <c r="J736">
        <v>0.08</v>
      </c>
      <c r="K736" s="3">
        <v>1746.712</v>
      </c>
      <c r="L736" t="s">
        <v>857</v>
      </c>
      <c r="M736" t="str">
        <f>VLOOKUP($E736,Customer_Dim!$A$2:$F$501,3,FALSE)</f>
        <v>Male</v>
      </c>
      <c r="N736" t="str">
        <f>VLOOKUP($E736,Customer_Dim!$A$2:$F$501,5,FALSE)</f>
        <v>USA</v>
      </c>
      <c r="O736" t="str">
        <f>VLOOKUP($E736,Customer_Dim!$A$2:$F$501,6,FALSE)</f>
        <v>UNKNOWN</v>
      </c>
      <c r="P736" t="str">
        <f>VLOOKUP($A736,Store_Dim!$A$2:$F$21,3,FALSE)</f>
        <v>NorthEast Jenniferstad</v>
      </c>
    </row>
    <row r="737" spans="1:16" hidden="1" x14ac:dyDescent="0.25">
      <c r="A737" t="s">
        <v>829</v>
      </c>
      <c r="B737" t="s">
        <v>2254</v>
      </c>
      <c r="C737" t="s">
        <v>736</v>
      </c>
      <c r="D737" s="2">
        <v>45649</v>
      </c>
      <c r="E737" t="s">
        <v>529</v>
      </c>
      <c r="F737" t="str">
        <f>VLOOKUP($C737,Product_Dim!$A$2:$D$101,3,FALSE)</f>
        <v>Allison Ltd</v>
      </c>
      <c r="G737" t="str">
        <f>VLOOKUP($C737,Product_Dim!$A$2:$D$101,2,FALSE)</f>
        <v>Home</v>
      </c>
      <c r="H737">
        <v>4</v>
      </c>
      <c r="I737">
        <v>643.96</v>
      </c>
      <c r="J737">
        <v>0.16</v>
      </c>
      <c r="K737" s="3">
        <v>2163.7055999999998</v>
      </c>
      <c r="L737" t="s">
        <v>854</v>
      </c>
      <c r="M737" t="str">
        <f>VLOOKUP($E737,Customer_Dim!$A$2:$F$501,3,FALSE)</f>
        <v>Female</v>
      </c>
      <c r="N737" t="str">
        <f>VLOOKUP($E737,Customer_Dim!$A$2:$F$501,5,FALSE)</f>
        <v>USA</v>
      </c>
      <c r="O737" t="str">
        <f>VLOOKUP($E737,Customer_Dim!$A$2:$F$501,6,FALSE)</f>
        <v>Silver</v>
      </c>
      <c r="P737" t="str">
        <f>VLOOKUP($A737,Store_Dim!$A$2:$F$21,3,FALSE)</f>
        <v>NorthEast Jenniferstad</v>
      </c>
    </row>
    <row r="738" spans="1:16" hidden="1" x14ac:dyDescent="0.25">
      <c r="A738" t="s">
        <v>829</v>
      </c>
      <c r="B738" t="s">
        <v>2361</v>
      </c>
      <c r="C738" t="s">
        <v>738</v>
      </c>
      <c r="D738" s="2">
        <v>45681</v>
      </c>
      <c r="E738" t="s">
        <v>436</v>
      </c>
      <c r="F738" t="str">
        <f>VLOOKUP($C738,Product_Dim!$A$2:$D$101,3,FALSE)</f>
        <v>Robinson-Brown</v>
      </c>
      <c r="G738" t="str">
        <f>VLOOKUP($C738,Product_Dim!$A$2:$D$101,2,FALSE)</f>
        <v>Sports</v>
      </c>
      <c r="H738">
        <v>2</v>
      </c>
      <c r="I738">
        <v>457.83</v>
      </c>
      <c r="J738">
        <v>0.01</v>
      </c>
      <c r="K738" s="3">
        <v>906.50339999999994</v>
      </c>
      <c r="L738" t="s">
        <v>857</v>
      </c>
      <c r="M738" t="str">
        <f>VLOOKUP($E738,Customer_Dim!$A$2:$F$501,3,FALSE)</f>
        <v>Female</v>
      </c>
      <c r="N738" t="str">
        <f>VLOOKUP($E738,Customer_Dim!$A$2:$F$501,5,FALSE)</f>
        <v>USA</v>
      </c>
      <c r="O738" t="str">
        <f>VLOOKUP($E738,Customer_Dim!$A$2:$F$501,6,FALSE)</f>
        <v>Platinum</v>
      </c>
      <c r="P738" t="str">
        <f>VLOOKUP($A738,Store_Dim!$A$2:$F$21,3,FALSE)</f>
        <v>NorthEast Jenniferstad</v>
      </c>
    </row>
    <row r="739" spans="1:16" x14ac:dyDescent="0.25">
      <c r="A739" t="s">
        <v>829</v>
      </c>
      <c r="B739" t="s">
        <v>1575</v>
      </c>
      <c r="C739" t="s">
        <v>742</v>
      </c>
      <c r="D739" s="2">
        <v>45384</v>
      </c>
      <c r="E739" t="s">
        <v>241</v>
      </c>
      <c r="F739" t="str">
        <f>VLOOKUP($C739,Product_Dim!$A$2:$D$101,3,FALSE)</f>
        <v>Butler Group</v>
      </c>
      <c r="G739" t="str">
        <f>VLOOKUP($C739,Product_Dim!$A$2:$D$101,2,FALSE)</f>
        <v>Beauty</v>
      </c>
      <c r="H739">
        <v>3</v>
      </c>
      <c r="I739">
        <v>71.23</v>
      </c>
      <c r="J739">
        <v>0.03</v>
      </c>
      <c r="K739" s="3">
        <v>207.27930000000001</v>
      </c>
      <c r="L739" t="s">
        <v>852</v>
      </c>
      <c r="M739" t="str">
        <f>VLOOKUP($E739,Customer_Dim!$A$2:$F$501,3,FALSE)</f>
        <v>Male</v>
      </c>
      <c r="N739" t="str">
        <f>VLOOKUP($E739,Customer_Dim!$A$2:$F$501,5,FALSE)</f>
        <v>USA</v>
      </c>
      <c r="O739" t="str">
        <f>VLOOKUP($E739,Customer_Dim!$A$2:$F$501,6,FALSE)</f>
        <v>Platinum</v>
      </c>
      <c r="P739" t="str">
        <f>VLOOKUP($A739,Store_Dim!$A$2:$F$21,3,FALSE)</f>
        <v>NorthEast Jenniferstad</v>
      </c>
    </row>
    <row r="740" spans="1:16" x14ac:dyDescent="0.25">
      <c r="A740" t="s">
        <v>829</v>
      </c>
      <c r="B740" t="s">
        <v>2439</v>
      </c>
      <c r="C740" t="s">
        <v>742</v>
      </c>
      <c r="D740" s="2">
        <v>45589</v>
      </c>
      <c r="E740" t="s">
        <v>389</v>
      </c>
      <c r="F740" t="str">
        <f>VLOOKUP($C740,Product_Dim!$A$2:$D$101,3,FALSE)</f>
        <v>Butler Group</v>
      </c>
      <c r="G740" t="str">
        <f>VLOOKUP($C740,Product_Dim!$A$2:$D$101,2,FALSE)</f>
        <v>Beauty</v>
      </c>
      <c r="H740">
        <v>1</v>
      </c>
      <c r="I740">
        <v>140.72</v>
      </c>
      <c r="J740">
        <v>0</v>
      </c>
      <c r="K740" s="3">
        <v>140.72</v>
      </c>
      <c r="L740" t="s">
        <v>857</v>
      </c>
      <c r="M740" t="str">
        <f>VLOOKUP($E740,Customer_Dim!$A$2:$F$501,3,FALSE)</f>
        <v>Male</v>
      </c>
      <c r="N740" t="str">
        <f>VLOOKUP($E740,Customer_Dim!$A$2:$F$501,5,FALSE)</f>
        <v>USA</v>
      </c>
      <c r="O740" t="str">
        <f>VLOOKUP($E740,Customer_Dim!$A$2:$F$501,6,FALSE)</f>
        <v>Bronze</v>
      </c>
      <c r="P740" t="str">
        <f>VLOOKUP($A740,Store_Dim!$A$2:$F$21,3,FALSE)</f>
        <v>NorthEast Jenniferstad</v>
      </c>
    </row>
    <row r="741" spans="1:16" hidden="1" x14ac:dyDescent="0.25">
      <c r="A741" t="s">
        <v>829</v>
      </c>
      <c r="B741" t="s">
        <v>2096</v>
      </c>
      <c r="C741" t="s">
        <v>742</v>
      </c>
      <c r="D741" s="2">
        <v>45692</v>
      </c>
      <c r="E741" t="s">
        <v>504</v>
      </c>
      <c r="F741" t="str">
        <f>VLOOKUP($C741,Product_Dim!$A$2:$D$101,3,FALSE)</f>
        <v>Butler Group</v>
      </c>
      <c r="G741" t="str">
        <f>VLOOKUP($C741,Product_Dim!$A$2:$D$101,2,FALSE)</f>
        <v>Beauty</v>
      </c>
      <c r="H741">
        <v>1</v>
      </c>
      <c r="I741">
        <v>860.84</v>
      </c>
      <c r="J741">
        <v>7.0000000000000007E-2</v>
      </c>
      <c r="K741" s="3">
        <v>800.58119999999997</v>
      </c>
      <c r="L741" t="s">
        <v>854</v>
      </c>
      <c r="M741" t="str">
        <f>VLOOKUP($E741,Customer_Dim!$A$2:$F$501,3,FALSE)</f>
        <v>Female</v>
      </c>
      <c r="N741" t="str">
        <f>VLOOKUP($E741,Customer_Dim!$A$2:$F$501,5,FALSE)</f>
        <v>USA</v>
      </c>
      <c r="O741" t="str">
        <f>VLOOKUP($E741,Customer_Dim!$A$2:$F$501,6,FALSE)</f>
        <v>Platinum</v>
      </c>
      <c r="P741" t="str">
        <f>VLOOKUP($A741,Store_Dim!$A$2:$F$21,3,FALSE)</f>
        <v>NorthEast Jenniferstad</v>
      </c>
    </row>
    <row r="742" spans="1:16" x14ac:dyDescent="0.25">
      <c r="A742" t="s">
        <v>829</v>
      </c>
      <c r="B742" t="s">
        <v>1949</v>
      </c>
      <c r="C742" t="s">
        <v>744</v>
      </c>
      <c r="D742" s="2">
        <v>45620</v>
      </c>
      <c r="E742" t="s">
        <v>317</v>
      </c>
      <c r="F742" t="str">
        <f>VLOOKUP($C742,Product_Dim!$A$2:$D$101,3,FALSE)</f>
        <v>Collins-Stephenson</v>
      </c>
      <c r="G742" t="str">
        <f>VLOOKUP($C742,Product_Dim!$A$2:$D$101,2,FALSE)</f>
        <v>Home</v>
      </c>
      <c r="H742">
        <v>1</v>
      </c>
      <c r="I742">
        <v>907.97</v>
      </c>
      <c r="J742">
        <v>0.26</v>
      </c>
      <c r="K742" s="3">
        <v>671.89779999999996</v>
      </c>
      <c r="L742" t="s">
        <v>857</v>
      </c>
      <c r="M742" t="str">
        <f>VLOOKUP($E742,Customer_Dim!$A$2:$F$501,3,FALSE)</f>
        <v>Male</v>
      </c>
      <c r="N742" t="str">
        <f>VLOOKUP($E742,Customer_Dim!$A$2:$F$501,5,FALSE)</f>
        <v>USA</v>
      </c>
      <c r="O742" t="str">
        <f>VLOOKUP($E742,Customer_Dim!$A$2:$F$501,6,FALSE)</f>
        <v>Silver</v>
      </c>
      <c r="P742" t="str">
        <f>VLOOKUP($A742,Store_Dim!$A$2:$F$21,3,FALSE)</f>
        <v>NorthEast Jenniferstad</v>
      </c>
    </row>
    <row r="743" spans="1:16" x14ac:dyDescent="0.25">
      <c r="A743" t="s">
        <v>829</v>
      </c>
      <c r="B743" t="s">
        <v>2181</v>
      </c>
      <c r="C743" t="s">
        <v>748</v>
      </c>
      <c r="D743" s="2">
        <v>45544</v>
      </c>
      <c r="E743" t="s">
        <v>209</v>
      </c>
      <c r="F743" t="str">
        <f>VLOOKUP($C743,Product_Dim!$A$2:$D$101,3,FALSE)</f>
        <v>Taylor, Dodson and Johnston</v>
      </c>
      <c r="G743" t="str">
        <f>VLOOKUP($C743,Product_Dim!$A$2:$D$101,2,FALSE)</f>
        <v>Home</v>
      </c>
      <c r="H743">
        <v>2</v>
      </c>
      <c r="I743">
        <v>384.92</v>
      </c>
      <c r="J743">
        <v>0.09</v>
      </c>
      <c r="K743" s="3">
        <v>700.5544000000001</v>
      </c>
      <c r="L743" t="s">
        <v>852</v>
      </c>
      <c r="M743" t="str">
        <f>VLOOKUP($E743,Customer_Dim!$A$2:$F$501,3,FALSE)</f>
        <v>Male</v>
      </c>
      <c r="N743" t="str">
        <f>VLOOKUP($E743,Customer_Dim!$A$2:$F$501,5,FALSE)</f>
        <v>USA</v>
      </c>
      <c r="O743" t="str">
        <f>VLOOKUP($E743,Customer_Dim!$A$2:$F$501,6,FALSE)</f>
        <v>Platinum</v>
      </c>
      <c r="P743" t="str">
        <f>VLOOKUP($A743,Store_Dim!$A$2:$F$21,3,FALSE)</f>
        <v>NorthEast Jenniferstad</v>
      </c>
    </row>
    <row r="744" spans="1:16" hidden="1" x14ac:dyDescent="0.25">
      <c r="A744" t="s">
        <v>829</v>
      </c>
      <c r="B744" t="s">
        <v>988</v>
      </c>
      <c r="C744" t="s">
        <v>750</v>
      </c>
      <c r="D744" s="2">
        <v>45827</v>
      </c>
      <c r="E744" t="s">
        <v>266</v>
      </c>
      <c r="F744" t="str">
        <f>VLOOKUP($C744,Product_Dim!$A$2:$D$101,3,FALSE)</f>
        <v>Aguilar, Horton and Lewis</v>
      </c>
      <c r="G744" t="str">
        <f>VLOOKUP($C744,Product_Dim!$A$2:$D$101,2,FALSE)</f>
        <v>Home</v>
      </c>
      <c r="H744">
        <v>4</v>
      </c>
      <c r="I744">
        <v>72.63</v>
      </c>
      <c r="J744">
        <v>0.06</v>
      </c>
      <c r="K744" s="3">
        <v>273.08879999999999</v>
      </c>
      <c r="L744" t="s">
        <v>854</v>
      </c>
      <c r="M744" t="str">
        <f>VLOOKUP($E744,Customer_Dim!$A$2:$F$501,3,FALSE)</f>
        <v>Female</v>
      </c>
      <c r="N744" t="str">
        <f>VLOOKUP($E744,Customer_Dim!$A$2:$F$501,5,FALSE)</f>
        <v>USA</v>
      </c>
      <c r="O744" t="str">
        <f>VLOOKUP($E744,Customer_Dim!$A$2:$F$501,6,FALSE)</f>
        <v>Bronze</v>
      </c>
      <c r="P744" t="str">
        <f>VLOOKUP($A744,Store_Dim!$A$2:$F$21,3,FALSE)</f>
        <v>NorthEast Jenniferstad</v>
      </c>
    </row>
    <row r="745" spans="1:16" hidden="1" x14ac:dyDescent="0.25">
      <c r="A745" t="s">
        <v>829</v>
      </c>
      <c r="B745" t="s">
        <v>1661</v>
      </c>
      <c r="C745" t="s">
        <v>752</v>
      </c>
      <c r="D745" s="2">
        <v>45734</v>
      </c>
      <c r="E745" t="s">
        <v>235</v>
      </c>
      <c r="F745" t="str">
        <f>VLOOKUP($C745,Product_Dim!$A$2:$D$101,3,FALSE)</f>
        <v>Olsen-Daniels</v>
      </c>
      <c r="G745" t="str">
        <f>VLOOKUP($C745,Product_Dim!$A$2:$D$101,2,FALSE)</f>
        <v>Sports</v>
      </c>
      <c r="H745">
        <v>2</v>
      </c>
      <c r="I745">
        <v>315.27</v>
      </c>
      <c r="J745">
        <v>0.23</v>
      </c>
      <c r="K745" s="3">
        <v>485.51580000000001</v>
      </c>
      <c r="L745" t="s">
        <v>852</v>
      </c>
      <c r="M745" t="str">
        <f>VLOOKUP($E745,Customer_Dim!$A$2:$F$501,3,FALSE)</f>
        <v>Female</v>
      </c>
      <c r="N745" t="str">
        <f>VLOOKUP($E745,Customer_Dim!$A$2:$F$501,5,FALSE)</f>
        <v>USA</v>
      </c>
      <c r="O745" t="str">
        <f>VLOOKUP($E745,Customer_Dim!$A$2:$F$501,6,FALSE)</f>
        <v>Platinum</v>
      </c>
      <c r="P745" t="str">
        <f>VLOOKUP($A745,Store_Dim!$A$2:$F$21,3,FALSE)</f>
        <v>NorthEast Jenniferstad</v>
      </c>
    </row>
    <row r="746" spans="1:16" x14ac:dyDescent="0.25">
      <c r="A746" t="s">
        <v>829</v>
      </c>
      <c r="B746" t="s">
        <v>1466</v>
      </c>
      <c r="C746" t="s">
        <v>752</v>
      </c>
      <c r="D746" s="2">
        <v>45598</v>
      </c>
      <c r="E746" t="s">
        <v>548</v>
      </c>
      <c r="F746" t="str">
        <f>VLOOKUP($C746,Product_Dim!$A$2:$D$101,3,FALSE)</f>
        <v>Olsen-Daniels</v>
      </c>
      <c r="G746" t="str">
        <f>VLOOKUP($C746,Product_Dim!$A$2:$D$101,2,FALSE)</f>
        <v>Sports</v>
      </c>
      <c r="H746">
        <v>3</v>
      </c>
      <c r="I746">
        <v>920.61</v>
      </c>
      <c r="J746">
        <v>0.04</v>
      </c>
      <c r="K746" s="3">
        <v>2651.3568</v>
      </c>
      <c r="L746" t="s">
        <v>852</v>
      </c>
      <c r="M746" t="str">
        <f>VLOOKUP($E746,Customer_Dim!$A$2:$F$501,3,FALSE)</f>
        <v>Male</v>
      </c>
      <c r="N746" t="str">
        <f>VLOOKUP($E746,Customer_Dim!$A$2:$F$501,5,FALSE)</f>
        <v>USA</v>
      </c>
      <c r="O746" t="str">
        <f>VLOOKUP($E746,Customer_Dim!$A$2:$F$501,6,FALSE)</f>
        <v>Gold</v>
      </c>
      <c r="P746" t="str">
        <f>VLOOKUP($A746,Store_Dim!$A$2:$F$21,3,FALSE)</f>
        <v>NorthEast Jenniferstad</v>
      </c>
    </row>
    <row r="747" spans="1:16" hidden="1" x14ac:dyDescent="0.25">
      <c r="A747" t="s">
        <v>829</v>
      </c>
      <c r="B747" t="s">
        <v>2846</v>
      </c>
      <c r="C747" t="s">
        <v>754</v>
      </c>
      <c r="D747" s="2">
        <v>45493</v>
      </c>
      <c r="E747" t="s">
        <v>120</v>
      </c>
      <c r="F747" t="str">
        <f>VLOOKUP($C747,Product_Dim!$A$2:$D$101,3,FALSE)</f>
        <v>Taylor-Elliott</v>
      </c>
      <c r="G747" t="str">
        <f>VLOOKUP($C747,Product_Dim!$A$2:$D$101,2,FALSE)</f>
        <v>Beauty</v>
      </c>
      <c r="H747">
        <v>4</v>
      </c>
      <c r="I747">
        <v>569.98</v>
      </c>
      <c r="J747">
        <v>0.23</v>
      </c>
      <c r="K747" s="3">
        <v>1755.5383999999999</v>
      </c>
      <c r="L747" t="s">
        <v>852</v>
      </c>
      <c r="M747" t="str">
        <f>VLOOKUP($E747,Customer_Dim!$A$2:$F$501,3,FALSE)</f>
        <v>Female</v>
      </c>
      <c r="N747" t="str">
        <f>VLOOKUP($E747,Customer_Dim!$A$2:$F$501,5,FALSE)</f>
        <v>USA</v>
      </c>
      <c r="O747" t="str">
        <f>VLOOKUP($E747,Customer_Dim!$A$2:$F$501,6,FALSE)</f>
        <v>Silver</v>
      </c>
      <c r="P747" t="str">
        <f>VLOOKUP($A747,Store_Dim!$A$2:$F$21,3,FALSE)</f>
        <v>NorthEast Jenniferstad</v>
      </c>
    </row>
    <row r="748" spans="1:16" hidden="1" x14ac:dyDescent="0.25">
      <c r="A748" t="s">
        <v>829</v>
      </c>
      <c r="B748" t="s">
        <v>2209</v>
      </c>
      <c r="C748" t="s">
        <v>754</v>
      </c>
      <c r="D748" s="2">
        <v>45910</v>
      </c>
      <c r="E748" t="s">
        <v>137</v>
      </c>
      <c r="F748" t="str">
        <f>VLOOKUP($C748,Product_Dim!$A$2:$D$101,3,FALSE)</f>
        <v>Taylor-Elliott</v>
      </c>
      <c r="G748" t="str">
        <f>VLOOKUP($C748,Product_Dim!$A$2:$D$101,2,FALSE)</f>
        <v>Beauty</v>
      </c>
      <c r="H748">
        <v>3</v>
      </c>
      <c r="I748">
        <v>882.05</v>
      </c>
      <c r="J748">
        <v>0.06</v>
      </c>
      <c r="K748" s="3">
        <v>2487.3809999999989</v>
      </c>
      <c r="L748" t="s">
        <v>854</v>
      </c>
      <c r="M748" t="str">
        <f>VLOOKUP($E748,Customer_Dim!$A$2:$F$501,3,FALSE)</f>
        <v>Female</v>
      </c>
      <c r="N748" t="str">
        <f>VLOOKUP($E748,Customer_Dim!$A$2:$F$501,5,FALSE)</f>
        <v>USA</v>
      </c>
      <c r="O748" t="str">
        <f>VLOOKUP($E748,Customer_Dim!$A$2:$F$501,6,FALSE)</f>
        <v>Bronze</v>
      </c>
      <c r="P748" t="str">
        <f>VLOOKUP($A748,Store_Dim!$A$2:$F$21,3,FALSE)</f>
        <v>NorthEast Jenniferstad</v>
      </c>
    </row>
    <row r="749" spans="1:16" hidden="1" x14ac:dyDescent="0.25">
      <c r="A749" t="s">
        <v>829</v>
      </c>
      <c r="B749" t="s">
        <v>2331</v>
      </c>
      <c r="C749" t="s">
        <v>754</v>
      </c>
      <c r="D749" s="2">
        <v>45510</v>
      </c>
      <c r="E749" t="s">
        <v>300</v>
      </c>
      <c r="F749" t="str">
        <f>VLOOKUP($C749,Product_Dim!$A$2:$D$101,3,FALSE)</f>
        <v>Taylor-Elliott</v>
      </c>
      <c r="G749" t="str">
        <f>VLOOKUP($C749,Product_Dim!$A$2:$D$101,2,FALSE)</f>
        <v>Beauty</v>
      </c>
      <c r="H749">
        <v>4</v>
      </c>
      <c r="I749">
        <v>904.82</v>
      </c>
      <c r="J749">
        <v>0.09</v>
      </c>
      <c r="K749" s="3">
        <v>3293.5448000000001</v>
      </c>
      <c r="L749" t="s">
        <v>854</v>
      </c>
      <c r="M749" t="str">
        <f>VLOOKUP($E749,Customer_Dim!$A$2:$F$501,3,FALSE)</f>
        <v>Female</v>
      </c>
      <c r="N749" t="str">
        <f>VLOOKUP($E749,Customer_Dim!$A$2:$F$501,5,FALSE)</f>
        <v>USA</v>
      </c>
      <c r="O749" t="str">
        <f>VLOOKUP($E749,Customer_Dim!$A$2:$F$501,6,FALSE)</f>
        <v>Gold</v>
      </c>
      <c r="P749" t="str">
        <f>VLOOKUP($A749,Store_Dim!$A$2:$F$21,3,FALSE)</f>
        <v>NorthEast Jenniferstad</v>
      </c>
    </row>
    <row r="750" spans="1:16" x14ac:dyDescent="0.25">
      <c r="A750" t="s">
        <v>829</v>
      </c>
      <c r="B750" t="s">
        <v>1238</v>
      </c>
      <c r="C750" t="s">
        <v>593</v>
      </c>
      <c r="D750" s="2">
        <v>45302</v>
      </c>
      <c r="E750" t="s">
        <v>550</v>
      </c>
      <c r="F750" t="str">
        <f>VLOOKUP($C750,Product_Dim!$A$2:$D$101,3,FALSE)</f>
        <v>Hill PLC</v>
      </c>
      <c r="G750" t="str">
        <f>VLOOKUP($C750,Product_Dim!$A$2:$D$101,2,FALSE)</f>
        <v>Sports</v>
      </c>
      <c r="H750">
        <v>4</v>
      </c>
      <c r="I750">
        <v>355.14</v>
      </c>
      <c r="J750">
        <v>0.16</v>
      </c>
      <c r="K750" s="3">
        <v>1193.2704000000001</v>
      </c>
      <c r="L750" t="s">
        <v>857</v>
      </c>
      <c r="M750" t="str">
        <f>VLOOKUP($E750,Customer_Dim!$A$2:$F$501,3,FALSE)</f>
        <v>Male</v>
      </c>
      <c r="N750" t="str">
        <f>VLOOKUP($E750,Customer_Dim!$A$2:$F$501,5,FALSE)</f>
        <v>USA</v>
      </c>
      <c r="O750" t="str">
        <f>VLOOKUP($E750,Customer_Dim!$A$2:$F$501,6,FALSE)</f>
        <v>Gold</v>
      </c>
      <c r="P750" t="str">
        <f>VLOOKUP($A750,Store_Dim!$A$2:$F$21,3,FALSE)</f>
        <v>NorthEast Jenniferstad</v>
      </c>
    </row>
    <row r="751" spans="1:16" x14ac:dyDescent="0.25">
      <c r="A751" t="s">
        <v>829</v>
      </c>
      <c r="B751" t="s">
        <v>1073</v>
      </c>
      <c r="C751" t="s">
        <v>756</v>
      </c>
      <c r="D751" s="2">
        <v>45225</v>
      </c>
      <c r="E751" t="s">
        <v>268</v>
      </c>
      <c r="F751" t="str">
        <f>VLOOKUP($C751,Product_Dim!$A$2:$D$101,3,FALSE)</f>
        <v>Sharp, Taylor and Rodriguez</v>
      </c>
      <c r="G751" t="str">
        <f>VLOOKUP($C751,Product_Dim!$A$2:$D$101,2,FALSE)</f>
        <v>Electronics</v>
      </c>
      <c r="H751">
        <v>4</v>
      </c>
      <c r="I751">
        <v>75.37</v>
      </c>
      <c r="J751">
        <v>0.02</v>
      </c>
      <c r="K751" s="3">
        <v>295.4504</v>
      </c>
      <c r="L751" t="s">
        <v>857</v>
      </c>
      <c r="M751" t="str">
        <f>VLOOKUP($E751,Customer_Dim!$A$2:$F$501,3,FALSE)</f>
        <v>Male</v>
      </c>
      <c r="N751" t="str">
        <f>VLOOKUP($E751,Customer_Dim!$A$2:$F$501,5,FALSE)</f>
        <v>USA</v>
      </c>
      <c r="O751" t="str">
        <f>VLOOKUP($E751,Customer_Dim!$A$2:$F$501,6,FALSE)</f>
        <v>Platinum</v>
      </c>
      <c r="P751" t="str">
        <f>VLOOKUP($A751,Store_Dim!$A$2:$F$21,3,FALSE)</f>
        <v>NorthEast Jenniferstad</v>
      </c>
    </row>
    <row r="752" spans="1:16" x14ac:dyDescent="0.25">
      <c r="A752" t="s">
        <v>829</v>
      </c>
      <c r="B752" t="s">
        <v>2506</v>
      </c>
      <c r="C752" t="s">
        <v>762</v>
      </c>
      <c r="D752" s="2">
        <v>45532</v>
      </c>
      <c r="E752" t="s">
        <v>493</v>
      </c>
      <c r="F752" t="str">
        <f>VLOOKUP($C752,Product_Dim!$A$2:$D$101,3,FALSE)</f>
        <v>Martin LLC</v>
      </c>
      <c r="G752" t="str">
        <f>VLOOKUP($C752,Product_Dim!$A$2:$D$101,2,FALSE)</f>
        <v>Electronics</v>
      </c>
      <c r="H752">
        <v>3</v>
      </c>
      <c r="I752">
        <v>199.13</v>
      </c>
      <c r="J752">
        <v>0.24</v>
      </c>
      <c r="K752" s="3">
        <v>454.01639999999998</v>
      </c>
      <c r="L752" t="s">
        <v>852</v>
      </c>
      <c r="M752" t="str">
        <f>VLOOKUP($E752,Customer_Dim!$A$2:$F$501,3,FALSE)</f>
        <v>Male</v>
      </c>
      <c r="N752" t="str">
        <f>VLOOKUP($E752,Customer_Dim!$A$2:$F$501,5,FALSE)</f>
        <v>USA</v>
      </c>
      <c r="O752" t="str">
        <f>VLOOKUP($E752,Customer_Dim!$A$2:$F$501,6,FALSE)</f>
        <v>Platinum</v>
      </c>
      <c r="P752" t="str">
        <f>VLOOKUP($A752,Store_Dim!$A$2:$F$21,3,FALSE)</f>
        <v>NorthEast Jenniferstad</v>
      </c>
    </row>
    <row r="753" spans="1:16" hidden="1" x14ac:dyDescent="0.25">
      <c r="A753" t="s">
        <v>829</v>
      </c>
      <c r="B753" t="s">
        <v>1570</v>
      </c>
      <c r="C753" t="s">
        <v>764</v>
      </c>
      <c r="D753" s="2">
        <v>45755</v>
      </c>
      <c r="E753" t="s">
        <v>344</v>
      </c>
      <c r="F753" t="str">
        <f>VLOOKUP($C753,Product_Dim!$A$2:$D$101,3,FALSE)</f>
        <v>Hoffman-Williams</v>
      </c>
      <c r="G753" t="str">
        <f>VLOOKUP($C753,Product_Dim!$A$2:$D$101,2,FALSE)</f>
        <v>Beauty</v>
      </c>
      <c r="H753">
        <v>4</v>
      </c>
      <c r="I753">
        <v>603.52</v>
      </c>
      <c r="J753">
        <v>0.25</v>
      </c>
      <c r="K753" s="3">
        <v>1810.56</v>
      </c>
      <c r="L753" t="s">
        <v>852</v>
      </c>
      <c r="M753" t="str">
        <f>VLOOKUP($E753,Customer_Dim!$A$2:$F$501,3,FALSE)</f>
        <v>Female</v>
      </c>
      <c r="N753" t="str">
        <f>VLOOKUP($E753,Customer_Dim!$A$2:$F$501,5,FALSE)</f>
        <v>USA</v>
      </c>
      <c r="O753" t="str">
        <f>VLOOKUP($E753,Customer_Dim!$A$2:$F$501,6,FALSE)</f>
        <v>Platinum</v>
      </c>
      <c r="P753" t="str">
        <f>VLOOKUP($A753,Store_Dim!$A$2:$F$21,3,FALSE)</f>
        <v>NorthEast Jenniferstad</v>
      </c>
    </row>
    <row r="754" spans="1:16" hidden="1" x14ac:dyDescent="0.25">
      <c r="A754" t="s">
        <v>829</v>
      </c>
      <c r="B754" t="s">
        <v>2207</v>
      </c>
      <c r="C754" t="s">
        <v>764</v>
      </c>
      <c r="D754" s="2">
        <v>45894</v>
      </c>
      <c r="E754" t="s">
        <v>467</v>
      </c>
      <c r="F754" t="str">
        <f>VLOOKUP($C754,Product_Dim!$A$2:$D$101,3,FALSE)</f>
        <v>Hoffman-Williams</v>
      </c>
      <c r="G754" t="str">
        <f>VLOOKUP($C754,Product_Dim!$A$2:$D$101,2,FALSE)</f>
        <v>Beauty</v>
      </c>
      <c r="H754">
        <v>1</v>
      </c>
      <c r="I754">
        <v>509.63</v>
      </c>
      <c r="J754">
        <v>0.27</v>
      </c>
      <c r="K754" s="3">
        <v>372.0299</v>
      </c>
      <c r="L754" t="s">
        <v>857</v>
      </c>
      <c r="M754" t="str">
        <f>VLOOKUP($E754,Customer_Dim!$A$2:$F$501,3,FALSE)</f>
        <v>Female</v>
      </c>
      <c r="N754" t="str">
        <f>VLOOKUP($E754,Customer_Dim!$A$2:$F$501,5,FALSE)</f>
        <v>USA</v>
      </c>
      <c r="O754" t="str">
        <f>VLOOKUP($E754,Customer_Dim!$A$2:$F$501,6,FALSE)</f>
        <v>Platinum</v>
      </c>
      <c r="P754" t="str">
        <f>VLOOKUP($A754,Store_Dim!$A$2:$F$21,3,FALSE)</f>
        <v>NorthEast Jenniferstad</v>
      </c>
    </row>
    <row r="755" spans="1:16" x14ac:dyDescent="0.25">
      <c r="A755" t="s">
        <v>829</v>
      </c>
      <c r="B755" t="s">
        <v>1979</v>
      </c>
      <c r="C755" t="s">
        <v>766</v>
      </c>
      <c r="D755" s="2">
        <v>45307</v>
      </c>
      <c r="E755" t="s">
        <v>299</v>
      </c>
      <c r="F755" t="str">
        <f>VLOOKUP($C755,Product_Dim!$A$2:$D$101,3,FALSE)</f>
        <v>Wilson Group</v>
      </c>
      <c r="G755" t="str">
        <f>VLOOKUP($C755,Product_Dim!$A$2:$D$101,2,FALSE)</f>
        <v>Sports</v>
      </c>
      <c r="H755">
        <v>2</v>
      </c>
      <c r="I755">
        <v>463.52</v>
      </c>
      <c r="J755">
        <v>0.27</v>
      </c>
      <c r="K755" s="3">
        <v>676.73919999999998</v>
      </c>
      <c r="L755" t="s">
        <v>854</v>
      </c>
      <c r="M755" t="str">
        <f>VLOOKUP($E755,Customer_Dim!$A$2:$F$501,3,FALSE)</f>
        <v>Male</v>
      </c>
      <c r="N755" t="str">
        <f>VLOOKUP($E755,Customer_Dim!$A$2:$F$501,5,FALSE)</f>
        <v>USA</v>
      </c>
      <c r="O755" t="str">
        <f>VLOOKUP($E755,Customer_Dim!$A$2:$F$501,6,FALSE)</f>
        <v>Silver</v>
      </c>
      <c r="P755" t="str">
        <f>VLOOKUP($A755,Store_Dim!$A$2:$F$21,3,FALSE)</f>
        <v>NorthEast Jenniferstad</v>
      </c>
    </row>
    <row r="756" spans="1:16" hidden="1" x14ac:dyDescent="0.25">
      <c r="A756" t="s">
        <v>829</v>
      </c>
      <c r="B756" t="s">
        <v>2420</v>
      </c>
      <c r="C756" t="s">
        <v>766</v>
      </c>
      <c r="D756" s="2">
        <v>45374</v>
      </c>
      <c r="E756" t="s">
        <v>403</v>
      </c>
      <c r="F756" t="str">
        <f>VLOOKUP($C756,Product_Dim!$A$2:$D$101,3,FALSE)</f>
        <v>Wilson Group</v>
      </c>
      <c r="G756" t="str">
        <f>VLOOKUP($C756,Product_Dim!$A$2:$D$101,2,FALSE)</f>
        <v>Sports</v>
      </c>
      <c r="H756">
        <v>4</v>
      </c>
      <c r="I756">
        <v>284.24</v>
      </c>
      <c r="J756">
        <v>0.1</v>
      </c>
      <c r="K756" s="3">
        <v>1023.264</v>
      </c>
      <c r="L756" t="s">
        <v>852</v>
      </c>
      <c r="M756" t="str">
        <f>VLOOKUP($E756,Customer_Dim!$A$2:$F$501,3,FALSE)</f>
        <v>Female</v>
      </c>
      <c r="N756" t="str">
        <f>VLOOKUP($E756,Customer_Dim!$A$2:$F$501,5,FALSE)</f>
        <v>USA</v>
      </c>
      <c r="O756" t="str">
        <f>VLOOKUP($E756,Customer_Dim!$A$2:$F$501,6,FALSE)</f>
        <v>Silver</v>
      </c>
      <c r="P756" t="str">
        <f>VLOOKUP($A756,Store_Dim!$A$2:$F$21,3,FALSE)</f>
        <v>NorthEast Jenniferstad</v>
      </c>
    </row>
    <row r="757" spans="1:16" hidden="1" x14ac:dyDescent="0.25">
      <c r="A757" t="s">
        <v>829</v>
      </c>
      <c r="B757" t="s">
        <v>2338</v>
      </c>
      <c r="C757" t="s">
        <v>766</v>
      </c>
      <c r="D757" s="2">
        <v>45864</v>
      </c>
      <c r="E757" t="s">
        <v>552</v>
      </c>
      <c r="F757" t="str">
        <f>VLOOKUP($C757,Product_Dim!$A$2:$D$101,3,FALSE)</f>
        <v>Wilson Group</v>
      </c>
      <c r="G757" t="str">
        <f>VLOOKUP($C757,Product_Dim!$A$2:$D$101,2,FALSE)</f>
        <v>Sports</v>
      </c>
      <c r="H757">
        <v>4</v>
      </c>
      <c r="I757">
        <v>918.1</v>
      </c>
      <c r="J757">
        <v>0.19</v>
      </c>
      <c r="K757" s="3">
        <v>2974.6439999999998</v>
      </c>
      <c r="L757" t="s">
        <v>857</v>
      </c>
      <c r="M757" t="str">
        <f>VLOOKUP($E757,Customer_Dim!$A$2:$F$501,3,FALSE)</f>
        <v>Female</v>
      </c>
      <c r="N757" t="str">
        <f>VLOOKUP($E757,Customer_Dim!$A$2:$F$501,5,FALSE)</f>
        <v>USA</v>
      </c>
      <c r="O757" t="str">
        <f>VLOOKUP($E757,Customer_Dim!$A$2:$F$501,6,FALSE)</f>
        <v>Bronze</v>
      </c>
      <c r="P757" t="str">
        <f>VLOOKUP($A757,Store_Dim!$A$2:$F$21,3,FALSE)</f>
        <v>NorthEast Jenniferstad</v>
      </c>
    </row>
    <row r="758" spans="1:16" hidden="1" x14ac:dyDescent="0.25">
      <c r="A758" t="s">
        <v>829</v>
      </c>
      <c r="B758" t="s">
        <v>1144</v>
      </c>
      <c r="C758" t="s">
        <v>770</v>
      </c>
      <c r="D758" s="2">
        <v>45856</v>
      </c>
      <c r="E758" t="s">
        <v>484</v>
      </c>
      <c r="F758" t="str">
        <f>VLOOKUP($C758,Product_Dim!$A$2:$D$101,3,FALSE)</f>
        <v>Khan LLC</v>
      </c>
      <c r="G758" t="str">
        <f>VLOOKUP($C758,Product_Dim!$A$2:$D$101,2,FALSE)</f>
        <v>Sports</v>
      </c>
      <c r="H758">
        <v>4</v>
      </c>
      <c r="I758">
        <v>493.8</v>
      </c>
      <c r="J758">
        <v>0.24</v>
      </c>
      <c r="K758" s="3">
        <v>1501.152</v>
      </c>
      <c r="L758" t="s">
        <v>857</v>
      </c>
      <c r="M758" t="str">
        <f>VLOOKUP($E758,Customer_Dim!$A$2:$F$501,3,FALSE)</f>
        <v>Female</v>
      </c>
      <c r="N758" t="str">
        <f>VLOOKUP($E758,Customer_Dim!$A$2:$F$501,5,FALSE)</f>
        <v>USA</v>
      </c>
      <c r="O758" t="str">
        <f>VLOOKUP($E758,Customer_Dim!$A$2:$F$501,6,FALSE)</f>
        <v>Bronze</v>
      </c>
      <c r="P758" t="str">
        <f>VLOOKUP($A758,Store_Dim!$A$2:$F$21,3,FALSE)</f>
        <v>NorthEast Jenniferstad</v>
      </c>
    </row>
    <row r="759" spans="1:16" hidden="1" x14ac:dyDescent="0.25">
      <c r="A759" t="s">
        <v>832</v>
      </c>
      <c r="B759" t="s">
        <v>2481</v>
      </c>
      <c r="C759" t="s">
        <v>571</v>
      </c>
      <c r="D759" s="2">
        <v>45885</v>
      </c>
      <c r="E759" t="s">
        <v>211</v>
      </c>
      <c r="F759" t="str">
        <f>VLOOKUP($C759,Product_Dim!$A$2:$D$101,3,FALSE)</f>
        <v>Hunt Inc</v>
      </c>
      <c r="G759" t="str">
        <f>VLOOKUP($C759,Product_Dim!$A$2:$D$101,2,FALSE)</f>
        <v>Electronics</v>
      </c>
      <c r="H759">
        <v>3</v>
      </c>
      <c r="I759">
        <v>60.26</v>
      </c>
      <c r="J759">
        <v>0.04</v>
      </c>
      <c r="K759" s="3">
        <v>173.5488</v>
      </c>
      <c r="L759" t="s">
        <v>852</v>
      </c>
      <c r="M759" t="str">
        <f>VLOOKUP($E759,Customer_Dim!$A$2:$F$501,3,FALSE)</f>
        <v>Female</v>
      </c>
      <c r="N759" t="str">
        <f>VLOOKUP($E759,Customer_Dim!$A$2:$F$501,5,FALSE)</f>
        <v>USA</v>
      </c>
      <c r="O759" t="str">
        <f>VLOOKUP($E759,Customer_Dim!$A$2:$F$501,6,FALSE)</f>
        <v>Platinum</v>
      </c>
      <c r="P759" t="str">
        <f>VLOOKUP($A759,Store_Dim!$A$2:$F$21,3,FALSE)</f>
        <v>WestNew Jimmymouth</v>
      </c>
    </row>
    <row r="760" spans="1:16" x14ac:dyDescent="0.25">
      <c r="A760" t="s">
        <v>832</v>
      </c>
      <c r="B760" t="s">
        <v>1280</v>
      </c>
      <c r="C760" t="s">
        <v>571</v>
      </c>
      <c r="D760" s="2">
        <v>45462</v>
      </c>
      <c r="E760" t="s">
        <v>239</v>
      </c>
      <c r="F760" t="str">
        <f>VLOOKUP($C760,Product_Dim!$A$2:$D$101,3,FALSE)</f>
        <v>Hunt Inc</v>
      </c>
      <c r="G760" t="str">
        <f>VLOOKUP($C760,Product_Dim!$A$2:$D$101,2,FALSE)</f>
        <v>Electronics</v>
      </c>
      <c r="H760">
        <v>4</v>
      </c>
      <c r="I760">
        <v>897.93</v>
      </c>
      <c r="J760">
        <v>0.05</v>
      </c>
      <c r="K760" s="3">
        <v>3412.134</v>
      </c>
      <c r="L760" t="s">
        <v>857</v>
      </c>
      <c r="M760" t="str">
        <f>VLOOKUP($E760,Customer_Dim!$A$2:$F$501,3,FALSE)</f>
        <v>Male</v>
      </c>
      <c r="N760" t="str">
        <f>VLOOKUP($E760,Customer_Dim!$A$2:$F$501,5,FALSE)</f>
        <v>USA</v>
      </c>
      <c r="O760" t="str">
        <f>VLOOKUP($E760,Customer_Dim!$A$2:$F$501,6,FALSE)</f>
        <v>Platinum</v>
      </c>
      <c r="P760" t="str">
        <f>VLOOKUP($A760,Store_Dim!$A$2:$F$21,3,FALSE)</f>
        <v>WestNew Jimmymouth</v>
      </c>
    </row>
    <row r="761" spans="1:16" hidden="1" x14ac:dyDescent="0.25">
      <c r="A761" t="s">
        <v>832</v>
      </c>
      <c r="B761" t="s">
        <v>2140</v>
      </c>
      <c r="C761" t="s">
        <v>571</v>
      </c>
      <c r="D761" s="2">
        <v>45810</v>
      </c>
      <c r="E761" t="s">
        <v>432</v>
      </c>
      <c r="F761" t="str">
        <f>VLOOKUP($C761,Product_Dim!$A$2:$D$101,3,FALSE)</f>
        <v>Hunt Inc</v>
      </c>
      <c r="G761" t="str">
        <f>VLOOKUP($C761,Product_Dim!$A$2:$D$101,2,FALSE)</f>
        <v>Electronics</v>
      </c>
      <c r="H761">
        <v>3</v>
      </c>
      <c r="I761">
        <v>279.45</v>
      </c>
      <c r="J761">
        <v>0.15</v>
      </c>
      <c r="K761" s="3">
        <v>712.59749999999985</v>
      </c>
      <c r="L761" t="s">
        <v>857</v>
      </c>
      <c r="M761" t="str">
        <f>VLOOKUP($E761,Customer_Dim!$A$2:$F$501,3,FALSE)</f>
        <v>Female</v>
      </c>
      <c r="N761" t="str">
        <f>VLOOKUP($E761,Customer_Dim!$A$2:$F$501,5,FALSE)</f>
        <v>USA</v>
      </c>
      <c r="O761" t="str">
        <f>VLOOKUP($E761,Customer_Dim!$A$2:$F$501,6,FALSE)</f>
        <v>Platinum</v>
      </c>
      <c r="P761" t="str">
        <f>VLOOKUP($A761,Store_Dim!$A$2:$F$21,3,FALSE)</f>
        <v>WestNew Jimmymouth</v>
      </c>
    </row>
    <row r="762" spans="1:16" x14ac:dyDescent="0.25">
      <c r="A762" t="s">
        <v>832</v>
      </c>
      <c r="B762" t="s">
        <v>2566</v>
      </c>
      <c r="C762" t="s">
        <v>574</v>
      </c>
      <c r="D762" s="2">
        <v>45548</v>
      </c>
      <c r="E762" t="s">
        <v>131</v>
      </c>
      <c r="F762" t="str">
        <f>VLOOKUP($C762,Product_Dim!$A$2:$D$101,3,FALSE)</f>
        <v>Terry-Moore</v>
      </c>
      <c r="G762" t="str">
        <f>VLOOKUP($C762,Product_Dim!$A$2:$D$101,2,FALSE)</f>
        <v>Clothing</v>
      </c>
      <c r="H762">
        <v>2</v>
      </c>
      <c r="I762">
        <v>508.52</v>
      </c>
      <c r="J762">
        <v>0.11</v>
      </c>
      <c r="K762" s="3">
        <v>905.16559999999993</v>
      </c>
      <c r="L762" t="s">
        <v>857</v>
      </c>
      <c r="M762" t="str">
        <f>VLOOKUP($E762,Customer_Dim!$A$2:$F$501,3,FALSE)</f>
        <v>Male</v>
      </c>
      <c r="N762" t="str">
        <f>VLOOKUP($E762,Customer_Dim!$A$2:$F$501,5,FALSE)</f>
        <v>USA</v>
      </c>
      <c r="O762" t="str">
        <f>VLOOKUP($E762,Customer_Dim!$A$2:$F$501,6,FALSE)</f>
        <v>Gold</v>
      </c>
      <c r="P762" t="str">
        <f>VLOOKUP($A762,Store_Dim!$A$2:$F$21,3,FALSE)</f>
        <v>WestNew Jimmymouth</v>
      </c>
    </row>
    <row r="763" spans="1:16" x14ac:dyDescent="0.25">
      <c r="A763" t="s">
        <v>832</v>
      </c>
      <c r="B763" t="s">
        <v>983</v>
      </c>
      <c r="C763" t="s">
        <v>574</v>
      </c>
      <c r="D763" s="2">
        <v>45723</v>
      </c>
      <c r="E763" t="s">
        <v>382</v>
      </c>
      <c r="F763" t="str">
        <f>VLOOKUP($C763,Product_Dim!$A$2:$D$101,3,FALSE)</f>
        <v>Terry-Moore</v>
      </c>
      <c r="G763" t="str">
        <f>VLOOKUP($C763,Product_Dim!$A$2:$D$101,2,FALSE)</f>
        <v>Clothing</v>
      </c>
      <c r="H763">
        <v>1</v>
      </c>
      <c r="I763">
        <v>783.25</v>
      </c>
      <c r="J763">
        <v>0.3</v>
      </c>
      <c r="K763" s="3">
        <v>548.27499999999998</v>
      </c>
      <c r="L763" t="s">
        <v>852</v>
      </c>
      <c r="M763" t="str">
        <f>VLOOKUP($E763,Customer_Dim!$A$2:$F$501,3,FALSE)</f>
        <v>Male</v>
      </c>
      <c r="N763" t="str">
        <f>VLOOKUP($E763,Customer_Dim!$A$2:$F$501,5,FALSE)</f>
        <v>USA</v>
      </c>
      <c r="O763" t="str">
        <f>VLOOKUP($E763,Customer_Dim!$A$2:$F$501,6,FALSE)</f>
        <v>Silver</v>
      </c>
      <c r="P763" t="str">
        <f>VLOOKUP($A763,Store_Dim!$A$2:$F$21,3,FALSE)</f>
        <v>WestNew Jimmymouth</v>
      </c>
    </row>
    <row r="764" spans="1:16" hidden="1" x14ac:dyDescent="0.25">
      <c r="A764" t="s">
        <v>832</v>
      </c>
      <c r="B764" t="s">
        <v>2514</v>
      </c>
      <c r="C764" t="s">
        <v>596</v>
      </c>
      <c r="D764" s="2">
        <v>45310</v>
      </c>
      <c r="E764" t="s">
        <v>394</v>
      </c>
      <c r="F764" t="str">
        <f>VLOOKUP($C764,Product_Dim!$A$2:$D$101,3,FALSE)</f>
        <v>Hamilton Group</v>
      </c>
      <c r="G764" t="str">
        <f>VLOOKUP($C764,Product_Dim!$A$2:$D$101,2,FALSE)</f>
        <v>Home</v>
      </c>
      <c r="H764">
        <v>2</v>
      </c>
      <c r="I764">
        <v>848.87</v>
      </c>
      <c r="J764">
        <v>0.09</v>
      </c>
      <c r="K764" s="3">
        <v>1544.9434000000001</v>
      </c>
      <c r="L764" t="s">
        <v>857</v>
      </c>
      <c r="M764" t="str">
        <f>VLOOKUP($E764,Customer_Dim!$A$2:$F$501,3,FALSE)</f>
        <v>Female</v>
      </c>
      <c r="N764" t="str">
        <f>VLOOKUP($E764,Customer_Dim!$A$2:$F$501,5,FALSE)</f>
        <v>USA</v>
      </c>
      <c r="O764" t="str">
        <f>VLOOKUP($E764,Customer_Dim!$A$2:$F$501,6,FALSE)</f>
        <v>Bronze</v>
      </c>
      <c r="P764" t="str">
        <f>VLOOKUP($A764,Store_Dim!$A$2:$F$21,3,FALSE)</f>
        <v>WestNew Jimmymouth</v>
      </c>
    </row>
    <row r="765" spans="1:16" hidden="1" x14ac:dyDescent="0.25">
      <c r="A765" t="s">
        <v>832</v>
      </c>
      <c r="B765" t="s">
        <v>2236</v>
      </c>
      <c r="C765" t="s">
        <v>596</v>
      </c>
      <c r="D765" s="2">
        <v>45374</v>
      </c>
      <c r="E765" t="s">
        <v>489</v>
      </c>
      <c r="F765" t="str">
        <f>VLOOKUP($C765,Product_Dim!$A$2:$D$101,3,FALSE)</f>
        <v>Hamilton Group</v>
      </c>
      <c r="G765" t="str">
        <f>VLOOKUP($C765,Product_Dim!$A$2:$D$101,2,FALSE)</f>
        <v>Home</v>
      </c>
      <c r="H765">
        <v>2</v>
      </c>
      <c r="I765">
        <v>700.27</v>
      </c>
      <c r="J765">
        <v>0.16</v>
      </c>
      <c r="K765" s="3">
        <v>1176.4536000000001</v>
      </c>
      <c r="L765" t="s">
        <v>852</v>
      </c>
      <c r="M765" t="str">
        <f>VLOOKUP($E765,Customer_Dim!$A$2:$F$501,3,FALSE)</f>
        <v>Female</v>
      </c>
      <c r="N765" t="str">
        <f>VLOOKUP($E765,Customer_Dim!$A$2:$F$501,5,FALSE)</f>
        <v>USA</v>
      </c>
      <c r="O765" t="str">
        <f>VLOOKUP($E765,Customer_Dim!$A$2:$F$501,6,FALSE)</f>
        <v>Platinum</v>
      </c>
      <c r="P765" t="str">
        <f>VLOOKUP($A765,Store_Dim!$A$2:$F$21,3,FALSE)</f>
        <v>WestNew Jimmymouth</v>
      </c>
    </row>
    <row r="766" spans="1:16" hidden="1" x14ac:dyDescent="0.25">
      <c r="A766" t="s">
        <v>832</v>
      </c>
      <c r="B766" t="s">
        <v>2389</v>
      </c>
      <c r="C766" t="s">
        <v>598</v>
      </c>
      <c r="D766" s="2">
        <v>45781</v>
      </c>
      <c r="E766" t="s">
        <v>79</v>
      </c>
      <c r="F766" t="str">
        <f>VLOOKUP($C766,Product_Dim!$A$2:$D$101,3,FALSE)</f>
        <v>Gibson, Hobbs and Weaver</v>
      </c>
      <c r="G766" t="str">
        <f>VLOOKUP($C766,Product_Dim!$A$2:$D$101,2,FALSE)</f>
        <v>Electronics</v>
      </c>
      <c r="H766">
        <v>3</v>
      </c>
      <c r="I766">
        <v>866.78</v>
      </c>
      <c r="J766">
        <v>0.27</v>
      </c>
      <c r="K766" s="3">
        <v>1898.2482</v>
      </c>
      <c r="L766" t="s">
        <v>854</v>
      </c>
      <c r="M766" t="str">
        <f>VLOOKUP($E766,Customer_Dim!$A$2:$F$501,3,FALSE)</f>
        <v>Female</v>
      </c>
      <c r="N766" t="str">
        <f>VLOOKUP($E766,Customer_Dim!$A$2:$F$501,5,FALSE)</f>
        <v>USA</v>
      </c>
      <c r="O766" t="str">
        <f>VLOOKUP($E766,Customer_Dim!$A$2:$F$501,6,FALSE)</f>
        <v>Gold</v>
      </c>
      <c r="P766" t="str">
        <f>VLOOKUP($A766,Store_Dim!$A$2:$F$21,3,FALSE)</f>
        <v>WestNew Jimmymouth</v>
      </c>
    </row>
    <row r="767" spans="1:16" x14ac:dyDescent="0.25">
      <c r="A767" t="s">
        <v>832</v>
      </c>
      <c r="B767" t="s">
        <v>2621</v>
      </c>
      <c r="C767" t="s">
        <v>602</v>
      </c>
      <c r="D767" s="2">
        <v>45544</v>
      </c>
      <c r="E767" t="s">
        <v>318</v>
      </c>
      <c r="F767" t="str">
        <f>VLOOKUP($C767,Product_Dim!$A$2:$D$101,3,FALSE)</f>
        <v>Dawson-Perkins</v>
      </c>
      <c r="G767" t="str">
        <f>VLOOKUP($C767,Product_Dim!$A$2:$D$101,2,FALSE)</f>
        <v>Electronics</v>
      </c>
      <c r="H767">
        <v>2</v>
      </c>
      <c r="I767">
        <v>330.59</v>
      </c>
      <c r="J767">
        <v>0.14000000000000001</v>
      </c>
      <c r="K767" s="3">
        <v>568.61479999999995</v>
      </c>
      <c r="L767" t="s">
        <v>852</v>
      </c>
      <c r="M767" t="str">
        <f>VLOOKUP($E767,Customer_Dim!$A$2:$F$501,3,FALSE)</f>
        <v>Male</v>
      </c>
      <c r="N767" t="str">
        <f>VLOOKUP($E767,Customer_Dim!$A$2:$F$501,5,FALSE)</f>
        <v>USA</v>
      </c>
      <c r="O767" t="str">
        <f>VLOOKUP($E767,Customer_Dim!$A$2:$F$501,6,FALSE)</f>
        <v>Silver</v>
      </c>
      <c r="P767" t="str">
        <f>VLOOKUP($A767,Store_Dim!$A$2:$F$21,3,FALSE)</f>
        <v>WestNew Jimmymouth</v>
      </c>
    </row>
    <row r="768" spans="1:16" x14ac:dyDescent="0.25">
      <c r="A768" t="s">
        <v>832</v>
      </c>
      <c r="B768" t="s">
        <v>923</v>
      </c>
      <c r="C768" t="s">
        <v>602</v>
      </c>
      <c r="D768" s="2">
        <v>45897</v>
      </c>
      <c r="E768" t="s">
        <v>490</v>
      </c>
      <c r="F768" t="str">
        <f>VLOOKUP($C768,Product_Dim!$A$2:$D$101,3,FALSE)</f>
        <v>Dawson-Perkins</v>
      </c>
      <c r="G768" t="str">
        <f>VLOOKUP($C768,Product_Dim!$A$2:$D$101,2,FALSE)</f>
        <v>Electronics</v>
      </c>
      <c r="H768">
        <v>4</v>
      </c>
      <c r="I768">
        <v>561.24</v>
      </c>
      <c r="J768">
        <v>0.24</v>
      </c>
      <c r="K768" s="3">
        <v>1706.1695999999999</v>
      </c>
      <c r="L768" t="s">
        <v>852</v>
      </c>
      <c r="M768" t="str">
        <f>VLOOKUP($E768,Customer_Dim!$A$2:$F$501,3,FALSE)</f>
        <v>Male</v>
      </c>
      <c r="N768" t="str">
        <f>VLOOKUP($E768,Customer_Dim!$A$2:$F$501,5,FALSE)</f>
        <v>USA</v>
      </c>
      <c r="O768" t="str">
        <f>VLOOKUP($E768,Customer_Dim!$A$2:$F$501,6,FALSE)</f>
        <v>Silver</v>
      </c>
      <c r="P768" t="str">
        <f>VLOOKUP($A768,Store_Dim!$A$2:$F$21,3,FALSE)</f>
        <v>WestNew Jimmymouth</v>
      </c>
    </row>
    <row r="769" spans="1:16" hidden="1" x14ac:dyDescent="0.25">
      <c r="A769" t="s">
        <v>832</v>
      </c>
      <c r="B769" t="s">
        <v>1557</v>
      </c>
      <c r="C769" t="s">
        <v>606</v>
      </c>
      <c r="D769" s="2">
        <v>45429</v>
      </c>
      <c r="E769" t="s">
        <v>261</v>
      </c>
      <c r="F769" t="str">
        <f>VLOOKUP($C769,Product_Dim!$A$2:$D$101,3,FALSE)</f>
        <v>Thomas LLC</v>
      </c>
      <c r="G769" t="str">
        <f>VLOOKUP($C769,Product_Dim!$A$2:$D$101,2,FALSE)</f>
        <v>Electronics</v>
      </c>
      <c r="H769">
        <v>3</v>
      </c>
      <c r="I769">
        <v>262.69</v>
      </c>
      <c r="J769">
        <v>0.04</v>
      </c>
      <c r="K769" s="3">
        <v>756.54719999999986</v>
      </c>
      <c r="L769" t="s">
        <v>854</v>
      </c>
      <c r="M769" t="str">
        <f>VLOOKUP($E769,Customer_Dim!$A$2:$F$501,3,FALSE)</f>
        <v>Female</v>
      </c>
      <c r="N769" t="str">
        <f>VLOOKUP($E769,Customer_Dim!$A$2:$F$501,5,FALSE)</f>
        <v>USA</v>
      </c>
      <c r="O769" t="str">
        <f>VLOOKUP($E769,Customer_Dim!$A$2:$F$501,6,FALSE)</f>
        <v>Platinum</v>
      </c>
      <c r="P769" t="str">
        <f>VLOOKUP($A769,Store_Dim!$A$2:$F$21,3,FALSE)</f>
        <v>WestNew Jimmymouth</v>
      </c>
    </row>
    <row r="770" spans="1:16" hidden="1" x14ac:dyDescent="0.25">
      <c r="A770" t="s">
        <v>832</v>
      </c>
      <c r="B770" t="s">
        <v>1263</v>
      </c>
      <c r="C770" t="s">
        <v>606</v>
      </c>
      <c r="D770" s="2">
        <v>45837</v>
      </c>
      <c r="E770" t="s">
        <v>394</v>
      </c>
      <c r="F770" t="str">
        <f>VLOOKUP($C770,Product_Dim!$A$2:$D$101,3,FALSE)</f>
        <v>Thomas LLC</v>
      </c>
      <c r="G770" t="str">
        <f>VLOOKUP($C770,Product_Dim!$A$2:$D$101,2,FALSE)</f>
        <v>Electronics</v>
      </c>
      <c r="H770">
        <v>4</v>
      </c>
      <c r="I770">
        <v>370.63</v>
      </c>
      <c r="J770">
        <v>0.08</v>
      </c>
      <c r="K770" s="3">
        <v>1363.9184</v>
      </c>
      <c r="L770" t="s">
        <v>852</v>
      </c>
      <c r="M770" t="str">
        <f>VLOOKUP($E770,Customer_Dim!$A$2:$F$501,3,FALSE)</f>
        <v>Female</v>
      </c>
      <c r="N770" t="str">
        <f>VLOOKUP($E770,Customer_Dim!$A$2:$F$501,5,FALSE)</f>
        <v>USA</v>
      </c>
      <c r="O770" t="str">
        <f>VLOOKUP($E770,Customer_Dim!$A$2:$F$501,6,FALSE)</f>
        <v>Bronze</v>
      </c>
      <c r="P770" t="str">
        <f>VLOOKUP($A770,Store_Dim!$A$2:$F$21,3,FALSE)</f>
        <v>WestNew Jimmymouth</v>
      </c>
    </row>
    <row r="771" spans="1:16" hidden="1" x14ac:dyDescent="0.25">
      <c r="A771" t="s">
        <v>832</v>
      </c>
      <c r="B771" t="s">
        <v>2095</v>
      </c>
      <c r="C771" t="s">
        <v>608</v>
      </c>
      <c r="D771" s="2">
        <v>45786</v>
      </c>
      <c r="E771" t="s">
        <v>123</v>
      </c>
      <c r="F771" t="str">
        <f>VLOOKUP($C771,Product_Dim!$A$2:$D$101,3,FALSE)</f>
        <v>Erickson-Green</v>
      </c>
      <c r="G771" t="str">
        <f>VLOOKUP($C771,Product_Dim!$A$2:$D$101,2,FALSE)</f>
        <v>Beauty</v>
      </c>
      <c r="H771">
        <v>2</v>
      </c>
      <c r="I771">
        <v>126.02</v>
      </c>
      <c r="J771">
        <v>0.09</v>
      </c>
      <c r="K771" s="3">
        <v>229.35640000000001</v>
      </c>
      <c r="L771" t="s">
        <v>857</v>
      </c>
      <c r="M771" t="str">
        <f>VLOOKUP($E771,Customer_Dim!$A$2:$F$501,3,FALSE)</f>
        <v>Female</v>
      </c>
      <c r="N771" t="str">
        <f>VLOOKUP($E771,Customer_Dim!$A$2:$F$501,5,FALSE)</f>
        <v>USA</v>
      </c>
      <c r="O771" t="str">
        <f>VLOOKUP($E771,Customer_Dim!$A$2:$F$501,6,FALSE)</f>
        <v>Gold</v>
      </c>
      <c r="P771" t="str">
        <f>VLOOKUP($A771,Store_Dim!$A$2:$F$21,3,FALSE)</f>
        <v>WestNew Jimmymouth</v>
      </c>
    </row>
    <row r="772" spans="1:16" hidden="1" x14ac:dyDescent="0.25">
      <c r="A772" t="s">
        <v>832</v>
      </c>
      <c r="B772" t="s">
        <v>1938</v>
      </c>
      <c r="C772" t="s">
        <v>608</v>
      </c>
      <c r="D772" s="2">
        <v>45330</v>
      </c>
      <c r="E772" t="s">
        <v>414</v>
      </c>
      <c r="F772" t="str">
        <f>VLOOKUP($C772,Product_Dim!$A$2:$D$101,3,FALSE)</f>
        <v>Erickson-Green</v>
      </c>
      <c r="G772" t="str">
        <f>VLOOKUP($C772,Product_Dim!$A$2:$D$101,2,FALSE)</f>
        <v>Beauty</v>
      </c>
      <c r="H772">
        <v>2</v>
      </c>
      <c r="I772">
        <v>753.92</v>
      </c>
      <c r="J772">
        <v>0.17</v>
      </c>
      <c r="K772" s="3">
        <v>1251.5072</v>
      </c>
      <c r="L772" t="s">
        <v>854</v>
      </c>
      <c r="M772" t="str">
        <f>VLOOKUP($E772,Customer_Dim!$A$2:$F$501,3,FALSE)</f>
        <v>Female</v>
      </c>
      <c r="N772" t="str">
        <f>VLOOKUP($E772,Customer_Dim!$A$2:$F$501,5,FALSE)</f>
        <v>USA</v>
      </c>
      <c r="O772" t="str">
        <f>VLOOKUP($E772,Customer_Dim!$A$2:$F$501,6,FALSE)</f>
        <v>Gold</v>
      </c>
      <c r="P772" t="str">
        <f>VLOOKUP($A772,Store_Dim!$A$2:$F$21,3,FALSE)</f>
        <v>WestNew Jimmymouth</v>
      </c>
    </row>
    <row r="773" spans="1:16" x14ac:dyDescent="0.25">
      <c r="A773" t="s">
        <v>832</v>
      </c>
      <c r="B773" t="s">
        <v>1757</v>
      </c>
      <c r="C773" t="s">
        <v>610</v>
      </c>
      <c r="D773" s="2">
        <v>45653</v>
      </c>
      <c r="E773" t="s">
        <v>330</v>
      </c>
      <c r="F773" t="str">
        <f>VLOOKUP($C773,Product_Dim!$A$2:$D$101,3,FALSE)</f>
        <v>Ford, Murphy and Wilson</v>
      </c>
      <c r="G773" t="str">
        <f>VLOOKUP($C773,Product_Dim!$A$2:$D$101,2,FALSE)</f>
        <v>Sports</v>
      </c>
      <c r="H773">
        <v>1</v>
      </c>
      <c r="I773">
        <v>519.91</v>
      </c>
      <c r="J773">
        <v>0.05</v>
      </c>
      <c r="K773" s="3">
        <v>493.91449999999992</v>
      </c>
      <c r="L773" t="s">
        <v>857</v>
      </c>
      <c r="M773" t="str">
        <f>VLOOKUP($E773,Customer_Dim!$A$2:$F$501,3,FALSE)</f>
        <v>Male</v>
      </c>
      <c r="N773" t="str">
        <f>VLOOKUP($E773,Customer_Dim!$A$2:$F$501,5,FALSE)</f>
        <v>USA</v>
      </c>
      <c r="O773" t="str">
        <f>VLOOKUP($E773,Customer_Dim!$A$2:$F$501,6,FALSE)</f>
        <v>Gold</v>
      </c>
      <c r="P773" t="str">
        <f>VLOOKUP($A773,Store_Dim!$A$2:$F$21,3,FALSE)</f>
        <v>WestNew Jimmymouth</v>
      </c>
    </row>
    <row r="774" spans="1:16" hidden="1" x14ac:dyDescent="0.25">
      <c r="A774" t="s">
        <v>832</v>
      </c>
      <c r="B774" t="s">
        <v>2655</v>
      </c>
      <c r="C774" t="s">
        <v>610</v>
      </c>
      <c r="D774" s="2">
        <v>45741</v>
      </c>
      <c r="E774" t="s">
        <v>484</v>
      </c>
      <c r="F774" t="str">
        <f>VLOOKUP($C774,Product_Dim!$A$2:$D$101,3,FALSE)</f>
        <v>Ford, Murphy and Wilson</v>
      </c>
      <c r="G774" t="str">
        <f>VLOOKUP($C774,Product_Dim!$A$2:$D$101,2,FALSE)</f>
        <v>Sports</v>
      </c>
      <c r="H774">
        <v>3</v>
      </c>
      <c r="I774">
        <v>123.74</v>
      </c>
      <c r="J774">
        <v>0.23</v>
      </c>
      <c r="K774" s="3">
        <v>285.83940000000001</v>
      </c>
      <c r="L774" t="s">
        <v>854</v>
      </c>
      <c r="M774" t="str">
        <f>VLOOKUP($E774,Customer_Dim!$A$2:$F$501,3,FALSE)</f>
        <v>Female</v>
      </c>
      <c r="N774" t="str">
        <f>VLOOKUP($E774,Customer_Dim!$A$2:$F$501,5,FALSE)</f>
        <v>USA</v>
      </c>
      <c r="O774" t="str">
        <f>VLOOKUP($E774,Customer_Dim!$A$2:$F$501,6,FALSE)</f>
        <v>Bronze</v>
      </c>
      <c r="P774" t="str">
        <f>VLOOKUP($A774,Store_Dim!$A$2:$F$21,3,FALSE)</f>
        <v>WestNew Jimmymouth</v>
      </c>
    </row>
    <row r="775" spans="1:16" hidden="1" x14ac:dyDescent="0.25">
      <c r="A775" t="s">
        <v>832</v>
      </c>
      <c r="B775" t="s">
        <v>1254</v>
      </c>
      <c r="C775" t="s">
        <v>614</v>
      </c>
      <c r="D775" s="2">
        <v>45227</v>
      </c>
      <c r="E775" t="s">
        <v>156</v>
      </c>
      <c r="F775" t="str">
        <f>VLOOKUP($C775,Product_Dim!$A$2:$D$101,3,FALSE)</f>
        <v>May-Reese</v>
      </c>
      <c r="G775" t="str">
        <f>VLOOKUP($C775,Product_Dim!$A$2:$D$101,2,FALSE)</f>
        <v>Sports</v>
      </c>
      <c r="H775">
        <v>2</v>
      </c>
      <c r="I775">
        <v>22.47</v>
      </c>
      <c r="J775">
        <v>0.22</v>
      </c>
      <c r="K775" s="3">
        <v>35.053199999999997</v>
      </c>
      <c r="L775" t="s">
        <v>854</v>
      </c>
      <c r="M775" t="str">
        <f>VLOOKUP($E775,Customer_Dim!$A$2:$F$501,3,FALSE)</f>
        <v>Female</v>
      </c>
      <c r="N775" t="str">
        <f>VLOOKUP($E775,Customer_Dim!$A$2:$F$501,5,FALSE)</f>
        <v>USA</v>
      </c>
      <c r="O775" t="str">
        <f>VLOOKUP($E775,Customer_Dim!$A$2:$F$501,6,FALSE)</f>
        <v>Platinum</v>
      </c>
      <c r="P775" t="str">
        <f>VLOOKUP($A775,Store_Dim!$A$2:$F$21,3,FALSE)</f>
        <v>WestNew Jimmymouth</v>
      </c>
    </row>
    <row r="776" spans="1:16" x14ac:dyDescent="0.25">
      <c r="A776" t="s">
        <v>832</v>
      </c>
      <c r="B776" t="s">
        <v>2367</v>
      </c>
      <c r="C776" t="s">
        <v>577</v>
      </c>
      <c r="D776" s="2">
        <v>45922</v>
      </c>
      <c r="E776" t="s">
        <v>159</v>
      </c>
      <c r="F776" t="str">
        <f>VLOOKUP($C776,Product_Dim!$A$2:$D$101,3,FALSE)</f>
        <v>Sims Inc</v>
      </c>
      <c r="G776" t="str">
        <f>VLOOKUP($C776,Product_Dim!$A$2:$D$101,2,FALSE)</f>
        <v>Clothing</v>
      </c>
      <c r="H776">
        <v>1</v>
      </c>
      <c r="I776">
        <v>372.75</v>
      </c>
      <c r="J776">
        <v>0.12</v>
      </c>
      <c r="K776" s="3">
        <v>328.02</v>
      </c>
      <c r="L776" t="s">
        <v>852</v>
      </c>
      <c r="M776" t="str">
        <f>VLOOKUP($E776,Customer_Dim!$A$2:$F$501,3,FALSE)</f>
        <v>Male</v>
      </c>
      <c r="N776" t="str">
        <f>VLOOKUP($E776,Customer_Dim!$A$2:$F$501,5,FALSE)</f>
        <v>USA</v>
      </c>
      <c r="O776" t="str">
        <f>VLOOKUP($E776,Customer_Dim!$A$2:$F$501,6,FALSE)</f>
        <v>Gold</v>
      </c>
      <c r="P776" t="str">
        <f>VLOOKUP($A776,Store_Dim!$A$2:$F$21,3,FALSE)</f>
        <v>WestNew Jimmymouth</v>
      </c>
    </row>
    <row r="777" spans="1:16" x14ac:dyDescent="0.25">
      <c r="A777" t="s">
        <v>832</v>
      </c>
      <c r="B777" t="s">
        <v>1404</v>
      </c>
      <c r="C777" t="s">
        <v>618</v>
      </c>
      <c r="D777" s="2">
        <v>45851</v>
      </c>
      <c r="E777" t="s">
        <v>416</v>
      </c>
      <c r="F777" t="str">
        <f>VLOOKUP($C777,Product_Dim!$A$2:$D$101,3,FALSE)</f>
        <v>Gardner-Montes</v>
      </c>
      <c r="G777" t="str">
        <f>VLOOKUP($C777,Product_Dim!$A$2:$D$101,2,FALSE)</f>
        <v>Home</v>
      </c>
      <c r="H777">
        <v>4</v>
      </c>
      <c r="I777">
        <v>714.89</v>
      </c>
      <c r="J777">
        <v>0.15</v>
      </c>
      <c r="K777" s="3">
        <v>2430.6260000000002</v>
      </c>
      <c r="L777" t="s">
        <v>852</v>
      </c>
      <c r="M777" t="str">
        <f>VLOOKUP($E777,Customer_Dim!$A$2:$F$501,3,FALSE)</f>
        <v>Male</v>
      </c>
      <c r="N777" t="str">
        <f>VLOOKUP($E777,Customer_Dim!$A$2:$F$501,5,FALSE)</f>
        <v>USA</v>
      </c>
      <c r="O777" t="str">
        <f>VLOOKUP($E777,Customer_Dim!$A$2:$F$501,6,FALSE)</f>
        <v>Bronze</v>
      </c>
      <c r="P777" t="str">
        <f>VLOOKUP($A777,Store_Dim!$A$2:$F$21,3,FALSE)</f>
        <v>WestNew Jimmymouth</v>
      </c>
    </row>
    <row r="778" spans="1:16" x14ac:dyDescent="0.25">
      <c r="A778" t="s">
        <v>832</v>
      </c>
      <c r="B778" t="s">
        <v>903</v>
      </c>
      <c r="C778" t="s">
        <v>618</v>
      </c>
      <c r="D778" s="2">
        <v>45607</v>
      </c>
      <c r="E778" t="s">
        <v>487</v>
      </c>
      <c r="F778" t="str">
        <f>VLOOKUP($C778,Product_Dim!$A$2:$D$101,3,FALSE)</f>
        <v>Gardner-Montes</v>
      </c>
      <c r="G778" t="str">
        <f>VLOOKUP($C778,Product_Dim!$A$2:$D$101,2,FALSE)</f>
        <v>Home</v>
      </c>
      <c r="H778">
        <v>2</v>
      </c>
      <c r="I778">
        <v>384.66</v>
      </c>
      <c r="J778">
        <v>0.08</v>
      </c>
      <c r="K778" s="3">
        <v>707.77440000000013</v>
      </c>
      <c r="L778" t="s">
        <v>857</v>
      </c>
      <c r="M778" t="str">
        <f>VLOOKUP($E778,Customer_Dim!$A$2:$F$501,3,FALSE)</f>
        <v>Male</v>
      </c>
      <c r="N778" t="str">
        <f>VLOOKUP($E778,Customer_Dim!$A$2:$F$501,5,FALSE)</f>
        <v>USA</v>
      </c>
      <c r="O778" t="str">
        <f>VLOOKUP($E778,Customer_Dim!$A$2:$F$501,6,FALSE)</f>
        <v>Bronze</v>
      </c>
      <c r="P778" t="str">
        <f>VLOOKUP($A778,Store_Dim!$A$2:$F$21,3,FALSE)</f>
        <v>WestNew Jimmymouth</v>
      </c>
    </row>
    <row r="779" spans="1:16" hidden="1" x14ac:dyDescent="0.25">
      <c r="A779" t="s">
        <v>832</v>
      </c>
      <c r="B779" t="s">
        <v>2617</v>
      </c>
      <c r="C779" t="s">
        <v>620</v>
      </c>
      <c r="D779" s="2">
        <v>45438</v>
      </c>
      <c r="E779" t="s">
        <v>350</v>
      </c>
      <c r="F779" t="str">
        <f>VLOOKUP($C779,Product_Dim!$A$2:$D$101,3,FALSE)</f>
        <v>Flores, Pineda and Rodriguez</v>
      </c>
      <c r="G779" t="str">
        <f>VLOOKUP($C779,Product_Dim!$A$2:$D$101,2,FALSE)</f>
        <v>Sports</v>
      </c>
      <c r="H779">
        <v>4</v>
      </c>
      <c r="I779">
        <v>300.12</v>
      </c>
      <c r="J779">
        <v>0.05</v>
      </c>
      <c r="K779" s="3">
        <v>1140.4559999999999</v>
      </c>
      <c r="L779" t="s">
        <v>854</v>
      </c>
      <c r="M779" t="str">
        <f>VLOOKUP($E779,Customer_Dim!$A$2:$F$501,3,FALSE)</f>
        <v>Female</v>
      </c>
      <c r="N779" t="str">
        <f>VLOOKUP($E779,Customer_Dim!$A$2:$F$501,5,FALSE)</f>
        <v>USA</v>
      </c>
      <c r="O779" t="str">
        <f>VLOOKUP($E779,Customer_Dim!$A$2:$F$501,6,FALSE)</f>
        <v>Silver</v>
      </c>
      <c r="P779" t="str">
        <f>VLOOKUP($A779,Store_Dim!$A$2:$F$21,3,FALSE)</f>
        <v>WestNew Jimmymouth</v>
      </c>
    </row>
    <row r="780" spans="1:16" hidden="1" x14ac:dyDescent="0.25">
      <c r="A780" t="s">
        <v>832</v>
      </c>
      <c r="B780" t="s">
        <v>1306</v>
      </c>
      <c r="C780" t="s">
        <v>622</v>
      </c>
      <c r="D780" s="2">
        <v>45460</v>
      </c>
      <c r="E780" t="s">
        <v>471</v>
      </c>
      <c r="F780" t="str">
        <f>VLOOKUP($C780,Product_Dim!$A$2:$D$101,3,FALSE)</f>
        <v>Moon, Mora and Santos</v>
      </c>
      <c r="G780" t="str">
        <f>VLOOKUP($C780,Product_Dim!$A$2:$D$101,2,FALSE)</f>
        <v>Clothing</v>
      </c>
      <c r="H780">
        <v>2</v>
      </c>
      <c r="I780">
        <v>425.06</v>
      </c>
      <c r="J780">
        <v>0.09</v>
      </c>
      <c r="K780" s="3">
        <v>773.60919999999999</v>
      </c>
      <c r="L780" t="s">
        <v>854</v>
      </c>
      <c r="M780" t="str">
        <f>VLOOKUP($E780,Customer_Dim!$A$2:$F$501,3,FALSE)</f>
        <v>Female</v>
      </c>
      <c r="N780" t="str">
        <f>VLOOKUP($E780,Customer_Dim!$A$2:$F$501,5,FALSE)</f>
        <v>USA</v>
      </c>
      <c r="O780" t="str">
        <f>VLOOKUP($E780,Customer_Dim!$A$2:$F$501,6,FALSE)</f>
        <v>Silver</v>
      </c>
      <c r="P780" t="str">
        <f>VLOOKUP($A780,Store_Dim!$A$2:$F$21,3,FALSE)</f>
        <v>WestNew Jimmymouth</v>
      </c>
    </row>
    <row r="781" spans="1:16" hidden="1" x14ac:dyDescent="0.25">
      <c r="A781" t="s">
        <v>832</v>
      </c>
      <c r="B781" t="s">
        <v>1378</v>
      </c>
      <c r="C781" t="s">
        <v>624</v>
      </c>
      <c r="D781" s="2">
        <v>45774</v>
      </c>
      <c r="E781" t="s">
        <v>161</v>
      </c>
      <c r="F781" t="str">
        <f>VLOOKUP($C781,Product_Dim!$A$2:$D$101,3,FALSE)</f>
        <v>Cook Ltd</v>
      </c>
      <c r="G781" t="str">
        <f>VLOOKUP($C781,Product_Dim!$A$2:$D$101,2,FALSE)</f>
        <v>Sports</v>
      </c>
      <c r="H781">
        <v>2</v>
      </c>
      <c r="I781">
        <v>409.52</v>
      </c>
      <c r="J781">
        <v>0.06</v>
      </c>
      <c r="K781" s="3">
        <v>769.8975999999999</v>
      </c>
      <c r="L781" t="s">
        <v>857</v>
      </c>
      <c r="M781" t="str">
        <f>VLOOKUP($E781,Customer_Dim!$A$2:$F$501,3,FALSE)</f>
        <v>Female</v>
      </c>
      <c r="N781" t="str">
        <f>VLOOKUP($E781,Customer_Dim!$A$2:$F$501,5,FALSE)</f>
        <v>USA</v>
      </c>
      <c r="O781" t="str">
        <f>VLOOKUP($E781,Customer_Dim!$A$2:$F$501,6,FALSE)</f>
        <v>Platinum</v>
      </c>
      <c r="P781" t="str">
        <f>VLOOKUP($A781,Store_Dim!$A$2:$F$21,3,FALSE)</f>
        <v>WestNew Jimmymouth</v>
      </c>
    </row>
    <row r="782" spans="1:16" hidden="1" x14ac:dyDescent="0.25">
      <c r="A782" t="s">
        <v>832</v>
      </c>
      <c r="B782" t="s">
        <v>2267</v>
      </c>
      <c r="C782" t="s">
        <v>626</v>
      </c>
      <c r="D782" s="2">
        <v>45506</v>
      </c>
      <c r="E782" t="s">
        <v>485</v>
      </c>
      <c r="F782" t="str">
        <f>VLOOKUP($C782,Product_Dim!$A$2:$D$101,3,FALSE)</f>
        <v>Brown and Sons</v>
      </c>
      <c r="G782" t="str">
        <f>VLOOKUP($C782,Product_Dim!$A$2:$D$101,2,FALSE)</f>
        <v>Clothing</v>
      </c>
      <c r="H782">
        <v>4</v>
      </c>
      <c r="I782">
        <v>627.73</v>
      </c>
      <c r="J782">
        <v>0.11</v>
      </c>
      <c r="K782" s="3">
        <v>2234.7188000000001</v>
      </c>
      <c r="L782" t="s">
        <v>857</v>
      </c>
      <c r="M782" t="str">
        <f>VLOOKUP($E782,Customer_Dim!$A$2:$F$501,3,FALSE)</f>
        <v>Female</v>
      </c>
      <c r="N782" t="str">
        <f>VLOOKUP($E782,Customer_Dim!$A$2:$F$501,5,FALSE)</f>
        <v>USA</v>
      </c>
      <c r="O782" t="str">
        <f>VLOOKUP($E782,Customer_Dim!$A$2:$F$501,6,FALSE)</f>
        <v>Silver</v>
      </c>
      <c r="P782" t="str">
        <f>VLOOKUP($A782,Store_Dim!$A$2:$F$21,3,FALSE)</f>
        <v>WestNew Jimmymouth</v>
      </c>
    </row>
    <row r="783" spans="1:16" hidden="1" x14ac:dyDescent="0.25">
      <c r="A783" t="s">
        <v>832</v>
      </c>
      <c r="B783" t="s">
        <v>2220</v>
      </c>
      <c r="C783" t="s">
        <v>630</v>
      </c>
      <c r="D783" s="2">
        <v>45397</v>
      </c>
      <c r="E783" t="s">
        <v>193</v>
      </c>
      <c r="F783" t="str">
        <f>VLOOKUP($C783,Product_Dim!$A$2:$D$101,3,FALSE)</f>
        <v>Khan, Jones and Paul</v>
      </c>
      <c r="G783" t="str">
        <f>VLOOKUP($C783,Product_Dim!$A$2:$D$101,2,FALSE)</f>
        <v>Home</v>
      </c>
      <c r="H783">
        <v>2</v>
      </c>
      <c r="I783">
        <v>270.66000000000003</v>
      </c>
      <c r="J783">
        <v>0.1</v>
      </c>
      <c r="K783" s="3">
        <v>487.18799999999999</v>
      </c>
      <c r="L783" t="s">
        <v>857</v>
      </c>
      <c r="M783" t="str">
        <f>VLOOKUP($E783,Customer_Dim!$A$2:$F$501,3,FALSE)</f>
        <v>Female</v>
      </c>
      <c r="N783" t="str">
        <f>VLOOKUP($E783,Customer_Dim!$A$2:$F$501,5,FALSE)</f>
        <v>USA</v>
      </c>
      <c r="O783" t="str">
        <f>VLOOKUP($E783,Customer_Dim!$A$2:$F$501,6,FALSE)</f>
        <v>Silver</v>
      </c>
      <c r="P783" t="str">
        <f>VLOOKUP($A783,Store_Dim!$A$2:$F$21,3,FALSE)</f>
        <v>WestNew Jimmymouth</v>
      </c>
    </row>
    <row r="784" spans="1:16" hidden="1" x14ac:dyDescent="0.25">
      <c r="A784" t="s">
        <v>832</v>
      </c>
      <c r="B784" t="s">
        <v>2218</v>
      </c>
      <c r="C784" t="s">
        <v>630</v>
      </c>
      <c r="D784" s="2">
        <v>45322</v>
      </c>
      <c r="E784" t="s">
        <v>244</v>
      </c>
      <c r="F784" t="str">
        <f>VLOOKUP($C784,Product_Dim!$A$2:$D$101,3,FALSE)</f>
        <v>Khan, Jones and Paul</v>
      </c>
      <c r="G784" t="str">
        <f>VLOOKUP($C784,Product_Dim!$A$2:$D$101,2,FALSE)</f>
        <v>Home</v>
      </c>
      <c r="H784">
        <v>4</v>
      </c>
      <c r="I784">
        <v>310.79000000000002</v>
      </c>
      <c r="J784">
        <v>0.22</v>
      </c>
      <c r="K784" s="3">
        <v>969.66480000000013</v>
      </c>
      <c r="L784" t="s">
        <v>857</v>
      </c>
      <c r="M784" t="str">
        <f>VLOOKUP($E784,Customer_Dim!$A$2:$F$501,3,FALSE)</f>
        <v>Female</v>
      </c>
      <c r="N784" t="str">
        <f>VLOOKUP($E784,Customer_Dim!$A$2:$F$501,5,FALSE)</f>
        <v>USA</v>
      </c>
      <c r="O784" t="str">
        <f>VLOOKUP($E784,Customer_Dim!$A$2:$F$501,6,FALSE)</f>
        <v>Silver</v>
      </c>
      <c r="P784" t="str">
        <f>VLOOKUP($A784,Store_Dim!$A$2:$F$21,3,FALSE)</f>
        <v>WestNew Jimmymouth</v>
      </c>
    </row>
    <row r="785" spans="1:16" hidden="1" x14ac:dyDescent="0.25">
      <c r="A785" t="s">
        <v>832</v>
      </c>
      <c r="B785" t="s">
        <v>1692</v>
      </c>
      <c r="C785" t="s">
        <v>632</v>
      </c>
      <c r="D785" s="2">
        <v>45728</v>
      </c>
      <c r="E785" t="s">
        <v>130</v>
      </c>
      <c r="F785" t="str">
        <f>VLOOKUP($C785,Product_Dim!$A$2:$D$101,3,FALSE)</f>
        <v>Burns-Hansen</v>
      </c>
      <c r="G785" t="str">
        <f>VLOOKUP($C785,Product_Dim!$A$2:$D$101,2,FALSE)</f>
        <v>Sports</v>
      </c>
      <c r="H785">
        <v>2</v>
      </c>
      <c r="I785">
        <v>619.12</v>
      </c>
      <c r="J785">
        <v>0.28000000000000003</v>
      </c>
      <c r="K785" s="3">
        <v>891.53279999999995</v>
      </c>
      <c r="L785" t="s">
        <v>857</v>
      </c>
      <c r="M785" t="str">
        <f>VLOOKUP($E785,Customer_Dim!$A$2:$F$501,3,FALSE)</f>
        <v>Female</v>
      </c>
      <c r="N785" t="str">
        <f>VLOOKUP($E785,Customer_Dim!$A$2:$F$501,5,FALSE)</f>
        <v>USA</v>
      </c>
      <c r="O785" t="str">
        <f>VLOOKUP($E785,Customer_Dim!$A$2:$F$501,6,FALSE)</f>
        <v>Gold</v>
      </c>
      <c r="P785" t="str">
        <f>VLOOKUP($A785,Store_Dim!$A$2:$F$21,3,FALSE)</f>
        <v>WestNew Jimmymouth</v>
      </c>
    </row>
    <row r="786" spans="1:16" x14ac:dyDescent="0.25">
      <c r="A786" t="s">
        <v>832</v>
      </c>
      <c r="B786" t="s">
        <v>1937</v>
      </c>
      <c r="C786" t="s">
        <v>634</v>
      </c>
      <c r="D786" s="2">
        <v>45531</v>
      </c>
      <c r="E786" t="s">
        <v>452</v>
      </c>
      <c r="F786" t="str">
        <f>VLOOKUP($C786,Product_Dim!$A$2:$D$101,3,FALSE)</f>
        <v>Hoffman Group</v>
      </c>
      <c r="G786" t="str">
        <f>VLOOKUP($C786,Product_Dim!$A$2:$D$101,2,FALSE)</f>
        <v>Home</v>
      </c>
      <c r="H786">
        <v>1</v>
      </c>
      <c r="I786">
        <v>850.06</v>
      </c>
      <c r="J786">
        <v>0.28999999999999998</v>
      </c>
      <c r="K786" s="3">
        <v>603.54259999999988</v>
      </c>
      <c r="L786" t="s">
        <v>854</v>
      </c>
      <c r="M786" t="str">
        <f>VLOOKUP($E786,Customer_Dim!$A$2:$F$501,3,FALSE)</f>
        <v>Male</v>
      </c>
      <c r="N786" t="str">
        <f>VLOOKUP($E786,Customer_Dim!$A$2:$F$501,5,FALSE)</f>
        <v>USA</v>
      </c>
      <c r="O786" t="str">
        <f>VLOOKUP($E786,Customer_Dim!$A$2:$F$501,6,FALSE)</f>
        <v>Gold</v>
      </c>
      <c r="P786" t="str">
        <f>VLOOKUP($A786,Store_Dim!$A$2:$F$21,3,FALSE)</f>
        <v>WestNew Jimmymouth</v>
      </c>
    </row>
    <row r="787" spans="1:16" hidden="1" x14ac:dyDescent="0.25">
      <c r="A787" t="s">
        <v>832</v>
      </c>
      <c r="B787" t="s">
        <v>1826</v>
      </c>
      <c r="C787" t="s">
        <v>579</v>
      </c>
      <c r="D787" s="2">
        <v>45740</v>
      </c>
      <c r="E787" t="s">
        <v>473</v>
      </c>
      <c r="F787" t="str">
        <f>VLOOKUP($C787,Product_Dim!$A$2:$D$101,3,FALSE)</f>
        <v>Pineda Ltd</v>
      </c>
      <c r="G787" t="str">
        <f>VLOOKUP($C787,Product_Dim!$A$2:$D$101,2,FALSE)</f>
        <v>Clothing</v>
      </c>
      <c r="H787">
        <v>1</v>
      </c>
      <c r="I787">
        <v>402.47</v>
      </c>
      <c r="J787">
        <v>0.19</v>
      </c>
      <c r="K787" s="3">
        <v>326.00070000000011</v>
      </c>
      <c r="L787" t="s">
        <v>854</v>
      </c>
      <c r="M787" t="str">
        <f>VLOOKUP($E787,Customer_Dim!$A$2:$F$501,3,FALSE)</f>
        <v>Female</v>
      </c>
      <c r="N787" t="str">
        <f>VLOOKUP($E787,Customer_Dim!$A$2:$F$501,5,FALSE)</f>
        <v>USA</v>
      </c>
      <c r="O787" t="str">
        <f>VLOOKUP($E787,Customer_Dim!$A$2:$F$501,6,FALSE)</f>
        <v>Gold</v>
      </c>
      <c r="P787" t="str">
        <f>VLOOKUP($A787,Store_Dim!$A$2:$F$21,3,FALSE)</f>
        <v>WestNew Jimmymouth</v>
      </c>
    </row>
    <row r="788" spans="1:16" hidden="1" x14ac:dyDescent="0.25">
      <c r="A788" t="s">
        <v>832</v>
      </c>
      <c r="B788" t="s">
        <v>1472</v>
      </c>
      <c r="C788" t="s">
        <v>636</v>
      </c>
      <c r="D788" s="2">
        <v>45925</v>
      </c>
      <c r="E788" t="s">
        <v>130</v>
      </c>
      <c r="F788" t="str">
        <f>VLOOKUP($C788,Product_Dim!$A$2:$D$101,3,FALSE)</f>
        <v>Stevens, Fernandez and Martin</v>
      </c>
      <c r="G788" t="str">
        <f>VLOOKUP($C788,Product_Dim!$A$2:$D$101,2,FALSE)</f>
        <v>Home</v>
      </c>
      <c r="H788">
        <v>1</v>
      </c>
      <c r="I788">
        <v>703.16</v>
      </c>
      <c r="J788">
        <v>0.28999999999999998</v>
      </c>
      <c r="K788" s="3">
        <v>499.24360000000001</v>
      </c>
      <c r="L788" t="s">
        <v>852</v>
      </c>
      <c r="M788" t="str">
        <f>VLOOKUP($E788,Customer_Dim!$A$2:$F$501,3,FALSE)</f>
        <v>Female</v>
      </c>
      <c r="N788" t="str">
        <f>VLOOKUP($E788,Customer_Dim!$A$2:$F$501,5,FALSE)</f>
        <v>USA</v>
      </c>
      <c r="O788" t="str">
        <f>VLOOKUP($E788,Customer_Dim!$A$2:$F$501,6,FALSE)</f>
        <v>Gold</v>
      </c>
      <c r="P788" t="str">
        <f>VLOOKUP($A788,Store_Dim!$A$2:$F$21,3,FALSE)</f>
        <v>WestNew Jimmymouth</v>
      </c>
    </row>
    <row r="789" spans="1:16" x14ac:dyDescent="0.25">
      <c r="A789" t="s">
        <v>832</v>
      </c>
      <c r="B789" t="s">
        <v>2447</v>
      </c>
      <c r="C789" t="s">
        <v>636</v>
      </c>
      <c r="D789" s="2">
        <v>45355</v>
      </c>
      <c r="E789" t="s">
        <v>207</v>
      </c>
      <c r="F789" t="str">
        <f>VLOOKUP($C789,Product_Dim!$A$2:$D$101,3,FALSE)</f>
        <v>Stevens, Fernandez and Martin</v>
      </c>
      <c r="G789" t="str">
        <f>VLOOKUP($C789,Product_Dim!$A$2:$D$101,2,FALSE)</f>
        <v>Home</v>
      </c>
      <c r="H789">
        <v>1</v>
      </c>
      <c r="I789">
        <v>101.84</v>
      </c>
      <c r="J789">
        <v>0.17</v>
      </c>
      <c r="K789" s="3">
        <v>84.527199999999993</v>
      </c>
      <c r="L789" t="s">
        <v>852</v>
      </c>
      <c r="M789" t="str">
        <f>VLOOKUP($E789,Customer_Dim!$A$2:$F$501,3,FALSE)</f>
        <v>Male</v>
      </c>
      <c r="N789" t="str">
        <f>VLOOKUP($E789,Customer_Dim!$A$2:$F$501,5,FALSE)</f>
        <v>USA</v>
      </c>
      <c r="O789" t="str">
        <f>VLOOKUP($E789,Customer_Dim!$A$2:$F$501,6,FALSE)</f>
        <v>Bronze</v>
      </c>
      <c r="P789" t="str">
        <f>VLOOKUP($A789,Store_Dim!$A$2:$F$21,3,FALSE)</f>
        <v>WestNew Jimmymouth</v>
      </c>
    </row>
    <row r="790" spans="1:16" hidden="1" x14ac:dyDescent="0.25">
      <c r="A790" t="s">
        <v>832</v>
      </c>
      <c r="B790" t="s">
        <v>1794</v>
      </c>
      <c r="C790" t="s">
        <v>638</v>
      </c>
      <c r="D790" s="2">
        <v>45880</v>
      </c>
      <c r="E790" t="s">
        <v>512</v>
      </c>
      <c r="F790" t="str">
        <f>VLOOKUP($C790,Product_Dim!$A$2:$D$101,3,FALSE)</f>
        <v>Nolan-Snow</v>
      </c>
      <c r="G790" t="str">
        <f>VLOOKUP($C790,Product_Dim!$A$2:$D$101,2,FALSE)</f>
        <v>Sports</v>
      </c>
      <c r="H790">
        <v>3</v>
      </c>
      <c r="I790">
        <v>938.68</v>
      </c>
      <c r="J790">
        <v>0.14000000000000001</v>
      </c>
      <c r="K790" s="3">
        <v>2421.7944000000002</v>
      </c>
      <c r="L790" t="s">
        <v>852</v>
      </c>
      <c r="M790" t="str">
        <f>VLOOKUP($E790,Customer_Dim!$A$2:$F$501,3,FALSE)</f>
        <v>Female</v>
      </c>
      <c r="N790" t="str">
        <f>VLOOKUP($E790,Customer_Dim!$A$2:$F$501,5,FALSE)</f>
        <v>USA</v>
      </c>
      <c r="O790" t="str">
        <f>VLOOKUP($E790,Customer_Dim!$A$2:$F$501,6,FALSE)</f>
        <v>Platinum</v>
      </c>
      <c r="P790" t="str">
        <f>VLOOKUP($A790,Store_Dim!$A$2:$F$21,3,FALSE)</f>
        <v>WestNew Jimmymouth</v>
      </c>
    </row>
    <row r="791" spans="1:16" hidden="1" x14ac:dyDescent="0.25">
      <c r="A791" t="s">
        <v>832</v>
      </c>
      <c r="B791" t="s">
        <v>1060</v>
      </c>
      <c r="C791" t="s">
        <v>644</v>
      </c>
      <c r="D791" s="2">
        <v>45445</v>
      </c>
      <c r="E791" t="s">
        <v>309</v>
      </c>
      <c r="F791" t="str">
        <f>VLOOKUP($C791,Product_Dim!$A$2:$D$101,3,FALSE)</f>
        <v>Lucero LLC</v>
      </c>
      <c r="G791" t="str">
        <f>VLOOKUP($C791,Product_Dim!$A$2:$D$101,2,FALSE)</f>
        <v>Electronics</v>
      </c>
      <c r="H791">
        <v>4</v>
      </c>
      <c r="I791">
        <v>362.81</v>
      </c>
      <c r="J791">
        <v>0.21</v>
      </c>
      <c r="K791" s="3">
        <v>1146.4795999999999</v>
      </c>
      <c r="L791" t="s">
        <v>857</v>
      </c>
      <c r="M791" t="str">
        <f>VLOOKUP($E791,Customer_Dim!$A$2:$F$501,3,FALSE)</f>
        <v>Female</v>
      </c>
      <c r="N791" t="str">
        <f>VLOOKUP($E791,Customer_Dim!$A$2:$F$501,5,FALSE)</f>
        <v>USA</v>
      </c>
      <c r="O791" t="str">
        <f>VLOOKUP($E791,Customer_Dim!$A$2:$F$501,6,FALSE)</f>
        <v>Gold</v>
      </c>
      <c r="P791" t="str">
        <f>VLOOKUP($A791,Store_Dim!$A$2:$F$21,3,FALSE)</f>
        <v>WestNew Jimmymouth</v>
      </c>
    </row>
    <row r="792" spans="1:16" x14ac:dyDescent="0.25">
      <c r="A792" t="s">
        <v>832</v>
      </c>
      <c r="B792" t="s">
        <v>2692</v>
      </c>
      <c r="C792" t="s">
        <v>644</v>
      </c>
      <c r="D792" s="2">
        <v>45586</v>
      </c>
      <c r="E792" t="s">
        <v>437</v>
      </c>
      <c r="F792" t="str">
        <f>VLOOKUP($C792,Product_Dim!$A$2:$D$101,3,FALSE)</f>
        <v>Lucero LLC</v>
      </c>
      <c r="G792" t="str">
        <f>VLOOKUP($C792,Product_Dim!$A$2:$D$101,2,FALSE)</f>
        <v>Electronics</v>
      </c>
      <c r="H792">
        <v>2</v>
      </c>
      <c r="I792">
        <v>858.15</v>
      </c>
      <c r="J792">
        <v>0.03</v>
      </c>
      <c r="K792" s="3">
        <v>1664.8109999999999</v>
      </c>
      <c r="L792" t="s">
        <v>852</v>
      </c>
      <c r="M792" t="str">
        <f>VLOOKUP($E792,Customer_Dim!$A$2:$F$501,3,FALSE)</f>
        <v>Male</v>
      </c>
      <c r="N792" t="str">
        <f>VLOOKUP($E792,Customer_Dim!$A$2:$F$501,5,FALSE)</f>
        <v>USA</v>
      </c>
      <c r="O792" t="str">
        <f>VLOOKUP($E792,Customer_Dim!$A$2:$F$501,6,FALSE)</f>
        <v>Silver</v>
      </c>
      <c r="P792" t="str">
        <f>VLOOKUP($A792,Store_Dim!$A$2:$F$21,3,FALSE)</f>
        <v>WestNew Jimmymouth</v>
      </c>
    </row>
    <row r="793" spans="1:16" hidden="1" x14ac:dyDescent="0.25">
      <c r="A793" t="s">
        <v>832</v>
      </c>
      <c r="B793" t="s">
        <v>997</v>
      </c>
      <c r="C793" t="s">
        <v>644</v>
      </c>
      <c r="D793" s="2">
        <v>45884</v>
      </c>
      <c r="E793" t="s">
        <v>468</v>
      </c>
      <c r="F793" t="str">
        <f>VLOOKUP($C793,Product_Dim!$A$2:$D$101,3,FALSE)</f>
        <v>Lucero LLC</v>
      </c>
      <c r="G793" t="str">
        <f>VLOOKUP($C793,Product_Dim!$A$2:$D$101,2,FALSE)</f>
        <v>Electronics</v>
      </c>
      <c r="H793">
        <v>4</v>
      </c>
      <c r="I793">
        <v>450.12</v>
      </c>
      <c r="J793">
        <v>0.28999999999999998</v>
      </c>
      <c r="K793" s="3">
        <v>1278.3407999999999</v>
      </c>
      <c r="L793" t="s">
        <v>857</v>
      </c>
      <c r="M793" t="str">
        <f>VLOOKUP($E793,Customer_Dim!$A$2:$F$501,3,FALSE)</f>
        <v>Female</v>
      </c>
      <c r="N793" t="str">
        <f>VLOOKUP($E793,Customer_Dim!$A$2:$F$501,5,FALSE)</f>
        <v>USA</v>
      </c>
      <c r="O793" t="str">
        <f>VLOOKUP($E793,Customer_Dim!$A$2:$F$501,6,FALSE)</f>
        <v>Platinum</v>
      </c>
      <c r="P793" t="str">
        <f>VLOOKUP($A793,Store_Dim!$A$2:$F$21,3,FALSE)</f>
        <v>WestNew Jimmymouth</v>
      </c>
    </row>
    <row r="794" spans="1:16" hidden="1" x14ac:dyDescent="0.25">
      <c r="A794" t="s">
        <v>832</v>
      </c>
      <c r="B794" t="s">
        <v>1871</v>
      </c>
      <c r="C794" t="s">
        <v>644</v>
      </c>
      <c r="D794" s="2">
        <v>45837</v>
      </c>
      <c r="E794" t="s">
        <v>509</v>
      </c>
      <c r="F794" t="str">
        <f>VLOOKUP($C794,Product_Dim!$A$2:$D$101,3,FALSE)</f>
        <v>Lucero LLC</v>
      </c>
      <c r="G794" t="str">
        <f>VLOOKUP($C794,Product_Dim!$A$2:$D$101,2,FALSE)</f>
        <v>Electronics</v>
      </c>
      <c r="H794">
        <v>4</v>
      </c>
      <c r="I794">
        <v>115.42</v>
      </c>
      <c r="J794">
        <v>0.03</v>
      </c>
      <c r="K794" s="3">
        <v>447.82960000000003</v>
      </c>
      <c r="L794" t="s">
        <v>857</v>
      </c>
      <c r="M794" t="str">
        <f>VLOOKUP($E794,Customer_Dim!$A$2:$F$501,3,FALSE)</f>
        <v>Female</v>
      </c>
      <c r="N794" t="str">
        <f>VLOOKUP($E794,Customer_Dim!$A$2:$F$501,5,FALSE)</f>
        <v>USA</v>
      </c>
      <c r="O794" t="str">
        <f>VLOOKUP($E794,Customer_Dim!$A$2:$F$501,6,FALSE)</f>
        <v>Bronze</v>
      </c>
      <c r="P794" t="str">
        <f>VLOOKUP($A794,Store_Dim!$A$2:$F$21,3,FALSE)</f>
        <v>WestNew Jimmymouth</v>
      </c>
    </row>
    <row r="795" spans="1:16" x14ac:dyDescent="0.25">
      <c r="A795" t="s">
        <v>832</v>
      </c>
      <c r="B795" t="s">
        <v>867</v>
      </c>
      <c r="C795" t="s">
        <v>644</v>
      </c>
      <c r="D795" s="2">
        <v>45875</v>
      </c>
      <c r="E795" t="s">
        <v>510</v>
      </c>
      <c r="F795" t="str">
        <f>VLOOKUP($C795,Product_Dim!$A$2:$D$101,3,FALSE)</f>
        <v>Lucero LLC</v>
      </c>
      <c r="G795" t="str">
        <f>VLOOKUP($C795,Product_Dim!$A$2:$D$101,2,FALSE)</f>
        <v>Electronics</v>
      </c>
      <c r="H795">
        <v>2</v>
      </c>
      <c r="I795">
        <v>316.89999999999998</v>
      </c>
      <c r="J795">
        <v>0.3</v>
      </c>
      <c r="K795" s="3">
        <v>443.66</v>
      </c>
      <c r="L795" t="s">
        <v>854</v>
      </c>
      <c r="M795" t="str">
        <f>VLOOKUP($E795,Customer_Dim!$A$2:$F$501,3,FALSE)</f>
        <v>Male</v>
      </c>
      <c r="N795" t="str">
        <f>VLOOKUP($E795,Customer_Dim!$A$2:$F$501,5,FALSE)</f>
        <v>USA</v>
      </c>
      <c r="O795" t="str">
        <f>VLOOKUP($E795,Customer_Dim!$A$2:$F$501,6,FALSE)</f>
        <v>Silver</v>
      </c>
      <c r="P795" t="str">
        <f>VLOOKUP($A795,Store_Dim!$A$2:$F$21,3,FALSE)</f>
        <v>WestNew Jimmymouth</v>
      </c>
    </row>
    <row r="796" spans="1:16" x14ac:dyDescent="0.25">
      <c r="A796" t="s">
        <v>832</v>
      </c>
      <c r="B796" t="s">
        <v>1974</v>
      </c>
      <c r="C796" t="s">
        <v>650</v>
      </c>
      <c r="D796" s="2">
        <v>45446</v>
      </c>
      <c r="E796" t="s">
        <v>51</v>
      </c>
      <c r="F796" t="str">
        <f>VLOOKUP($C796,Product_Dim!$A$2:$D$101,3,FALSE)</f>
        <v>Hogan-Lee</v>
      </c>
      <c r="G796" t="str">
        <f>VLOOKUP($C796,Product_Dim!$A$2:$D$101,2,FALSE)</f>
        <v>Clothing</v>
      </c>
      <c r="H796">
        <v>4</v>
      </c>
      <c r="I796">
        <v>21.12</v>
      </c>
      <c r="J796">
        <v>0.18</v>
      </c>
      <c r="K796" s="3">
        <v>69.273600000000002</v>
      </c>
      <c r="L796" t="s">
        <v>857</v>
      </c>
      <c r="M796" t="str">
        <f>VLOOKUP($E796,Customer_Dim!$A$2:$F$501,3,FALSE)</f>
        <v>Male</v>
      </c>
      <c r="N796" t="str">
        <f>VLOOKUP($E796,Customer_Dim!$A$2:$F$501,5,FALSE)</f>
        <v>USA</v>
      </c>
      <c r="O796" t="str">
        <f>VLOOKUP($E796,Customer_Dim!$A$2:$F$501,6,FALSE)</f>
        <v>Silver</v>
      </c>
      <c r="P796" t="str">
        <f>VLOOKUP($A796,Store_Dim!$A$2:$F$21,3,FALSE)</f>
        <v>WestNew Jimmymouth</v>
      </c>
    </row>
    <row r="797" spans="1:16" hidden="1" x14ac:dyDescent="0.25">
      <c r="A797" t="s">
        <v>832</v>
      </c>
      <c r="B797" t="s">
        <v>1527</v>
      </c>
      <c r="C797" t="s">
        <v>650</v>
      </c>
      <c r="D797" s="2">
        <v>45538</v>
      </c>
      <c r="E797" t="s">
        <v>300</v>
      </c>
      <c r="F797" t="str">
        <f>VLOOKUP($C797,Product_Dim!$A$2:$D$101,3,FALSE)</f>
        <v>Hogan-Lee</v>
      </c>
      <c r="G797" t="str">
        <f>VLOOKUP($C797,Product_Dim!$A$2:$D$101,2,FALSE)</f>
        <v>Clothing</v>
      </c>
      <c r="H797">
        <v>2</v>
      </c>
      <c r="I797">
        <v>472.08</v>
      </c>
      <c r="J797">
        <v>7.0000000000000007E-2</v>
      </c>
      <c r="K797" s="3">
        <v>878.0687999999999</v>
      </c>
      <c r="L797" t="s">
        <v>852</v>
      </c>
      <c r="M797" t="str">
        <f>VLOOKUP($E797,Customer_Dim!$A$2:$F$501,3,FALSE)</f>
        <v>Female</v>
      </c>
      <c r="N797" t="str">
        <f>VLOOKUP($E797,Customer_Dim!$A$2:$F$501,5,FALSE)</f>
        <v>USA</v>
      </c>
      <c r="O797" t="str">
        <f>VLOOKUP($E797,Customer_Dim!$A$2:$F$501,6,FALSE)</f>
        <v>Gold</v>
      </c>
      <c r="P797" t="str">
        <f>VLOOKUP($A797,Store_Dim!$A$2:$F$21,3,FALSE)</f>
        <v>WestNew Jimmymouth</v>
      </c>
    </row>
    <row r="798" spans="1:16" x14ac:dyDescent="0.25">
      <c r="A798" t="s">
        <v>832</v>
      </c>
      <c r="B798" t="s">
        <v>1220</v>
      </c>
      <c r="C798" t="s">
        <v>650</v>
      </c>
      <c r="D798" s="2">
        <v>45469</v>
      </c>
      <c r="E798" t="s">
        <v>437</v>
      </c>
      <c r="F798" t="str">
        <f>VLOOKUP($C798,Product_Dim!$A$2:$D$101,3,FALSE)</f>
        <v>Hogan-Lee</v>
      </c>
      <c r="G798" t="str">
        <f>VLOOKUP($C798,Product_Dim!$A$2:$D$101,2,FALSE)</f>
        <v>Clothing</v>
      </c>
      <c r="H798">
        <v>1</v>
      </c>
      <c r="I798">
        <v>628.98</v>
      </c>
      <c r="J798">
        <v>0.03</v>
      </c>
      <c r="K798" s="3">
        <v>610.11059999999998</v>
      </c>
      <c r="L798" t="s">
        <v>857</v>
      </c>
      <c r="M798" t="str">
        <f>VLOOKUP($E798,Customer_Dim!$A$2:$F$501,3,FALSE)</f>
        <v>Male</v>
      </c>
      <c r="N798" t="str">
        <f>VLOOKUP($E798,Customer_Dim!$A$2:$F$501,5,FALSE)</f>
        <v>USA</v>
      </c>
      <c r="O798" t="str">
        <f>VLOOKUP($E798,Customer_Dim!$A$2:$F$501,6,FALSE)</f>
        <v>Silver</v>
      </c>
      <c r="P798" t="str">
        <f>VLOOKUP($A798,Store_Dim!$A$2:$F$21,3,FALSE)</f>
        <v>WestNew Jimmymouth</v>
      </c>
    </row>
    <row r="799" spans="1:16" x14ac:dyDescent="0.25">
      <c r="A799" t="s">
        <v>832</v>
      </c>
      <c r="B799" t="s">
        <v>2243</v>
      </c>
      <c r="C799" t="s">
        <v>660</v>
      </c>
      <c r="D799" s="2">
        <v>45868</v>
      </c>
      <c r="E799" t="s">
        <v>371</v>
      </c>
      <c r="F799" t="str">
        <f>VLOOKUP($C799,Product_Dim!$A$2:$D$101,3,FALSE)</f>
        <v>Holmes LLC</v>
      </c>
      <c r="G799" t="str">
        <f>VLOOKUP($C799,Product_Dim!$A$2:$D$101,2,FALSE)</f>
        <v>Electronics</v>
      </c>
      <c r="H799">
        <v>1</v>
      </c>
      <c r="I799">
        <v>653.91</v>
      </c>
      <c r="J799">
        <v>0.3</v>
      </c>
      <c r="K799" s="3">
        <v>457.73700000000002</v>
      </c>
      <c r="L799" t="s">
        <v>854</v>
      </c>
      <c r="M799" t="str">
        <f>VLOOKUP($E799,Customer_Dim!$A$2:$F$501,3,FALSE)</f>
        <v>Male</v>
      </c>
      <c r="N799" t="str">
        <f>VLOOKUP($E799,Customer_Dim!$A$2:$F$501,5,FALSE)</f>
        <v>USA</v>
      </c>
      <c r="O799" t="str">
        <f>VLOOKUP($E799,Customer_Dim!$A$2:$F$501,6,FALSE)</f>
        <v>Silver</v>
      </c>
      <c r="P799" t="str">
        <f>VLOOKUP($A799,Store_Dim!$A$2:$F$21,3,FALSE)</f>
        <v>WestNew Jimmymouth</v>
      </c>
    </row>
    <row r="800" spans="1:16" x14ac:dyDescent="0.25">
      <c r="A800" t="s">
        <v>832</v>
      </c>
      <c r="B800" t="s">
        <v>1396</v>
      </c>
      <c r="C800" t="s">
        <v>664</v>
      </c>
      <c r="D800" s="2">
        <v>45287</v>
      </c>
      <c r="E800" t="s">
        <v>269</v>
      </c>
      <c r="F800" t="str">
        <f>VLOOKUP($C800,Product_Dim!$A$2:$D$101,3,FALSE)</f>
        <v>Cox Inc</v>
      </c>
      <c r="G800" t="str">
        <f>VLOOKUP($C800,Product_Dim!$A$2:$D$101,2,FALSE)</f>
        <v>Sports</v>
      </c>
      <c r="H800">
        <v>1</v>
      </c>
      <c r="I800">
        <v>442.36</v>
      </c>
      <c r="J800">
        <v>0.14000000000000001</v>
      </c>
      <c r="K800" s="3">
        <v>380.42959999999999</v>
      </c>
      <c r="L800" t="s">
        <v>852</v>
      </c>
      <c r="M800" t="str">
        <f>VLOOKUP($E800,Customer_Dim!$A$2:$F$501,3,FALSE)</f>
        <v>Male</v>
      </c>
      <c r="N800" t="str">
        <f>VLOOKUP($E800,Customer_Dim!$A$2:$F$501,5,FALSE)</f>
        <v>USA</v>
      </c>
      <c r="O800" t="str">
        <f>VLOOKUP($E800,Customer_Dim!$A$2:$F$501,6,FALSE)</f>
        <v>Platinum</v>
      </c>
      <c r="P800" t="str">
        <f>VLOOKUP($A800,Store_Dim!$A$2:$F$21,3,FALSE)</f>
        <v>WestNew Jimmymouth</v>
      </c>
    </row>
    <row r="801" spans="1:16" hidden="1" x14ac:dyDescent="0.25">
      <c r="A801" t="s">
        <v>832</v>
      </c>
      <c r="B801" t="s">
        <v>1367</v>
      </c>
      <c r="C801" t="s">
        <v>666</v>
      </c>
      <c r="D801" s="2">
        <v>45735</v>
      </c>
      <c r="E801" t="s">
        <v>432</v>
      </c>
      <c r="F801" t="str">
        <f>VLOOKUP($C801,Product_Dim!$A$2:$D$101,3,FALSE)</f>
        <v>Bridges, Banks and Cummings</v>
      </c>
      <c r="G801" t="str">
        <f>VLOOKUP($C801,Product_Dim!$A$2:$D$101,2,FALSE)</f>
        <v>Sports</v>
      </c>
      <c r="H801">
        <v>1</v>
      </c>
      <c r="I801">
        <v>853.12</v>
      </c>
      <c r="J801">
        <v>0.19</v>
      </c>
      <c r="K801" s="3">
        <v>691.02719999999999</v>
      </c>
      <c r="L801" t="s">
        <v>857</v>
      </c>
      <c r="M801" t="str">
        <f>VLOOKUP($E801,Customer_Dim!$A$2:$F$501,3,FALSE)</f>
        <v>Female</v>
      </c>
      <c r="N801" t="str">
        <f>VLOOKUP($E801,Customer_Dim!$A$2:$F$501,5,FALSE)</f>
        <v>USA</v>
      </c>
      <c r="O801" t="str">
        <f>VLOOKUP($E801,Customer_Dim!$A$2:$F$501,6,FALSE)</f>
        <v>Platinum</v>
      </c>
      <c r="P801" t="str">
        <f>VLOOKUP($A801,Store_Dim!$A$2:$F$21,3,FALSE)</f>
        <v>WestNew Jimmymouth</v>
      </c>
    </row>
    <row r="802" spans="1:16" hidden="1" x14ac:dyDescent="0.25">
      <c r="A802" t="s">
        <v>832</v>
      </c>
      <c r="B802" t="s">
        <v>1686</v>
      </c>
      <c r="C802" t="s">
        <v>668</v>
      </c>
      <c r="D802" s="2">
        <v>45548</v>
      </c>
      <c r="E802" t="s">
        <v>559</v>
      </c>
      <c r="F802" t="str">
        <f>VLOOKUP($C802,Product_Dim!$A$2:$D$101,3,FALSE)</f>
        <v>Kelly, Smith and Perez</v>
      </c>
      <c r="G802" t="str">
        <f>VLOOKUP($C802,Product_Dim!$A$2:$D$101,2,FALSE)</f>
        <v>Clothing</v>
      </c>
      <c r="H802">
        <v>2</v>
      </c>
      <c r="I802">
        <v>780.9</v>
      </c>
      <c r="J802">
        <v>0.24</v>
      </c>
      <c r="K802" s="3">
        <v>1186.9680000000001</v>
      </c>
      <c r="L802" t="s">
        <v>854</v>
      </c>
      <c r="M802" t="str">
        <f>VLOOKUP($E802,Customer_Dim!$A$2:$F$501,3,FALSE)</f>
        <v>Female</v>
      </c>
      <c r="N802" t="str">
        <f>VLOOKUP($E802,Customer_Dim!$A$2:$F$501,5,FALSE)</f>
        <v>USA</v>
      </c>
      <c r="O802" t="str">
        <f>VLOOKUP($E802,Customer_Dim!$A$2:$F$501,6,FALSE)</f>
        <v>Platinum</v>
      </c>
      <c r="P802" t="str">
        <f>VLOOKUP($A802,Store_Dim!$A$2:$F$21,3,FALSE)</f>
        <v>WestNew Jimmymouth</v>
      </c>
    </row>
    <row r="803" spans="1:16" x14ac:dyDescent="0.25">
      <c r="A803" t="s">
        <v>832</v>
      </c>
      <c r="B803" t="s">
        <v>1135</v>
      </c>
      <c r="C803" t="s">
        <v>670</v>
      </c>
      <c r="D803" s="2">
        <v>45475</v>
      </c>
      <c r="E803" t="s">
        <v>557</v>
      </c>
      <c r="F803" t="str">
        <f>VLOOKUP($C803,Product_Dim!$A$2:$D$101,3,FALSE)</f>
        <v>Cook Inc</v>
      </c>
      <c r="G803" t="str">
        <f>VLOOKUP($C803,Product_Dim!$A$2:$D$101,2,FALSE)</f>
        <v>Beauty</v>
      </c>
      <c r="H803">
        <v>3</v>
      </c>
      <c r="I803">
        <v>64.2</v>
      </c>
      <c r="J803">
        <v>0.08</v>
      </c>
      <c r="K803" s="3">
        <v>177.19200000000001</v>
      </c>
      <c r="L803" t="s">
        <v>857</v>
      </c>
      <c r="M803" t="str">
        <f>VLOOKUP($E803,Customer_Dim!$A$2:$F$501,3,FALSE)</f>
        <v>Male</v>
      </c>
      <c r="N803" t="str">
        <f>VLOOKUP($E803,Customer_Dim!$A$2:$F$501,5,FALSE)</f>
        <v>USA</v>
      </c>
      <c r="O803" t="str">
        <f>VLOOKUP($E803,Customer_Dim!$A$2:$F$501,6,FALSE)</f>
        <v>Platinum</v>
      </c>
      <c r="P803" t="str">
        <f>VLOOKUP($A803,Store_Dim!$A$2:$F$21,3,FALSE)</f>
        <v>WestNew Jimmymouth</v>
      </c>
    </row>
    <row r="804" spans="1:16" x14ac:dyDescent="0.25">
      <c r="A804" t="s">
        <v>832</v>
      </c>
      <c r="B804" t="s">
        <v>1068</v>
      </c>
      <c r="C804" t="s">
        <v>672</v>
      </c>
      <c r="D804" s="2">
        <v>45943</v>
      </c>
      <c r="E804" t="s">
        <v>264</v>
      </c>
      <c r="F804" t="str">
        <f>VLOOKUP($C804,Product_Dim!$A$2:$D$101,3,FALSE)</f>
        <v>Byrd, Stewart and Valdez</v>
      </c>
      <c r="G804" t="str">
        <f>VLOOKUP($C804,Product_Dim!$A$2:$D$101,2,FALSE)</f>
        <v>Electronics</v>
      </c>
      <c r="H804">
        <v>1</v>
      </c>
      <c r="I804">
        <v>775.84</v>
      </c>
      <c r="J804">
        <v>0.26</v>
      </c>
      <c r="K804" s="3">
        <v>574.12160000000006</v>
      </c>
      <c r="L804" t="s">
        <v>852</v>
      </c>
      <c r="M804" t="str">
        <f>VLOOKUP($E804,Customer_Dim!$A$2:$F$501,3,FALSE)</f>
        <v>Male</v>
      </c>
      <c r="N804" t="str">
        <f>VLOOKUP($E804,Customer_Dim!$A$2:$F$501,5,FALSE)</f>
        <v>USA</v>
      </c>
      <c r="O804" t="str">
        <f>VLOOKUP($E804,Customer_Dim!$A$2:$F$501,6,FALSE)</f>
        <v>Bronze</v>
      </c>
      <c r="P804" t="str">
        <f>VLOOKUP($A804,Store_Dim!$A$2:$F$21,3,FALSE)</f>
        <v>WestNew Jimmymouth</v>
      </c>
    </row>
    <row r="805" spans="1:16" x14ac:dyDescent="0.25">
      <c r="A805" t="s">
        <v>832</v>
      </c>
      <c r="B805" t="s">
        <v>2139</v>
      </c>
      <c r="C805" t="s">
        <v>583</v>
      </c>
      <c r="D805" s="2">
        <v>45622</v>
      </c>
      <c r="E805" t="s">
        <v>392</v>
      </c>
      <c r="F805" t="str">
        <f>VLOOKUP($C805,Product_Dim!$A$2:$D$101,3,FALSE)</f>
        <v>Baldwin, Garza and Gonzalez</v>
      </c>
      <c r="G805" t="str">
        <f>VLOOKUP($C805,Product_Dim!$A$2:$D$101,2,FALSE)</f>
        <v>Clothing</v>
      </c>
      <c r="H805">
        <v>2</v>
      </c>
      <c r="I805">
        <v>530.54</v>
      </c>
      <c r="J805">
        <v>0.28000000000000003</v>
      </c>
      <c r="K805" s="3">
        <v>763.97759999999994</v>
      </c>
      <c r="L805" t="s">
        <v>857</v>
      </c>
      <c r="M805" t="str">
        <f>VLOOKUP($E805,Customer_Dim!$A$2:$F$501,3,FALSE)</f>
        <v>Male</v>
      </c>
      <c r="N805" t="str">
        <f>VLOOKUP($E805,Customer_Dim!$A$2:$F$501,5,FALSE)</f>
        <v>USA</v>
      </c>
      <c r="O805" t="str">
        <f>VLOOKUP($E805,Customer_Dim!$A$2:$F$501,6,FALSE)</f>
        <v>Bronze</v>
      </c>
      <c r="P805" t="str">
        <f>VLOOKUP($A805,Store_Dim!$A$2:$F$21,3,FALSE)</f>
        <v>WestNew Jimmymouth</v>
      </c>
    </row>
    <row r="806" spans="1:16" x14ac:dyDescent="0.25">
      <c r="A806" t="s">
        <v>832</v>
      </c>
      <c r="B806" t="s">
        <v>1650</v>
      </c>
      <c r="C806" t="s">
        <v>678</v>
      </c>
      <c r="D806" s="2">
        <v>45299</v>
      </c>
      <c r="E806" t="s">
        <v>98</v>
      </c>
      <c r="F806" t="str">
        <f>VLOOKUP($C806,Product_Dim!$A$2:$D$101,3,FALSE)</f>
        <v>Bautista, Green and Hale</v>
      </c>
      <c r="G806" t="str">
        <f>VLOOKUP($C806,Product_Dim!$A$2:$D$101,2,FALSE)</f>
        <v>Electronics</v>
      </c>
      <c r="H806">
        <v>1</v>
      </c>
      <c r="I806">
        <v>408.66</v>
      </c>
      <c r="J806">
        <v>0.13</v>
      </c>
      <c r="K806" s="3">
        <v>355.5342</v>
      </c>
      <c r="L806" t="s">
        <v>857</v>
      </c>
      <c r="M806" t="str">
        <f>VLOOKUP($E806,Customer_Dim!$A$2:$F$501,3,FALSE)</f>
        <v>Male</v>
      </c>
      <c r="N806" t="str">
        <f>VLOOKUP($E806,Customer_Dim!$A$2:$F$501,5,FALSE)</f>
        <v>USA</v>
      </c>
      <c r="O806" t="str">
        <f>VLOOKUP($E806,Customer_Dim!$A$2:$F$501,6,FALSE)</f>
        <v>Bronze</v>
      </c>
      <c r="P806" t="str">
        <f>VLOOKUP($A806,Store_Dim!$A$2:$F$21,3,FALSE)</f>
        <v>WestNew Jimmymouth</v>
      </c>
    </row>
    <row r="807" spans="1:16" hidden="1" x14ac:dyDescent="0.25">
      <c r="A807" t="s">
        <v>832</v>
      </c>
      <c r="B807" t="s">
        <v>1181</v>
      </c>
      <c r="C807" t="s">
        <v>678</v>
      </c>
      <c r="D807" s="2">
        <v>45240</v>
      </c>
      <c r="E807" t="s">
        <v>401</v>
      </c>
      <c r="F807" t="str">
        <f>VLOOKUP($C807,Product_Dim!$A$2:$D$101,3,FALSE)</f>
        <v>Bautista, Green and Hale</v>
      </c>
      <c r="G807" t="str">
        <f>VLOOKUP($C807,Product_Dim!$A$2:$D$101,2,FALSE)</f>
        <v>Electronics</v>
      </c>
      <c r="H807">
        <v>1</v>
      </c>
      <c r="I807">
        <v>272.2</v>
      </c>
      <c r="J807">
        <v>0.3</v>
      </c>
      <c r="K807" s="3">
        <v>190.54</v>
      </c>
      <c r="L807" t="s">
        <v>852</v>
      </c>
      <c r="M807" t="str">
        <f>VLOOKUP($E807,Customer_Dim!$A$2:$F$501,3,FALSE)</f>
        <v>Female</v>
      </c>
      <c r="N807" t="str">
        <f>VLOOKUP($E807,Customer_Dim!$A$2:$F$501,5,FALSE)</f>
        <v>USA</v>
      </c>
      <c r="O807" t="str">
        <f>VLOOKUP($E807,Customer_Dim!$A$2:$F$501,6,FALSE)</f>
        <v>Silver</v>
      </c>
      <c r="P807" t="str">
        <f>VLOOKUP($A807,Store_Dim!$A$2:$F$21,3,FALSE)</f>
        <v>WestNew Jimmymouth</v>
      </c>
    </row>
    <row r="808" spans="1:16" hidden="1" x14ac:dyDescent="0.25">
      <c r="A808" t="s">
        <v>832</v>
      </c>
      <c r="B808" t="s">
        <v>2202</v>
      </c>
      <c r="C808" t="s">
        <v>684</v>
      </c>
      <c r="D808" s="2">
        <v>45927</v>
      </c>
      <c r="E808" t="s">
        <v>228</v>
      </c>
      <c r="F808" t="str">
        <f>VLOOKUP($C808,Product_Dim!$A$2:$D$101,3,FALSE)</f>
        <v>Thompson-French</v>
      </c>
      <c r="G808" t="str">
        <f>VLOOKUP($C808,Product_Dim!$A$2:$D$101,2,FALSE)</f>
        <v>Sports</v>
      </c>
      <c r="H808">
        <v>3</v>
      </c>
      <c r="I808">
        <v>183.44</v>
      </c>
      <c r="J808">
        <v>0.28000000000000003</v>
      </c>
      <c r="K808" s="3">
        <v>396.23039999999992</v>
      </c>
      <c r="L808" t="s">
        <v>857</v>
      </c>
      <c r="M808" t="str">
        <f>VLOOKUP($E808,Customer_Dim!$A$2:$F$501,3,FALSE)</f>
        <v>Female</v>
      </c>
      <c r="N808" t="str">
        <f>VLOOKUP($E808,Customer_Dim!$A$2:$F$501,5,FALSE)</f>
        <v>USA</v>
      </c>
      <c r="O808" t="str">
        <f>VLOOKUP($E808,Customer_Dim!$A$2:$F$501,6,FALSE)</f>
        <v>Silver</v>
      </c>
      <c r="P808" t="str">
        <f>VLOOKUP($A808,Store_Dim!$A$2:$F$21,3,FALSE)</f>
        <v>WestNew Jimmymouth</v>
      </c>
    </row>
    <row r="809" spans="1:16" x14ac:dyDescent="0.25">
      <c r="A809" t="s">
        <v>832</v>
      </c>
      <c r="B809" t="s">
        <v>2637</v>
      </c>
      <c r="C809" t="s">
        <v>686</v>
      </c>
      <c r="D809" s="2">
        <v>45718</v>
      </c>
      <c r="E809" t="s">
        <v>217</v>
      </c>
      <c r="F809" t="str">
        <f>VLOOKUP($C809,Product_Dim!$A$2:$D$101,3,FALSE)</f>
        <v>Hatfield, Baird and Torres</v>
      </c>
      <c r="G809" t="str">
        <f>VLOOKUP($C809,Product_Dim!$A$2:$D$101,2,FALSE)</f>
        <v>Home</v>
      </c>
      <c r="H809">
        <v>4</v>
      </c>
      <c r="I809">
        <v>613.16999999999996</v>
      </c>
      <c r="J809">
        <v>0.26</v>
      </c>
      <c r="K809" s="3">
        <v>1814.9831999999999</v>
      </c>
      <c r="L809" t="s">
        <v>852</v>
      </c>
      <c r="M809" t="str">
        <f>VLOOKUP($E809,Customer_Dim!$A$2:$F$501,3,FALSE)</f>
        <v>Male</v>
      </c>
      <c r="N809" t="str">
        <f>VLOOKUP($E809,Customer_Dim!$A$2:$F$501,5,FALSE)</f>
        <v>USA</v>
      </c>
      <c r="O809" t="str">
        <f>VLOOKUP($E809,Customer_Dim!$A$2:$F$501,6,FALSE)</f>
        <v>Bronze</v>
      </c>
      <c r="P809" t="str">
        <f>VLOOKUP($A809,Store_Dim!$A$2:$F$21,3,FALSE)</f>
        <v>WestNew Jimmymouth</v>
      </c>
    </row>
    <row r="810" spans="1:16" x14ac:dyDescent="0.25">
      <c r="A810" t="s">
        <v>832</v>
      </c>
      <c r="B810" t="s">
        <v>2050</v>
      </c>
      <c r="C810" t="s">
        <v>686</v>
      </c>
      <c r="D810" s="2">
        <v>45395</v>
      </c>
      <c r="E810" t="s">
        <v>372</v>
      </c>
      <c r="F810" t="str">
        <f>VLOOKUP($C810,Product_Dim!$A$2:$D$101,3,FALSE)</f>
        <v>Hatfield, Baird and Torres</v>
      </c>
      <c r="G810" t="str">
        <f>VLOOKUP($C810,Product_Dim!$A$2:$D$101,2,FALSE)</f>
        <v>Home</v>
      </c>
      <c r="H810">
        <v>4</v>
      </c>
      <c r="I810">
        <v>750.26</v>
      </c>
      <c r="J810">
        <v>0.01</v>
      </c>
      <c r="K810" s="3">
        <v>2971.0295999999998</v>
      </c>
      <c r="L810" t="s">
        <v>854</v>
      </c>
      <c r="M810" t="str">
        <f>VLOOKUP($E810,Customer_Dim!$A$2:$F$501,3,FALSE)</f>
        <v>Male</v>
      </c>
      <c r="N810" t="str">
        <f>VLOOKUP($E810,Customer_Dim!$A$2:$F$501,5,FALSE)</f>
        <v>USA</v>
      </c>
      <c r="O810" t="str">
        <f>VLOOKUP($E810,Customer_Dim!$A$2:$F$501,6,FALSE)</f>
        <v>Platinum</v>
      </c>
      <c r="P810" t="str">
        <f>VLOOKUP($A810,Store_Dim!$A$2:$F$21,3,FALSE)</f>
        <v>WestNew Jimmymouth</v>
      </c>
    </row>
    <row r="811" spans="1:16" x14ac:dyDescent="0.25">
      <c r="A811" t="s">
        <v>832</v>
      </c>
      <c r="B811" t="s">
        <v>2476</v>
      </c>
      <c r="C811" t="s">
        <v>686</v>
      </c>
      <c r="D811" s="2">
        <v>45531</v>
      </c>
      <c r="E811" t="s">
        <v>535</v>
      </c>
      <c r="F811" t="str">
        <f>VLOOKUP($C811,Product_Dim!$A$2:$D$101,3,FALSE)</f>
        <v>Hatfield, Baird and Torres</v>
      </c>
      <c r="G811" t="str">
        <f>VLOOKUP($C811,Product_Dim!$A$2:$D$101,2,FALSE)</f>
        <v>Home</v>
      </c>
      <c r="H811">
        <v>4</v>
      </c>
      <c r="I811">
        <v>570.38</v>
      </c>
      <c r="J811">
        <v>0.26</v>
      </c>
      <c r="K811" s="3">
        <v>1688.3248000000001</v>
      </c>
      <c r="L811" t="s">
        <v>854</v>
      </c>
      <c r="M811" t="str">
        <f>VLOOKUP($E811,Customer_Dim!$A$2:$F$501,3,FALSE)</f>
        <v>Male</v>
      </c>
      <c r="N811" t="str">
        <f>VLOOKUP($E811,Customer_Dim!$A$2:$F$501,5,FALSE)</f>
        <v>USA</v>
      </c>
      <c r="O811" t="str">
        <f>VLOOKUP($E811,Customer_Dim!$A$2:$F$501,6,FALSE)</f>
        <v>Bronze</v>
      </c>
      <c r="P811" t="str">
        <f>VLOOKUP($A811,Store_Dim!$A$2:$F$21,3,FALSE)</f>
        <v>WestNew Jimmymouth</v>
      </c>
    </row>
    <row r="812" spans="1:16" x14ac:dyDescent="0.25">
      <c r="A812" t="s">
        <v>832</v>
      </c>
      <c r="B812" t="s">
        <v>2680</v>
      </c>
      <c r="C812" t="s">
        <v>688</v>
      </c>
      <c r="D812" s="2">
        <v>45903</v>
      </c>
      <c r="E812" t="s">
        <v>181</v>
      </c>
      <c r="F812" t="str">
        <f>VLOOKUP($C812,Product_Dim!$A$2:$D$101,3,FALSE)</f>
        <v>Hernandez, Kennedy and Porter</v>
      </c>
      <c r="G812" t="str">
        <f>VLOOKUP($C812,Product_Dim!$A$2:$D$101,2,FALSE)</f>
        <v>Home</v>
      </c>
      <c r="H812">
        <v>3</v>
      </c>
      <c r="I812">
        <v>753.47</v>
      </c>
      <c r="J812">
        <v>0.25</v>
      </c>
      <c r="K812" s="3">
        <v>1695.3074999999999</v>
      </c>
      <c r="L812" t="s">
        <v>854</v>
      </c>
      <c r="M812" t="str">
        <f>VLOOKUP($E812,Customer_Dim!$A$2:$F$501,3,FALSE)</f>
        <v>Male</v>
      </c>
      <c r="N812" t="str">
        <f>VLOOKUP($E812,Customer_Dim!$A$2:$F$501,5,FALSE)</f>
        <v>USA</v>
      </c>
      <c r="O812" t="str">
        <f>VLOOKUP($E812,Customer_Dim!$A$2:$F$501,6,FALSE)</f>
        <v>Platinum</v>
      </c>
      <c r="P812" t="str">
        <f>VLOOKUP($A812,Store_Dim!$A$2:$F$21,3,FALSE)</f>
        <v>WestNew Jimmymouth</v>
      </c>
    </row>
    <row r="813" spans="1:16" hidden="1" x14ac:dyDescent="0.25">
      <c r="A813" t="s">
        <v>832</v>
      </c>
      <c r="B813" t="s">
        <v>2027</v>
      </c>
      <c r="C813" t="s">
        <v>688</v>
      </c>
      <c r="D813" s="2">
        <v>45213</v>
      </c>
      <c r="E813" t="s">
        <v>350</v>
      </c>
      <c r="F813" t="str">
        <f>VLOOKUP($C813,Product_Dim!$A$2:$D$101,3,FALSE)</f>
        <v>Hernandez, Kennedy and Porter</v>
      </c>
      <c r="G813" t="str">
        <f>VLOOKUP($C813,Product_Dim!$A$2:$D$101,2,FALSE)</f>
        <v>Home</v>
      </c>
      <c r="H813">
        <v>2</v>
      </c>
      <c r="I813">
        <v>805.08</v>
      </c>
      <c r="J813">
        <v>0.27</v>
      </c>
      <c r="K813" s="3">
        <v>1175.4168</v>
      </c>
      <c r="L813" t="s">
        <v>854</v>
      </c>
      <c r="M813" t="str">
        <f>VLOOKUP($E813,Customer_Dim!$A$2:$F$501,3,FALSE)</f>
        <v>Female</v>
      </c>
      <c r="N813" t="str">
        <f>VLOOKUP($E813,Customer_Dim!$A$2:$F$501,5,FALSE)</f>
        <v>USA</v>
      </c>
      <c r="O813" t="str">
        <f>VLOOKUP($E813,Customer_Dim!$A$2:$F$501,6,FALSE)</f>
        <v>Silver</v>
      </c>
      <c r="P813" t="str">
        <f>VLOOKUP($A813,Store_Dim!$A$2:$F$21,3,FALSE)</f>
        <v>WestNew Jimmymouth</v>
      </c>
    </row>
    <row r="814" spans="1:16" hidden="1" x14ac:dyDescent="0.25">
      <c r="A814" t="s">
        <v>832</v>
      </c>
      <c r="B814" t="s">
        <v>1050</v>
      </c>
      <c r="C814" t="s">
        <v>690</v>
      </c>
      <c r="D814" s="2">
        <v>45904</v>
      </c>
      <c r="E814" t="s">
        <v>531</v>
      </c>
      <c r="F814" t="str">
        <f>VLOOKUP($C814,Product_Dim!$A$2:$D$101,3,FALSE)</f>
        <v>Atkinson, Camacho and Oliver</v>
      </c>
      <c r="G814" t="str">
        <f>VLOOKUP($C814,Product_Dim!$A$2:$D$101,2,FALSE)</f>
        <v>Sports</v>
      </c>
      <c r="H814">
        <v>4</v>
      </c>
      <c r="I814">
        <v>689.67</v>
      </c>
      <c r="J814">
        <v>0.05</v>
      </c>
      <c r="K814" s="3">
        <v>2620.7460000000001</v>
      </c>
      <c r="L814" t="s">
        <v>857</v>
      </c>
      <c r="M814" t="str">
        <f>VLOOKUP($E814,Customer_Dim!$A$2:$F$501,3,FALSE)</f>
        <v>Female</v>
      </c>
      <c r="N814" t="str">
        <f>VLOOKUP($E814,Customer_Dim!$A$2:$F$501,5,FALSE)</f>
        <v>USA</v>
      </c>
      <c r="O814" t="str">
        <f>VLOOKUP($E814,Customer_Dim!$A$2:$F$501,6,FALSE)</f>
        <v>Platinum</v>
      </c>
      <c r="P814" t="str">
        <f>VLOOKUP($A814,Store_Dim!$A$2:$F$21,3,FALSE)</f>
        <v>WestNew Jimmymouth</v>
      </c>
    </row>
    <row r="815" spans="1:16" x14ac:dyDescent="0.25">
      <c r="A815" t="s">
        <v>832</v>
      </c>
      <c r="B815" t="s">
        <v>1328</v>
      </c>
      <c r="C815" t="s">
        <v>692</v>
      </c>
      <c r="D815" s="2">
        <v>45875</v>
      </c>
      <c r="E815" t="s">
        <v>265</v>
      </c>
      <c r="F815" t="str">
        <f>VLOOKUP($C815,Product_Dim!$A$2:$D$101,3,FALSE)</f>
        <v>Shepherd-Gould</v>
      </c>
      <c r="G815" t="str">
        <f>VLOOKUP($C815,Product_Dim!$A$2:$D$101,2,FALSE)</f>
        <v>Clothing</v>
      </c>
      <c r="H815">
        <v>3</v>
      </c>
      <c r="I815">
        <v>666.39</v>
      </c>
      <c r="J815">
        <v>0.21</v>
      </c>
      <c r="K815" s="3">
        <v>1579.3443</v>
      </c>
      <c r="L815" t="s">
        <v>857</v>
      </c>
      <c r="M815" t="str">
        <f>VLOOKUP($E815,Customer_Dim!$A$2:$F$501,3,FALSE)</f>
        <v>Male</v>
      </c>
      <c r="N815" t="str">
        <f>VLOOKUP($E815,Customer_Dim!$A$2:$F$501,5,FALSE)</f>
        <v>USA</v>
      </c>
      <c r="O815" t="str">
        <f>VLOOKUP($E815,Customer_Dim!$A$2:$F$501,6,FALSE)</f>
        <v>Platinum</v>
      </c>
      <c r="P815" t="str">
        <f>VLOOKUP($A815,Store_Dim!$A$2:$F$21,3,FALSE)</f>
        <v>WestNew Jimmymouth</v>
      </c>
    </row>
    <row r="816" spans="1:16" hidden="1" x14ac:dyDescent="0.25">
      <c r="A816" t="s">
        <v>832</v>
      </c>
      <c r="B816" t="s">
        <v>1253</v>
      </c>
      <c r="C816" t="s">
        <v>585</v>
      </c>
      <c r="D816" s="2">
        <v>45579</v>
      </c>
      <c r="E816" t="s">
        <v>77</v>
      </c>
      <c r="F816" t="str">
        <f>VLOOKUP($C816,Product_Dim!$A$2:$D$101,3,FALSE)</f>
        <v>Davidson PLC</v>
      </c>
      <c r="G816" t="str">
        <f>VLOOKUP($C816,Product_Dim!$A$2:$D$101,2,FALSE)</f>
        <v>Beauty</v>
      </c>
      <c r="H816">
        <v>2</v>
      </c>
      <c r="I816">
        <v>733.87</v>
      </c>
      <c r="J816">
        <v>0.1</v>
      </c>
      <c r="K816" s="3">
        <v>1320.9659999999999</v>
      </c>
      <c r="L816" t="s">
        <v>854</v>
      </c>
      <c r="M816" t="str">
        <f>VLOOKUP($E816,Customer_Dim!$A$2:$F$501,3,FALSE)</f>
        <v>Female</v>
      </c>
      <c r="N816" t="str">
        <f>VLOOKUP($E816,Customer_Dim!$A$2:$F$501,5,FALSE)</f>
        <v>USA</v>
      </c>
      <c r="O816" t="str">
        <f>VLOOKUP($E816,Customer_Dim!$A$2:$F$501,6,FALSE)</f>
        <v>UNKNOWN</v>
      </c>
      <c r="P816" t="str">
        <f>VLOOKUP($A816,Store_Dim!$A$2:$F$21,3,FALSE)</f>
        <v>WestNew Jimmymouth</v>
      </c>
    </row>
    <row r="817" spans="1:16" hidden="1" x14ac:dyDescent="0.25">
      <c r="A817" t="s">
        <v>832</v>
      </c>
      <c r="B817" t="s">
        <v>1808</v>
      </c>
      <c r="C817" t="s">
        <v>585</v>
      </c>
      <c r="D817" s="2">
        <v>45412</v>
      </c>
      <c r="E817" t="s">
        <v>564</v>
      </c>
      <c r="F817" t="str">
        <f>VLOOKUP($C817,Product_Dim!$A$2:$D$101,3,FALSE)</f>
        <v>Davidson PLC</v>
      </c>
      <c r="G817" t="str">
        <f>VLOOKUP($C817,Product_Dim!$A$2:$D$101,2,FALSE)</f>
        <v>Beauty</v>
      </c>
      <c r="H817">
        <v>2</v>
      </c>
      <c r="I817">
        <v>824.34</v>
      </c>
      <c r="J817">
        <v>0.1</v>
      </c>
      <c r="K817" s="3">
        <v>1483.8119999999999</v>
      </c>
      <c r="L817" t="s">
        <v>857</v>
      </c>
      <c r="M817" t="str">
        <f>VLOOKUP($E817,Customer_Dim!$A$2:$F$501,3,FALSE)</f>
        <v>Female</v>
      </c>
      <c r="N817" t="str">
        <f>VLOOKUP($E817,Customer_Dim!$A$2:$F$501,5,FALSE)</f>
        <v>USA</v>
      </c>
      <c r="O817" t="str">
        <f>VLOOKUP($E817,Customer_Dim!$A$2:$F$501,6,FALSE)</f>
        <v>Gold</v>
      </c>
      <c r="P817" t="str">
        <f>VLOOKUP($A817,Store_Dim!$A$2:$F$21,3,FALSE)</f>
        <v>WestNew Jimmymouth</v>
      </c>
    </row>
    <row r="818" spans="1:16" x14ac:dyDescent="0.25">
      <c r="A818" t="s">
        <v>832</v>
      </c>
      <c r="B818" t="s">
        <v>1212</v>
      </c>
      <c r="C818" t="s">
        <v>696</v>
      </c>
      <c r="D818" s="2">
        <v>45413</v>
      </c>
      <c r="E818" t="s">
        <v>275</v>
      </c>
      <c r="F818" t="str">
        <f>VLOOKUP($C818,Product_Dim!$A$2:$D$101,3,FALSE)</f>
        <v>Gibson, Green and Lopez</v>
      </c>
      <c r="G818" t="str">
        <f>VLOOKUP($C818,Product_Dim!$A$2:$D$101,2,FALSE)</f>
        <v>Beauty</v>
      </c>
      <c r="H818">
        <v>4</v>
      </c>
      <c r="I818">
        <v>537.15</v>
      </c>
      <c r="J818">
        <v>0.06</v>
      </c>
      <c r="K818" s="3">
        <v>2019.684</v>
      </c>
      <c r="L818" t="s">
        <v>857</v>
      </c>
      <c r="M818" t="str">
        <f>VLOOKUP($E818,Customer_Dim!$A$2:$F$501,3,FALSE)</f>
        <v>Male</v>
      </c>
      <c r="N818" t="str">
        <f>VLOOKUP($E818,Customer_Dim!$A$2:$F$501,5,FALSE)</f>
        <v>USA</v>
      </c>
      <c r="O818" t="str">
        <f>VLOOKUP($E818,Customer_Dim!$A$2:$F$501,6,FALSE)</f>
        <v>Silver</v>
      </c>
      <c r="P818" t="str">
        <f>VLOOKUP($A818,Store_Dim!$A$2:$F$21,3,FALSE)</f>
        <v>WestNew Jimmymouth</v>
      </c>
    </row>
    <row r="819" spans="1:16" x14ac:dyDescent="0.25">
      <c r="A819" t="s">
        <v>832</v>
      </c>
      <c r="B819" t="s">
        <v>1168</v>
      </c>
      <c r="C819" t="s">
        <v>698</v>
      </c>
      <c r="D819" s="2">
        <v>45339</v>
      </c>
      <c r="E819" t="s">
        <v>181</v>
      </c>
      <c r="F819" t="str">
        <f>VLOOKUP($C819,Product_Dim!$A$2:$D$101,3,FALSE)</f>
        <v>Lopez LLC</v>
      </c>
      <c r="G819" t="str">
        <f>VLOOKUP($C819,Product_Dim!$A$2:$D$101,2,FALSE)</f>
        <v>Sports</v>
      </c>
      <c r="H819">
        <v>1</v>
      </c>
      <c r="I819">
        <v>299.13</v>
      </c>
      <c r="J819">
        <v>0.1</v>
      </c>
      <c r="K819" s="3">
        <v>269.21699999999998</v>
      </c>
      <c r="L819" t="s">
        <v>857</v>
      </c>
      <c r="M819" t="str">
        <f>VLOOKUP($E819,Customer_Dim!$A$2:$F$501,3,FALSE)</f>
        <v>Male</v>
      </c>
      <c r="N819" t="str">
        <f>VLOOKUP($E819,Customer_Dim!$A$2:$F$501,5,FALSE)</f>
        <v>USA</v>
      </c>
      <c r="O819" t="str">
        <f>VLOOKUP($E819,Customer_Dim!$A$2:$F$501,6,FALSE)</f>
        <v>Platinum</v>
      </c>
      <c r="P819" t="str">
        <f>VLOOKUP($A819,Store_Dim!$A$2:$F$21,3,FALSE)</f>
        <v>WestNew Jimmymouth</v>
      </c>
    </row>
    <row r="820" spans="1:16" x14ac:dyDescent="0.25">
      <c r="A820" t="s">
        <v>832</v>
      </c>
      <c r="B820" t="s">
        <v>2461</v>
      </c>
      <c r="C820" t="s">
        <v>698</v>
      </c>
      <c r="D820" s="2">
        <v>45470</v>
      </c>
      <c r="E820" t="s">
        <v>536</v>
      </c>
      <c r="F820" t="str">
        <f>VLOOKUP($C820,Product_Dim!$A$2:$D$101,3,FALSE)</f>
        <v>Lopez LLC</v>
      </c>
      <c r="G820" t="str">
        <f>VLOOKUP($C820,Product_Dim!$A$2:$D$101,2,FALSE)</f>
        <v>Sports</v>
      </c>
      <c r="H820">
        <v>2</v>
      </c>
      <c r="I820">
        <v>780.57</v>
      </c>
      <c r="J820">
        <v>0.26</v>
      </c>
      <c r="K820" s="3">
        <v>1155.2436</v>
      </c>
      <c r="L820" t="s">
        <v>852</v>
      </c>
      <c r="M820" t="str">
        <f>VLOOKUP($E820,Customer_Dim!$A$2:$F$501,3,FALSE)</f>
        <v>Male</v>
      </c>
      <c r="N820" t="str">
        <f>VLOOKUP($E820,Customer_Dim!$A$2:$F$501,5,FALSE)</f>
        <v>USA</v>
      </c>
      <c r="O820" t="str">
        <f>VLOOKUP($E820,Customer_Dim!$A$2:$F$501,6,FALSE)</f>
        <v>Gold</v>
      </c>
      <c r="P820" t="str">
        <f>VLOOKUP($A820,Store_Dim!$A$2:$F$21,3,FALSE)</f>
        <v>WestNew Jimmymouth</v>
      </c>
    </row>
    <row r="821" spans="1:16" hidden="1" x14ac:dyDescent="0.25">
      <c r="A821" t="s">
        <v>832</v>
      </c>
      <c r="B821" t="s">
        <v>2037</v>
      </c>
      <c r="C821" t="s">
        <v>700</v>
      </c>
      <c r="D821" s="2">
        <v>45650</v>
      </c>
      <c r="E821" t="s">
        <v>526</v>
      </c>
      <c r="F821" t="str">
        <f>VLOOKUP($C821,Product_Dim!$A$2:$D$101,3,FALSE)</f>
        <v>Murray, Gould and Ware</v>
      </c>
      <c r="G821" t="str">
        <f>VLOOKUP($C821,Product_Dim!$A$2:$D$101,2,FALSE)</f>
        <v>Electronics</v>
      </c>
      <c r="H821">
        <v>3</v>
      </c>
      <c r="I821">
        <v>198.76</v>
      </c>
      <c r="J821">
        <v>0.28000000000000003</v>
      </c>
      <c r="K821" s="3">
        <v>429.32159999999999</v>
      </c>
      <c r="L821" t="s">
        <v>857</v>
      </c>
      <c r="M821" t="str">
        <f>VLOOKUP($E821,Customer_Dim!$A$2:$F$501,3,FALSE)</f>
        <v>Female</v>
      </c>
      <c r="N821" t="str">
        <f>VLOOKUP($E821,Customer_Dim!$A$2:$F$501,5,FALSE)</f>
        <v>USA</v>
      </c>
      <c r="O821" t="str">
        <f>VLOOKUP($E821,Customer_Dim!$A$2:$F$501,6,FALSE)</f>
        <v>Gold</v>
      </c>
      <c r="P821" t="str">
        <f>VLOOKUP($A821,Store_Dim!$A$2:$F$21,3,FALSE)</f>
        <v>WestNew Jimmymouth</v>
      </c>
    </row>
    <row r="822" spans="1:16" x14ac:dyDescent="0.25">
      <c r="A822" t="s">
        <v>832</v>
      </c>
      <c r="B822" t="s">
        <v>1242</v>
      </c>
      <c r="C822" t="s">
        <v>702</v>
      </c>
      <c r="D822" s="2">
        <v>45780</v>
      </c>
      <c r="E822" t="s">
        <v>7</v>
      </c>
      <c r="F822" t="str">
        <f>VLOOKUP($C822,Product_Dim!$A$2:$D$101,3,FALSE)</f>
        <v>Anderson-Riley</v>
      </c>
      <c r="G822" t="str">
        <f>VLOOKUP($C822,Product_Dim!$A$2:$D$101,2,FALSE)</f>
        <v>Beauty</v>
      </c>
      <c r="H822">
        <v>1</v>
      </c>
      <c r="I822">
        <v>664.71</v>
      </c>
      <c r="J822">
        <v>0.1</v>
      </c>
      <c r="K822" s="3">
        <v>598.23900000000003</v>
      </c>
      <c r="L822" t="s">
        <v>854</v>
      </c>
      <c r="M822" t="str">
        <f>VLOOKUP($E822,Customer_Dim!$A$2:$F$501,3,FALSE)</f>
        <v>Male</v>
      </c>
      <c r="N822" t="str">
        <f>VLOOKUP($E822,Customer_Dim!$A$2:$F$501,5,FALSE)</f>
        <v>USA</v>
      </c>
      <c r="O822" t="str">
        <f>VLOOKUP($E822,Customer_Dim!$A$2:$F$501,6,FALSE)</f>
        <v>UNKNOWN</v>
      </c>
      <c r="P822" t="str">
        <f>VLOOKUP($A822,Store_Dim!$A$2:$F$21,3,FALSE)</f>
        <v>WestNew Jimmymouth</v>
      </c>
    </row>
    <row r="823" spans="1:16" x14ac:dyDescent="0.25">
      <c r="A823" t="s">
        <v>832</v>
      </c>
      <c r="B823" t="s">
        <v>2199</v>
      </c>
      <c r="C823" t="s">
        <v>702</v>
      </c>
      <c r="D823" s="2">
        <v>45544</v>
      </c>
      <c r="E823" t="s">
        <v>82</v>
      </c>
      <c r="F823" t="str">
        <f>VLOOKUP($C823,Product_Dim!$A$2:$D$101,3,FALSE)</f>
        <v>Anderson-Riley</v>
      </c>
      <c r="G823" t="str">
        <f>VLOOKUP($C823,Product_Dim!$A$2:$D$101,2,FALSE)</f>
        <v>Beauty</v>
      </c>
      <c r="H823">
        <v>3</v>
      </c>
      <c r="I823">
        <v>841.37</v>
      </c>
      <c r="J823">
        <v>0.28999999999999998</v>
      </c>
      <c r="K823" s="3">
        <v>1792.1180999999999</v>
      </c>
      <c r="L823" t="s">
        <v>854</v>
      </c>
      <c r="M823" t="str">
        <f>VLOOKUP($E823,Customer_Dim!$A$2:$F$501,3,FALSE)</f>
        <v>Male</v>
      </c>
      <c r="N823" t="str">
        <f>VLOOKUP($E823,Customer_Dim!$A$2:$F$501,5,FALSE)</f>
        <v>USA</v>
      </c>
      <c r="O823" t="str">
        <f>VLOOKUP($E823,Customer_Dim!$A$2:$F$501,6,FALSE)</f>
        <v>Platinum</v>
      </c>
      <c r="P823" t="str">
        <f>VLOOKUP($A823,Store_Dim!$A$2:$F$21,3,FALSE)</f>
        <v>WestNew Jimmymouth</v>
      </c>
    </row>
    <row r="824" spans="1:16" hidden="1" x14ac:dyDescent="0.25">
      <c r="A824" t="s">
        <v>832</v>
      </c>
      <c r="B824" t="s">
        <v>1991</v>
      </c>
      <c r="C824" t="s">
        <v>704</v>
      </c>
      <c r="D824" s="2">
        <v>45441</v>
      </c>
      <c r="E824" t="s">
        <v>21</v>
      </c>
      <c r="F824" t="str">
        <f>VLOOKUP($C824,Product_Dim!$A$2:$D$101,3,FALSE)</f>
        <v>Zhang Inc</v>
      </c>
      <c r="G824" t="str">
        <f>VLOOKUP($C824,Product_Dim!$A$2:$D$101,2,FALSE)</f>
        <v>Beauty</v>
      </c>
      <c r="H824">
        <v>1</v>
      </c>
      <c r="I824">
        <v>453.41</v>
      </c>
      <c r="J824">
        <v>0.04</v>
      </c>
      <c r="K824" s="3">
        <v>435.27359999999999</v>
      </c>
      <c r="L824" t="s">
        <v>857</v>
      </c>
      <c r="M824" t="str">
        <f>VLOOKUP($E824,Customer_Dim!$A$2:$F$501,3,FALSE)</f>
        <v>Female</v>
      </c>
      <c r="N824" t="str">
        <f>VLOOKUP($E824,Customer_Dim!$A$2:$F$501,5,FALSE)</f>
        <v>USA</v>
      </c>
      <c r="O824" t="str">
        <f>VLOOKUP($E824,Customer_Dim!$A$2:$F$501,6,FALSE)</f>
        <v>Silver</v>
      </c>
      <c r="P824" t="str">
        <f>VLOOKUP($A824,Store_Dim!$A$2:$F$21,3,FALSE)</f>
        <v>WestNew Jimmymouth</v>
      </c>
    </row>
    <row r="825" spans="1:16" hidden="1" x14ac:dyDescent="0.25">
      <c r="A825" t="s">
        <v>832</v>
      </c>
      <c r="B825" t="s">
        <v>2374</v>
      </c>
      <c r="C825" t="s">
        <v>706</v>
      </c>
      <c r="D825" s="2">
        <v>45936</v>
      </c>
      <c r="E825" t="s">
        <v>168</v>
      </c>
      <c r="F825" t="str">
        <f>VLOOKUP($C825,Product_Dim!$A$2:$D$101,3,FALSE)</f>
        <v>Montgomery, Benton and Miller</v>
      </c>
      <c r="G825" t="str">
        <f>VLOOKUP($C825,Product_Dim!$A$2:$D$101,2,FALSE)</f>
        <v>Sports</v>
      </c>
      <c r="H825">
        <v>3</v>
      </c>
      <c r="I825">
        <v>578.47</v>
      </c>
      <c r="J825">
        <v>0.06</v>
      </c>
      <c r="K825" s="3">
        <v>1631.2854</v>
      </c>
      <c r="L825" t="s">
        <v>857</v>
      </c>
      <c r="M825" t="str">
        <f>VLOOKUP($E825,Customer_Dim!$A$2:$F$501,3,FALSE)</f>
        <v>Female</v>
      </c>
      <c r="N825" t="str">
        <f>VLOOKUP($E825,Customer_Dim!$A$2:$F$501,5,FALSE)</f>
        <v>USA</v>
      </c>
      <c r="O825" t="str">
        <f>VLOOKUP($E825,Customer_Dim!$A$2:$F$501,6,FALSE)</f>
        <v>Bronze</v>
      </c>
      <c r="P825" t="str">
        <f>VLOOKUP($A825,Store_Dim!$A$2:$F$21,3,FALSE)</f>
        <v>WestNew Jimmymouth</v>
      </c>
    </row>
    <row r="826" spans="1:16" x14ac:dyDescent="0.25">
      <c r="A826" t="s">
        <v>832</v>
      </c>
      <c r="B826" t="s">
        <v>1578</v>
      </c>
      <c r="C826" t="s">
        <v>708</v>
      </c>
      <c r="D826" s="2">
        <v>45760</v>
      </c>
      <c r="E826" t="s">
        <v>317</v>
      </c>
      <c r="F826" t="str">
        <f>VLOOKUP($C826,Product_Dim!$A$2:$D$101,3,FALSE)</f>
        <v>Torres, Spencer and Potter</v>
      </c>
      <c r="G826" t="str">
        <f>VLOOKUP($C826,Product_Dim!$A$2:$D$101,2,FALSE)</f>
        <v>Beauty</v>
      </c>
      <c r="H826">
        <v>4</v>
      </c>
      <c r="I826">
        <v>805.99</v>
      </c>
      <c r="J826">
        <v>0.06</v>
      </c>
      <c r="K826" s="3">
        <v>3030.5223999999998</v>
      </c>
      <c r="L826" t="s">
        <v>852</v>
      </c>
      <c r="M826" t="str">
        <f>VLOOKUP($E826,Customer_Dim!$A$2:$F$501,3,FALSE)</f>
        <v>Male</v>
      </c>
      <c r="N826" t="str">
        <f>VLOOKUP($E826,Customer_Dim!$A$2:$F$501,5,FALSE)</f>
        <v>USA</v>
      </c>
      <c r="O826" t="str">
        <f>VLOOKUP($E826,Customer_Dim!$A$2:$F$501,6,FALSE)</f>
        <v>Silver</v>
      </c>
      <c r="P826" t="str">
        <f>VLOOKUP($A826,Store_Dim!$A$2:$F$21,3,FALSE)</f>
        <v>WestNew Jimmymouth</v>
      </c>
    </row>
    <row r="827" spans="1:16" hidden="1" x14ac:dyDescent="0.25">
      <c r="A827" t="s">
        <v>832</v>
      </c>
      <c r="B827" t="s">
        <v>1351</v>
      </c>
      <c r="C827" t="s">
        <v>712</v>
      </c>
      <c r="D827" s="2">
        <v>45754</v>
      </c>
      <c r="E827" t="s">
        <v>256</v>
      </c>
      <c r="F827" t="str">
        <f>VLOOKUP($C827,Product_Dim!$A$2:$D$101,3,FALSE)</f>
        <v>Wolfe, Ross and Hester</v>
      </c>
      <c r="G827" t="str">
        <f>VLOOKUP($C827,Product_Dim!$A$2:$D$101,2,FALSE)</f>
        <v>Home</v>
      </c>
      <c r="H827">
        <v>1</v>
      </c>
      <c r="I827">
        <v>414.97</v>
      </c>
      <c r="J827">
        <v>0.22</v>
      </c>
      <c r="K827" s="3">
        <v>323.67660000000001</v>
      </c>
      <c r="L827" t="s">
        <v>854</v>
      </c>
      <c r="M827" t="str">
        <f>VLOOKUP($E827,Customer_Dim!$A$2:$F$501,3,FALSE)</f>
        <v>Female</v>
      </c>
      <c r="N827" t="str">
        <f>VLOOKUP($E827,Customer_Dim!$A$2:$F$501,5,FALSE)</f>
        <v>USA</v>
      </c>
      <c r="O827" t="str">
        <f>VLOOKUP($E827,Customer_Dim!$A$2:$F$501,6,FALSE)</f>
        <v>Bronze</v>
      </c>
      <c r="P827" t="str">
        <f>VLOOKUP($A827,Store_Dim!$A$2:$F$21,3,FALSE)</f>
        <v>WestNew Jimmymouth</v>
      </c>
    </row>
    <row r="828" spans="1:16" hidden="1" x14ac:dyDescent="0.25">
      <c r="A828" t="s">
        <v>832</v>
      </c>
      <c r="B828" t="s">
        <v>2487</v>
      </c>
      <c r="C828" t="s">
        <v>714</v>
      </c>
      <c r="D828" s="2">
        <v>45553</v>
      </c>
      <c r="E828" t="s">
        <v>183</v>
      </c>
      <c r="F828" t="str">
        <f>VLOOKUP($C828,Product_Dim!$A$2:$D$101,3,FALSE)</f>
        <v>Fitzpatrick Ltd</v>
      </c>
      <c r="G828" t="str">
        <f>VLOOKUP($C828,Product_Dim!$A$2:$D$101,2,FALSE)</f>
        <v>Clothing</v>
      </c>
      <c r="H828">
        <v>1</v>
      </c>
      <c r="I828">
        <v>696.13</v>
      </c>
      <c r="J828">
        <v>0.06</v>
      </c>
      <c r="K828" s="3">
        <v>654.36219999999992</v>
      </c>
      <c r="L828" t="s">
        <v>857</v>
      </c>
      <c r="M828" t="str">
        <f>VLOOKUP($E828,Customer_Dim!$A$2:$F$501,3,FALSE)</f>
        <v>Female</v>
      </c>
      <c r="N828" t="str">
        <f>VLOOKUP($E828,Customer_Dim!$A$2:$F$501,5,FALSE)</f>
        <v>USA</v>
      </c>
      <c r="O828" t="str">
        <f>VLOOKUP($E828,Customer_Dim!$A$2:$F$501,6,FALSE)</f>
        <v>Platinum</v>
      </c>
      <c r="P828" t="str">
        <f>VLOOKUP($A828,Store_Dim!$A$2:$F$21,3,FALSE)</f>
        <v>WestNew Jimmymouth</v>
      </c>
    </row>
    <row r="829" spans="1:16" x14ac:dyDescent="0.25">
      <c r="A829" t="s">
        <v>832</v>
      </c>
      <c r="B829" t="s">
        <v>1240</v>
      </c>
      <c r="C829" t="s">
        <v>714</v>
      </c>
      <c r="D829" s="2">
        <v>45433</v>
      </c>
      <c r="E829" t="s">
        <v>487</v>
      </c>
      <c r="F829" t="str">
        <f>VLOOKUP($C829,Product_Dim!$A$2:$D$101,3,FALSE)</f>
        <v>Fitzpatrick Ltd</v>
      </c>
      <c r="G829" t="str">
        <f>VLOOKUP($C829,Product_Dim!$A$2:$D$101,2,FALSE)</f>
        <v>Clothing</v>
      </c>
      <c r="H829">
        <v>3</v>
      </c>
      <c r="I829">
        <v>847.21</v>
      </c>
      <c r="J829">
        <v>0.06</v>
      </c>
      <c r="K829" s="3">
        <v>2389.1322</v>
      </c>
      <c r="L829" t="s">
        <v>854</v>
      </c>
      <c r="M829" t="str">
        <f>VLOOKUP($E829,Customer_Dim!$A$2:$F$501,3,FALSE)</f>
        <v>Male</v>
      </c>
      <c r="N829" t="str">
        <f>VLOOKUP($E829,Customer_Dim!$A$2:$F$501,5,FALSE)</f>
        <v>USA</v>
      </c>
      <c r="O829" t="str">
        <f>VLOOKUP($E829,Customer_Dim!$A$2:$F$501,6,FALSE)</f>
        <v>Bronze</v>
      </c>
      <c r="P829" t="str">
        <f>VLOOKUP($A829,Store_Dim!$A$2:$F$21,3,FALSE)</f>
        <v>WestNew Jimmymouth</v>
      </c>
    </row>
    <row r="830" spans="1:16" hidden="1" x14ac:dyDescent="0.25">
      <c r="A830" t="s">
        <v>832</v>
      </c>
      <c r="B830" t="s">
        <v>2261</v>
      </c>
      <c r="C830" t="s">
        <v>588</v>
      </c>
      <c r="D830" s="2">
        <v>45638</v>
      </c>
      <c r="E830" t="s">
        <v>285</v>
      </c>
      <c r="F830" t="str">
        <f>VLOOKUP($C830,Product_Dim!$A$2:$D$101,3,FALSE)</f>
        <v>Harrell LLC</v>
      </c>
      <c r="G830" t="str">
        <f>VLOOKUP($C830,Product_Dim!$A$2:$D$101,2,FALSE)</f>
        <v>Home</v>
      </c>
      <c r="H830">
        <v>2</v>
      </c>
      <c r="I830">
        <v>362.7</v>
      </c>
      <c r="J830">
        <v>0.09</v>
      </c>
      <c r="K830" s="3">
        <v>660.11400000000003</v>
      </c>
      <c r="L830" t="s">
        <v>852</v>
      </c>
      <c r="M830" t="str">
        <f>VLOOKUP($E830,Customer_Dim!$A$2:$F$501,3,FALSE)</f>
        <v>Female</v>
      </c>
      <c r="N830" t="str">
        <f>VLOOKUP($E830,Customer_Dim!$A$2:$F$501,5,FALSE)</f>
        <v>usa</v>
      </c>
      <c r="O830" t="str">
        <f>VLOOKUP($E830,Customer_Dim!$A$2:$F$501,6,FALSE)</f>
        <v>Bronze</v>
      </c>
      <c r="P830" t="str">
        <f>VLOOKUP($A830,Store_Dim!$A$2:$F$21,3,FALSE)</f>
        <v>WestNew Jimmymouth</v>
      </c>
    </row>
    <row r="831" spans="1:16" hidden="1" x14ac:dyDescent="0.25">
      <c r="A831" t="s">
        <v>832</v>
      </c>
      <c r="B831" t="s">
        <v>2705</v>
      </c>
      <c r="C831" t="s">
        <v>716</v>
      </c>
      <c r="D831" s="2">
        <v>45552</v>
      </c>
      <c r="E831" t="s">
        <v>169</v>
      </c>
      <c r="F831" t="str">
        <f>VLOOKUP($C831,Product_Dim!$A$2:$D$101,3,FALSE)</f>
        <v>Duran Group</v>
      </c>
      <c r="G831" t="str">
        <f>VLOOKUP($C831,Product_Dim!$A$2:$D$101,2,FALSE)</f>
        <v>Home</v>
      </c>
      <c r="H831">
        <v>4</v>
      </c>
      <c r="I831">
        <v>579.24</v>
      </c>
      <c r="J831">
        <v>0.04</v>
      </c>
      <c r="K831" s="3">
        <v>2224.2815999999998</v>
      </c>
      <c r="L831" t="s">
        <v>857</v>
      </c>
      <c r="M831" t="str">
        <f>VLOOKUP($E831,Customer_Dim!$A$2:$F$501,3,FALSE)</f>
        <v>Female</v>
      </c>
      <c r="N831" t="str">
        <f>VLOOKUP($E831,Customer_Dim!$A$2:$F$501,5,FALSE)</f>
        <v>USA</v>
      </c>
      <c r="O831" t="str">
        <f>VLOOKUP($E831,Customer_Dim!$A$2:$F$501,6,FALSE)</f>
        <v>Platinum</v>
      </c>
      <c r="P831" t="str">
        <f>VLOOKUP($A831,Store_Dim!$A$2:$F$21,3,FALSE)</f>
        <v>WestNew Jimmymouth</v>
      </c>
    </row>
    <row r="832" spans="1:16" hidden="1" x14ac:dyDescent="0.25">
      <c r="A832" t="s">
        <v>832</v>
      </c>
      <c r="B832" t="s">
        <v>2483</v>
      </c>
      <c r="C832" t="s">
        <v>716</v>
      </c>
      <c r="D832" s="2">
        <v>45721</v>
      </c>
      <c r="E832" t="s">
        <v>449</v>
      </c>
      <c r="F832" t="str">
        <f>VLOOKUP($C832,Product_Dim!$A$2:$D$101,3,FALSE)</f>
        <v>Duran Group</v>
      </c>
      <c r="G832" t="str">
        <f>VLOOKUP($C832,Product_Dim!$A$2:$D$101,2,FALSE)</f>
        <v>Home</v>
      </c>
      <c r="H832">
        <v>1</v>
      </c>
      <c r="I832">
        <v>505.83</v>
      </c>
      <c r="J832">
        <v>0.14000000000000001</v>
      </c>
      <c r="K832" s="3">
        <v>435.0138</v>
      </c>
      <c r="L832" t="s">
        <v>857</v>
      </c>
      <c r="M832" t="str">
        <f>VLOOKUP($E832,Customer_Dim!$A$2:$F$501,3,FALSE)</f>
        <v>Female</v>
      </c>
      <c r="N832" t="str">
        <f>VLOOKUP($E832,Customer_Dim!$A$2:$F$501,5,FALSE)</f>
        <v>USA</v>
      </c>
      <c r="O832" t="str">
        <f>VLOOKUP($E832,Customer_Dim!$A$2:$F$501,6,FALSE)</f>
        <v>Gold</v>
      </c>
      <c r="P832" t="str">
        <f>VLOOKUP($A832,Store_Dim!$A$2:$F$21,3,FALSE)</f>
        <v>WestNew Jimmymouth</v>
      </c>
    </row>
    <row r="833" spans="1:16" x14ac:dyDescent="0.25">
      <c r="A833" t="s">
        <v>832</v>
      </c>
      <c r="B833" t="s">
        <v>1931</v>
      </c>
      <c r="C833" t="s">
        <v>718</v>
      </c>
      <c r="D833" s="2">
        <v>45882</v>
      </c>
      <c r="E833" t="s">
        <v>202</v>
      </c>
      <c r="F833" t="str">
        <f>VLOOKUP($C833,Product_Dim!$A$2:$D$101,3,FALSE)</f>
        <v>Hopkins Ltd</v>
      </c>
      <c r="G833" t="str">
        <f>VLOOKUP($C833,Product_Dim!$A$2:$D$101,2,FALSE)</f>
        <v>Beauty</v>
      </c>
      <c r="H833">
        <v>3</v>
      </c>
      <c r="I833">
        <v>575.24</v>
      </c>
      <c r="J833">
        <v>0.12</v>
      </c>
      <c r="K833" s="3">
        <v>1518.6335999999999</v>
      </c>
      <c r="L833" t="s">
        <v>857</v>
      </c>
      <c r="M833" t="str">
        <f>VLOOKUP($E833,Customer_Dim!$A$2:$F$501,3,FALSE)</f>
        <v>Male</v>
      </c>
      <c r="N833" t="str">
        <f>VLOOKUP($E833,Customer_Dim!$A$2:$F$501,5,FALSE)</f>
        <v>USA</v>
      </c>
      <c r="O833" t="str">
        <f>VLOOKUP($E833,Customer_Dim!$A$2:$F$501,6,FALSE)</f>
        <v>Gold</v>
      </c>
      <c r="P833" t="str">
        <f>VLOOKUP($A833,Store_Dim!$A$2:$F$21,3,FALSE)</f>
        <v>WestNew Jimmymouth</v>
      </c>
    </row>
    <row r="834" spans="1:16" hidden="1" x14ac:dyDescent="0.25">
      <c r="A834" t="s">
        <v>832</v>
      </c>
      <c r="B834" t="s">
        <v>1259</v>
      </c>
      <c r="C834" t="s">
        <v>726</v>
      </c>
      <c r="D834" s="2">
        <v>45628</v>
      </c>
      <c r="E834" t="s">
        <v>543</v>
      </c>
      <c r="F834" t="str">
        <f>VLOOKUP($C834,Product_Dim!$A$2:$D$101,3,FALSE)</f>
        <v>Poole PLC</v>
      </c>
      <c r="G834" t="str">
        <f>VLOOKUP($C834,Product_Dim!$A$2:$D$101,2,FALSE)</f>
        <v>Clothing</v>
      </c>
      <c r="H834">
        <v>1</v>
      </c>
      <c r="I834">
        <v>745.15</v>
      </c>
      <c r="J834">
        <v>0.25</v>
      </c>
      <c r="K834" s="3">
        <v>558.86249999999995</v>
      </c>
      <c r="L834" t="s">
        <v>857</v>
      </c>
      <c r="M834" t="str">
        <f>VLOOKUP($E834,Customer_Dim!$A$2:$F$501,3,FALSE)</f>
        <v>Female</v>
      </c>
      <c r="N834" t="str">
        <f>VLOOKUP($E834,Customer_Dim!$A$2:$F$501,5,FALSE)</f>
        <v>USA</v>
      </c>
      <c r="O834" t="str">
        <f>VLOOKUP($E834,Customer_Dim!$A$2:$F$501,6,FALSE)</f>
        <v>Gold</v>
      </c>
      <c r="P834" t="str">
        <f>VLOOKUP($A834,Store_Dim!$A$2:$F$21,3,FALSE)</f>
        <v>WestNew Jimmymouth</v>
      </c>
    </row>
    <row r="835" spans="1:16" hidden="1" x14ac:dyDescent="0.25">
      <c r="A835" t="s">
        <v>832</v>
      </c>
      <c r="B835" t="s">
        <v>2417</v>
      </c>
      <c r="C835" t="s">
        <v>728</v>
      </c>
      <c r="D835" s="2">
        <v>45372</v>
      </c>
      <c r="E835" t="s">
        <v>91</v>
      </c>
      <c r="F835" t="str">
        <f>VLOOKUP($C835,Product_Dim!$A$2:$D$101,3,FALSE)</f>
        <v>Larson Ltd</v>
      </c>
      <c r="G835" t="str">
        <f>VLOOKUP($C835,Product_Dim!$A$2:$D$101,2,FALSE)</f>
        <v>Electronics</v>
      </c>
      <c r="H835">
        <v>2</v>
      </c>
      <c r="I835">
        <v>675.61</v>
      </c>
      <c r="J835">
        <v>0.08</v>
      </c>
      <c r="K835" s="3">
        <v>1243.1224</v>
      </c>
      <c r="L835" t="s">
        <v>857</v>
      </c>
      <c r="M835" t="str">
        <f>VLOOKUP($E835,Customer_Dim!$A$2:$F$501,3,FALSE)</f>
        <v>Female</v>
      </c>
      <c r="N835" t="str">
        <f>VLOOKUP($E835,Customer_Dim!$A$2:$F$501,5,FALSE)</f>
        <v>USA</v>
      </c>
      <c r="O835" t="str">
        <f>VLOOKUP($E835,Customer_Dim!$A$2:$F$501,6,FALSE)</f>
        <v>Silver</v>
      </c>
      <c r="P835" t="str">
        <f>VLOOKUP($A835,Store_Dim!$A$2:$F$21,3,FALSE)</f>
        <v>WestNew Jimmymouth</v>
      </c>
    </row>
    <row r="836" spans="1:16" hidden="1" x14ac:dyDescent="0.25">
      <c r="A836" t="s">
        <v>832</v>
      </c>
      <c r="B836" t="s">
        <v>1304</v>
      </c>
      <c r="C836" t="s">
        <v>728</v>
      </c>
      <c r="D836" s="2">
        <v>45811</v>
      </c>
      <c r="E836" t="s">
        <v>544</v>
      </c>
      <c r="F836" t="str">
        <f>VLOOKUP($C836,Product_Dim!$A$2:$D$101,3,FALSE)</f>
        <v>Larson Ltd</v>
      </c>
      <c r="G836" t="str">
        <f>VLOOKUP($C836,Product_Dim!$A$2:$D$101,2,FALSE)</f>
        <v>Electronics</v>
      </c>
      <c r="H836">
        <v>3</v>
      </c>
      <c r="I836">
        <v>761.8</v>
      </c>
      <c r="J836">
        <v>0.06</v>
      </c>
      <c r="K836" s="3">
        <v>2148.2759999999989</v>
      </c>
      <c r="L836" t="s">
        <v>857</v>
      </c>
      <c r="M836" t="str">
        <f>VLOOKUP($E836,Customer_Dim!$A$2:$F$501,3,FALSE)</f>
        <v>Female</v>
      </c>
      <c r="N836" t="str">
        <f>VLOOKUP($E836,Customer_Dim!$A$2:$F$501,5,FALSE)</f>
        <v>USA</v>
      </c>
      <c r="O836" t="str">
        <f>VLOOKUP($E836,Customer_Dim!$A$2:$F$501,6,FALSE)</f>
        <v>Platinum</v>
      </c>
      <c r="P836" t="str">
        <f>VLOOKUP($A836,Store_Dim!$A$2:$F$21,3,FALSE)</f>
        <v>WestNew Jimmymouth</v>
      </c>
    </row>
    <row r="837" spans="1:16" hidden="1" x14ac:dyDescent="0.25">
      <c r="A837" t="s">
        <v>832</v>
      </c>
      <c r="B837" t="s">
        <v>2394</v>
      </c>
      <c r="C837" t="s">
        <v>728</v>
      </c>
      <c r="D837" s="2">
        <v>45849</v>
      </c>
      <c r="E837" t="s">
        <v>552</v>
      </c>
      <c r="F837" t="str">
        <f>VLOOKUP($C837,Product_Dim!$A$2:$D$101,3,FALSE)</f>
        <v>Larson Ltd</v>
      </c>
      <c r="G837" t="str">
        <f>VLOOKUP($C837,Product_Dim!$A$2:$D$101,2,FALSE)</f>
        <v>Electronics</v>
      </c>
      <c r="H837">
        <v>1</v>
      </c>
      <c r="I837">
        <v>539.9</v>
      </c>
      <c r="J837">
        <v>7.0000000000000007E-2</v>
      </c>
      <c r="K837" s="3">
        <v>502.10700000000003</v>
      </c>
      <c r="L837" t="s">
        <v>852</v>
      </c>
      <c r="M837" t="str">
        <f>VLOOKUP($E837,Customer_Dim!$A$2:$F$501,3,FALSE)</f>
        <v>Female</v>
      </c>
      <c r="N837" t="str">
        <f>VLOOKUP($E837,Customer_Dim!$A$2:$F$501,5,FALSE)</f>
        <v>USA</v>
      </c>
      <c r="O837" t="str">
        <f>VLOOKUP($E837,Customer_Dim!$A$2:$F$501,6,FALSE)</f>
        <v>Bronze</v>
      </c>
      <c r="P837" t="str">
        <f>VLOOKUP($A837,Store_Dim!$A$2:$F$21,3,FALSE)</f>
        <v>WestNew Jimmymouth</v>
      </c>
    </row>
    <row r="838" spans="1:16" hidden="1" x14ac:dyDescent="0.25">
      <c r="A838" t="s">
        <v>832</v>
      </c>
      <c r="B838" t="s">
        <v>900</v>
      </c>
      <c r="C838" t="s">
        <v>732</v>
      </c>
      <c r="D838" s="2">
        <v>45570</v>
      </c>
      <c r="E838" t="s">
        <v>123</v>
      </c>
      <c r="F838" t="str">
        <f>VLOOKUP($C838,Product_Dim!$A$2:$D$101,3,FALSE)</f>
        <v>Hernandez Inc</v>
      </c>
      <c r="G838" t="str">
        <f>VLOOKUP($C838,Product_Dim!$A$2:$D$101,2,FALSE)</f>
        <v>Home</v>
      </c>
      <c r="H838">
        <v>1</v>
      </c>
      <c r="I838">
        <v>418.69</v>
      </c>
      <c r="J838">
        <v>0.06</v>
      </c>
      <c r="K838" s="3">
        <v>393.5686</v>
      </c>
      <c r="L838" t="s">
        <v>854</v>
      </c>
      <c r="M838" t="str">
        <f>VLOOKUP($E838,Customer_Dim!$A$2:$F$501,3,FALSE)</f>
        <v>Female</v>
      </c>
      <c r="N838" t="str">
        <f>VLOOKUP($E838,Customer_Dim!$A$2:$F$501,5,FALSE)</f>
        <v>USA</v>
      </c>
      <c r="O838" t="str">
        <f>VLOOKUP($E838,Customer_Dim!$A$2:$F$501,6,FALSE)</f>
        <v>Gold</v>
      </c>
      <c r="P838" t="str">
        <f>VLOOKUP($A838,Store_Dim!$A$2:$F$21,3,FALSE)</f>
        <v>WestNew Jimmymouth</v>
      </c>
    </row>
    <row r="839" spans="1:16" x14ac:dyDescent="0.25">
      <c r="A839" t="s">
        <v>832</v>
      </c>
      <c r="B839" t="s">
        <v>2390</v>
      </c>
      <c r="C839" t="s">
        <v>732</v>
      </c>
      <c r="D839" s="2">
        <v>45378</v>
      </c>
      <c r="E839" t="s">
        <v>273</v>
      </c>
      <c r="F839" t="str">
        <f>VLOOKUP($C839,Product_Dim!$A$2:$D$101,3,FALSE)</f>
        <v>Hernandez Inc</v>
      </c>
      <c r="G839" t="str">
        <f>VLOOKUP($C839,Product_Dim!$A$2:$D$101,2,FALSE)</f>
        <v>Home</v>
      </c>
      <c r="H839">
        <v>3</v>
      </c>
      <c r="I839">
        <v>392.84</v>
      </c>
      <c r="J839">
        <v>0.27</v>
      </c>
      <c r="K839" s="3">
        <v>860.31959999999992</v>
      </c>
      <c r="L839" t="s">
        <v>854</v>
      </c>
      <c r="M839" t="str">
        <f>VLOOKUP($E839,Customer_Dim!$A$2:$F$501,3,FALSE)</f>
        <v>Male</v>
      </c>
      <c r="N839" t="str">
        <f>VLOOKUP($E839,Customer_Dim!$A$2:$F$501,5,FALSE)</f>
        <v>USA</v>
      </c>
      <c r="O839" t="str">
        <f>VLOOKUP($E839,Customer_Dim!$A$2:$F$501,6,FALSE)</f>
        <v>Platinum</v>
      </c>
      <c r="P839" t="str">
        <f>VLOOKUP($A839,Store_Dim!$A$2:$F$21,3,FALSE)</f>
        <v>WestNew Jimmymouth</v>
      </c>
    </row>
    <row r="840" spans="1:16" hidden="1" x14ac:dyDescent="0.25">
      <c r="A840" t="s">
        <v>832</v>
      </c>
      <c r="B840" t="s">
        <v>2826</v>
      </c>
      <c r="C840" t="s">
        <v>734</v>
      </c>
      <c r="D840" s="2">
        <v>45466</v>
      </c>
      <c r="E840" t="s">
        <v>461</v>
      </c>
      <c r="F840" t="str">
        <f>VLOOKUP($C840,Product_Dim!$A$2:$D$101,3,FALSE)</f>
        <v>Ramirez-Hanson</v>
      </c>
      <c r="G840" t="str">
        <f>VLOOKUP($C840,Product_Dim!$A$2:$D$101,2,FALSE)</f>
        <v>Home</v>
      </c>
      <c r="H840">
        <v>1</v>
      </c>
      <c r="I840">
        <v>650.47</v>
      </c>
      <c r="J840">
        <v>0.13</v>
      </c>
      <c r="K840" s="3">
        <v>565.90890000000002</v>
      </c>
      <c r="L840" t="s">
        <v>854</v>
      </c>
      <c r="M840" t="str">
        <f>VLOOKUP($E840,Customer_Dim!$A$2:$F$501,3,FALSE)</f>
        <v>Female</v>
      </c>
      <c r="N840" t="str">
        <f>VLOOKUP($E840,Customer_Dim!$A$2:$F$501,5,FALSE)</f>
        <v>USA</v>
      </c>
      <c r="O840" t="str">
        <f>VLOOKUP($E840,Customer_Dim!$A$2:$F$501,6,FALSE)</f>
        <v>Bronze</v>
      </c>
      <c r="P840" t="str">
        <f>VLOOKUP($A840,Store_Dim!$A$2:$F$21,3,FALSE)</f>
        <v>WestNew Jimmymouth</v>
      </c>
    </row>
    <row r="841" spans="1:16" hidden="1" x14ac:dyDescent="0.25">
      <c r="A841" t="s">
        <v>832</v>
      </c>
      <c r="B841" t="s">
        <v>2062</v>
      </c>
      <c r="C841" t="s">
        <v>590</v>
      </c>
      <c r="D841" s="2">
        <v>45446</v>
      </c>
      <c r="E841" t="s">
        <v>384</v>
      </c>
      <c r="F841" t="str">
        <f>VLOOKUP($C841,Product_Dim!$A$2:$D$101,3,FALSE)</f>
        <v>Perez-Johnston</v>
      </c>
      <c r="G841" t="str">
        <f>VLOOKUP($C841,Product_Dim!$A$2:$D$101,2,FALSE)</f>
        <v>Electronics</v>
      </c>
      <c r="H841">
        <v>3</v>
      </c>
      <c r="I841">
        <v>581.09</v>
      </c>
      <c r="J841">
        <v>0.1</v>
      </c>
      <c r="K841" s="3">
        <v>1568.943</v>
      </c>
      <c r="L841" t="s">
        <v>857</v>
      </c>
      <c r="M841" t="str">
        <f>VLOOKUP($E841,Customer_Dim!$A$2:$F$501,3,FALSE)</f>
        <v>Female</v>
      </c>
      <c r="N841" t="str">
        <f>VLOOKUP($E841,Customer_Dim!$A$2:$F$501,5,FALSE)</f>
        <v>USA</v>
      </c>
      <c r="O841" t="str">
        <f>VLOOKUP($E841,Customer_Dim!$A$2:$F$501,6,FALSE)</f>
        <v>Gold</v>
      </c>
      <c r="P841" t="str">
        <f>VLOOKUP($A841,Store_Dim!$A$2:$F$21,3,FALSE)</f>
        <v>WestNew Jimmymouth</v>
      </c>
    </row>
    <row r="842" spans="1:16" x14ac:dyDescent="0.25">
      <c r="A842" t="s">
        <v>832</v>
      </c>
      <c r="B842" t="s">
        <v>1096</v>
      </c>
      <c r="C842" t="s">
        <v>590</v>
      </c>
      <c r="D842" s="2">
        <v>45312</v>
      </c>
      <c r="E842" t="s">
        <v>392</v>
      </c>
      <c r="F842" t="str">
        <f>VLOOKUP($C842,Product_Dim!$A$2:$D$101,3,FALSE)</f>
        <v>Perez-Johnston</v>
      </c>
      <c r="G842" t="str">
        <f>VLOOKUP($C842,Product_Dim!$A$2:$D$101,2,FALSE)</f>
        <v>Electronics</v>
      </c>
      <c r="H842">
        <v>1</v>
      </c>
      <c r="I842">
        <v>394.35</v>
      </c>
      <c r="J842">
        <v>0.09</v>
      </c>
      <c r="K842" s="3">
        <v>358.85849999999999</v>
      </c>
      <c r="L842" t="s">
        <v>854</v>
      </c>
      <c r="M842" t="str">
        <f>VLOOKUP($E842,Customer_Dim!$A$2:$F$501,3,FALSE)</f>
        <v>Male</v>
      </c>
      <c r="N842" t="str">
        <f>VLOOKUP($E842,Customer_Dim!$A$2:$F$501,5,FALSE)</f>
        <v>USA</v>
      </c>
      <c r="O842" t="str">
        <f>VLOOKUP($E842,Customer_Dim!$A$2:$F$501,6,FALSE)</f>
        <v>Bronze</v>
      </c>
      <c r="P842" t="str">
        <f>VLOOKUP($A842,Store_Dim!$A$2:$F$21,3,FALSE)</f>
        <v>WestNew Jimmymouth</v>
      </c>
    </row>
    <row r="843" spans="1:16" hidden="1" x14ac:dyDescent="0.25">
      <c r="A843" t="s">
        <v>832</v>
      </c>
      <c r="B843" t="s">
        <v>2298</v>
      </c>
      <c r="C843" t="s">
        <v>736</v>
      </c>
      <c r="D843" s="2">
        <v>45571</v>
      </c>
      <c r="E843" t="s">
        <v>45</v>
      </c>
      <c r="F843" t="str">
        <f>VLOOKUP($C843,Product_Dim!$A$2:$D$101,3,FALSE)</f>
        <v>Allison Ltd</v>
      </c>
      <c r="G843" t="str">
        <f>VLOOKUP($C843,Product_Dim!$A$2:$D$101,2,FALSE)</f>
        <v>Home</v>
      </c>
      <c r="H843">
        <v>3</v>
      </c>
      <c r="I843">
        <v>483.63</v>
      </c>
      <c r="J843">
        <v>0</v>
      </c>
      <c r="K843" s="3">
        <v>1450.89</v>
      </c>
      <c r="L843" t="s">
        <v>852</v>
      </c>
      <c r="M843" t="str">
        <f>VLOOKUP($E843,Customer_Dim!$A$2:$F$501,3,FALSE)</f>
        <v>Female</v>
      </c>
      <c r="N843" t="str">
        <f>VLOOKUP($E843,Customer_Dim!$A$2:$F$501,5,FALSE)</f>
        <v>USA</v>
      </c>
      <c r="O843" t="str">
        <f>VLOOKUP($E843,Customer_Dim!$A$2:$F$501,6,FALSE)</f>
        <v>Bronze</v>
      </c>
      <c r="P843" t="str">
        <f>VLOOKUP($A843,Store_Dim!$A$2:$F$21,3,FALSE)</f>
        <v>WestNew Jimmymouth</v>
      </c>
    </row>
    <row r="844" spans="1:16" x14ac:dyDescent="0.25">
      <c r="A844" t="s">
        <v>832</v>
      </c>
      <c r="B844" t="s">
        <v>1876</v>
      </c>
      <c r="C844" t="s">
        <v>740</v>
      </c>
      <c r="D844" s="2">
        <v>45644</v>
      </c>
      <c r="E844" t="s">
        <v>524</v>
      </c>
      <c r="F844" t="str">
        <f>VLOOKUP($C844,Product_Dim!$A$2:$D$101,3,FALSE)</f>
        <v>Reese-Watson</v>
      </c>
      <c r="G844" t="str">
        <f>VLOOKUP($C844,Product_Dim!$A$2:$D$101,2,FALSE)</f>
        <v>Sports</v>
      </c>
      <c r="H844">
        <v>1</v>
      </c>
      <c r="I844">
        <v>756.63</v>
      </c>
      <c r="J844">
        <v>0.04</v>
      </c>
      <c r="K844" s="3">
        <v>726.36479999999995</v>
      </c>
      <c r="L844" t="s">
        <v>854</v>
      </c>
      <c r="M844" t="str">
        <f>VLOOKUP($E844,Customer_Dim!$A$2:$F$501,3,FALSE)</f>
        <v>Male</v>
      </c>
      <c r="N844" t="str">
        <f>VLOOKUP($E844,Customer_Dim!$A$2:$F$501,5,FALSE)</f>
        <v>USA</v>
      </c>
      <c r="O844" t="str">
        <f>VLOOKUP($E844,Customer_Dim!$A$2:$F$501,6,FALSE)</f>
        <v>Platinum</v>
      </c>
      <c r="P844" t="str">
        <f>VLOOKUP($A844,Store_Dim!$A$2:$F$21,3,FALSE)</f>
        <v>WestNew Jimmymouth</v>
      </c>
    </row>
    <row r="845" spans="1:16" x14ac:dyDescent="0.25">
      <c r="A845" t="s">
        <v>832</v>
      </c>
      <c r="B845" t="s">
        <v>1411</v>
      </c>
      <c r="C845" t="s">
        <v>744</v>
      </c>
      <c r="D845" s="2">
        <v>45389</v>
      </c>
      <c r="E845" t="s">
        <v>111</v>
      </c>
      <c r="F845" t="str">
        <f>VLOOKUP($C845,Product_Dim!$A$2:$D$101,3,FALSE)</f>
        <v>Collins-Stephenson</v>
      </c>
      <c r="G845" t="str">
        <f>VLOOKUP($C845,Product_Dim!$A$2:$D$101,2,FALSE)</f>
        <v>Home</v>
      </c>
      <c r="H845">
        <v>3</v>
      </c>
      <c r="I845">
        <v>366.08</v>
      </c>
      <c r="J845">
        <v>0.05</v>
      </c>
      <c r="K845" s="3">
        <v>1043.328</v>
      </c>
      <c r="L845" t="s">
        <v>852</v>
      </c>
      <c r="M845" t="str">
        <f>VLOOKUP($E845,Customer_Dim!$A$2:$F$501,3,FALSE)</f>
        <v>Male</v>
      </c>
      <c r="N845" t="str">
        <f>VLOOKUP($E845,Customer_Dim!$A$2:$F$501,5,FALSE)</f>
        <v>USA</v>
      </c>
      <c r="O845" t="str">
        <f>VLOOKUP($E845,Customer_Dim!$A$2:$F$501,6,FALSE)</f>
        <v>Bronze</v>
      </c>
      <c r="P845" t="str">
        <f>VLOOKUP($A845,Store_Dim!$A$2:$F$21,3,FALSE)</f>
        <v>WestNew Jimmymouth</v>
      </c>
    </row>
    <row r="846" spans="1:16" hidden="1" x14ac:dyDescent="0.25">
      <c r="A846" t="s">
        <v>832</v>
      </c>
      <c r="B846" t="s">
        <v>2386</v>
      </c>
      <c r="C846" t="s">
        <v>746</v>
      </c>
      <c r="D846" s="2">
        <v>45928</v>
      </c>
      <c r="E846" t="s">
        <v>219</v>
      </c>
      <c r="F846" t="str">
        <f>VLOOKUP($C846,Product_Dim!$A$2:$D$101,3,FALSE)</f>
        <v>Richardson-Carrillo</v>
      </c>
      <c r="G846" t="str">
        <f>VLOOKUP($C846,Product_Dim!$A$2:$D$101,2,FALSE)</f>
        <v>Clothing</v>
      </c>
      <c r="H846">
        <v>3</v>
      </c>
      <c r="I846">
        <v>615.30999999999995</v>
      </c>
      <c r="J846">
        <v>0.14000000000000001</v>
      </c>
      <c r="K846" s="3">
        <v>1587.4998000000001</v>
      </c>
      <c r="L846" t="s">
        <v>854</v>
      </c>
      <c r="M846" t="str">
        <f>VLOOKUP($E846,Customer_Dim!$A$2:$F$501,3,FALSE)</f>
        <v>Female</v>
      </c>
      <c r="N846" t="str">
        <f>VLOOKUP($E846,Customer_Dim!$A$2:$F$501,5,FALSE)</f>
        <v>USA</v>
      </c>
      <c r="O846" t="str">
        <f>VLOOKUP($E846,Customer_Dim!$A$2:$F$501,6,FALSE)</f>
        <v>Gold</v>
      </c>
      <c r="P846" t="str">
        <f>VLOOKUP($A846,Store_Dim!$A$2:$F$21,3,FALSE)</f>
        <v>WestNew Jimmymouth</v>
      </c>
    </row>
    <row r="847" spans="1:16" hidden="1" x14ac:dyDescent="0.25">
      <c r="A847" t="s">
        <v>832</v>
      </c>
      <c r="B847" t="s">
        <v>2099</v>
      </c>
      <c r="C847" t="s">
        <v>746</v>
      </c>
      <c r="D847" s="2">
        <v>45299</v>
      </c>
      <c r="E847" t="s">
        <v>520</v>
      </c>
      <c r="F847" t="str">
        <f>VLOOKUP($C847,Product_Dim!$A$2:$D$101,3,FALSE)</f>
        <v>Richardson-Carrillo</v>
      </c>
      <c r="G847" t="str">
        <f>VLOOKUP($C847,Product_Dim!$A$2:$D$101,2,FALSE)</f>
        <v>Clothing</v>
      </c>
      <c r="H847">
        <v>3</v>
      </c>
      <c r="I847">
        <v>416.44</v>
      </c>
      <c r="J847">
        <v>0.27</v>
      </c>
      <c r="K847" s="3">
        <v>912.00359999999989</v>
      </c>
      <c r="L847" t="s">
        <v>852</v>
      </c>
      <c r="M847" t="str">
        <f>VLOOKUP($E847,Customer_Dim!$A$2:$F$501,3,FALSE)</f>
        <v>Female</v>
      </c>
      <c r="N847" t="str">
        <f>VLOOKUP($E847,Customer_Dim!$A$2:$F$501,5,FALSE)</f>
        <v>USA</v>
      </c>
      <c r="O847" t="str">
        <f>VLOOKUP($E847,Customer_Dim!$A$2:$F$501,6,FALSE)</f>
        <v>Platinum</v>
      </c>
      <c r="P847" t="str">
        <f>VLOOKUP($A847,Store_Dim!$A$2:$F$21,3,FALSE)</f>
        <v>WestNew Jimmymouth</v>
      </c>
    </row>
    <row r="848" spans="1:16" hidden="1" x14ac:dyDescent="0.25">
      <c r="A848" t="s">
        <v>832</v>
      </c>
      <c r="B848" t="s">
        <v>1745</v>
      </c>
      <c r="C848" t="s">
        <v>748</v>
      </c>
      <c r="D848" s="2">
        <v>45932</v>
      </c>
      <c r="E848" t="s">
        <v>381</v>
      </c>
      <c r="F848" t="str">
        <f>VLOOKUP($C848,Product_Dim!$A$2:$D$101,3,FALSE)</f>
        <v>Taylor, Dodson and Johnston</v>
      </c>
      <c r="G848" t="str">
        <f>VLOOKUP($C848,Product_Dim!$A$2:$D$101,2,FALSE)</f>
        <v>Home</v>
      </c>
      <c r="H848">
        <v>2</v>
      </c>
      <c r="I848">
        <v>215.59</v>
      </c>
      <c r="J848">
        <v>0.18</v>
      </c>
      <c r="K848" s="3">
        <v>353.56760000000003</v>
      </c>
      <c r="L848" t="s">
        <v>852</v>
      </c>
      <c r="M848" t="str">
        <f>VLOOKUP($E848,Customer_Dim!$A$2:$F$501,3,FALSE)</f>
        <v>Female</v>
      </c>
      <c r="N848" t="str">
        <f>VLOOKUP($E848,Customer_Dim!$A$2:$F$501,5,FALSE)</f>
        <v>USA</v>
      </c>
      <c r="O848" t="str">
        <f>VLOOKUP($E848,Customer_Dim!$A$2:$F$501,6,FALSE)</f>
        <v>Silver</v>
      </c>
      <c r="P848" t="str">
        <f>VLOOKUP($A848,Store_Dim!$A$2:$F$21,3,FALSE)</f>
        <v>WestNew Jimmymouth</v>
      </c>
    </row>
    <row r="849" spans="1:16" x14ac:dyDescent="0.25">
      <c r="A849" t="s">
        <v>832</v>
      </c>
      <c r="B849" t="s">
        <v>2629</v>
      </c>
      <c r="C849" t="s">
        <v>748</v>
      </c>
      <c r="D849" s="2">
        <v>45319</v>
      </c>
      <c r="E849" t="s">
        <v>395</v>
      </c>
      <c r="F849" t="str">
        <f>VLOOKUP($C849,Product_Dim!$A$2:$D$101,3,FALSE)</f>
        <v>Taylor, Dodson and Johnston</v>
      </c>
      <c r="G849" t="str">
        <f>VLOOKUP($C849,Product_Dim!$A$2:$D$101,2,FALSE)</f>
        <v>Home</v>
      </c>
      <c r="H849">
        <v>3</v>
      </c>
      <c r="I849">
        <v>738.47</v>
      </c>
      <c r="J849">
        <v>0.28000000000000003</v>
      </c>
      <c r="K849" s="3">
        <v>1595.0952</v>
      </c>
      <c r="L849" t="s">
        <v>852</v>
      </c>
      <c r="M849" t="str">
        <f>VLOOKUP($E849,Customer_Dim!$A$2:$F$501,3,FALSE)</f>
        <v>Male</v>
      </c>
      <c r="N849" t="str">
        <f>VLOOKUP($E849,Customer_Dim!$A$2:$F$501,5,FALSE)</f>
        <v>USA</v>
      </c>
      <c r="O849" t="str">
        <f>VLOOKUP($E849,Customer_Dim!$A$2:$F$501,6,FALSE)</f>
        <v>Platinum</v>
      </c>
      <c r="P849" t="str">
        <f>VLOOKUP($A849,Store_Dim!$A$2:$F$21,3,FALSE)</f>
        <v>WestNew Jimmymouth</v>
      </c>
    </row>
    <row r="850" spans="1:16" hidden="1" x14ac:dyDescent="0.25">
      <c r="A850" t="s">
        <v>832</v>
      </c>
      <c r="B850" t="s">
        <v>2478</v>
      </c>
      <c r="C850" t="s">
        <v>748</v>
      </c>
      <c r="D850" s="2">
        <v>45868</v>
      </c>
      <c r="E850" t="s">
        <v>418</v>
      </c>
      <c r="F850" t="str">
        <f>VLOOKUP($C850,Product_Dim!$A$2:$D$101,3,FALSE)</f>
        <v>Taylor, Dodson and Johnston</v>
      </c>
      <c r="G850" t="str">
        <f>VLOOKUP($C850,Product_Dim!$A$2:$D$101,2,FALSE)</f>
        <v>Home</v>
      </c>
      <c r="H850">
        <v>4</v>
      </c>
      <c r="I850">
        <v>164.93</v>
      </c>
      <c r="J850">
        <v>0.11</v>
      </c>
      <c r="K850" s="3">
        <v>587.1508</v>
      </c>
      <c r="L850" t="s">
        <v>852</v>
      </c>
      <c r="M850" t="str">
        <f>VLOOKUP($E850,Customer_Dim!$A$2:$F$501,3,FALSE)</f>
        <v>Female</v>
      </c>
      <c r="N850" t="str">
        <f>VLOOKUP($E850,Customer_Dim!$A$2:$F$501,5,FALSE)</f>
        <v>USA</v>
      </c>
      <c r="O850" t="str">
        <f>VLOOKUP($E850,Customer_Dim!$A$2:$F$501,6,FALSE)</f>
        <v>Bronze</v>
      </c>
      <c r="P850" t="str">
        <f>VLOOKUP($A850,Store_Dim!$A$2:$F$21,3,FALSE)</f>
        <v>WestNew Jimmymouth</v>
      </c>
    </row>
    <row r="851" spans="1:16" hidden="1" x14ac:dyDescent="0.25">
      <c r="A851" t="s">
        <v>832</v>
      </c>
      <c r="B851" t="s">
        <v>1320</v>
      </c>
      <c r="C851" t="s">
        <v>752</v>
      </c>
      <c r="D851" s="2">
        <v>45713</v>
      </c>
      <c r="E851" t="s">
        <v>26</v>
      </c>
      <c r="F851" t="str">
        <f>VLOOKUP($C851,Product_Dim!$A$2:$D$101,3,FALSE)</f>
        <v>Olsen-Daniels</v>
      </c>
      <c r="G851" t="str">
        <f>VLOOKUP($C851,Product_Dim!$A$2:$D$101,2,FALSE)</f>
        <v>Sports</v>
      </c>
      <c r="H851">
        <v>3</v>
      </c>
      <c r="I851">
        <v>649.95000000000005</v>
      </c>
      <c r="J851">
        <v>0.28000000000000003</v>
      </c>
      <c r="K851" s="3">
        <v>1403.8920000000001</v>
      </c>
      <c r="L851" t="s">
        <v>857</v>
      </c>
      <c r="M851" t="str">
        <f>VLOOKUP($E851,Customer_Dim!$A$2:$F$501,3,FALSE)</f>
        <v>Female</v>
      </c>
      <c r="N851" t="str">
        <f>VLOOKUP($E851,Customer_Dim!$A$2:$F$501,5,FALSE)</f>
        <v>USA</v>
      </c>
      <c r="O851" t="str">
        <f>VLOOKUP($E851,Customer_Dim!$A$2:$F$501,6,FALSE)</f>
        <v>Platinum</v>
      </c>
      <c r="P851" t="str">
        <f>VLOOKUP($A851,Store_Dim!$A$2:$F$21,3,FALSE)</f>
        <v>WestNew Jimmymouth</v>
      </c>
    </row>
    <row r="852" spans="1:16" hidden="1" x14ac:dyDescent="0.25">
      <c r="A852" t="s">
        <v>832</v>
      </c>
      <c r="B852" t="s">
        <v>1013</v>
      </c>
      <c r="C852" t="s">
        <v>754</v>
      </c>
      <c r="D852" s="2">
        <v>45454</v>
      </c>
      <c r="E852" t="s">
        <v>461</v>
      </c>
      <c r="F852" t="str">
        <f>VLOOKUP($C852,Product_Dim!$A$2:$D$101,3,FALSE)</f>
        <v>Taylor-Elliott</v>
      </c>
      <c r="G852" t="str">
        <f>VLOOKUP($C852,Product_Dim!$A$2:$D$101,2,FALSE)</f>
        <v>Beauty</v>
      </c>
      <c r="H852">
        <v>2</v>
      </c>
      <c r="I852">
        <v>122.23</v>
      </c>
      <c r="J852">
        <v>0.21</v>
      </c>
      <c r="K852" s="3">
        <v>193.1234</v>
      </c>
      <c r="L852" t="s">
        <v>857</v>
      </c>
      <c r="M852" t="str">
        <f>VLOOKUP($E852,Customer_Dim!$A$2:$F$501,3,FALSE)</f>
        <v>Female</v>
      </c>
      <c r="N852" t="str">
        <f>VLOOKUP($E852,Customer_Dim!$A$2:$F$501,5,FALSE)</f>
        <v>USA</v>
      </c>
      <c r="O852" t="str">
        <f>VLOOKUP($E852,Customer_Dim!$A$2:$F$501,6,FALSE)</f>
        <v>Bronze</v>
      </c>
      <c r="P852" t="str">
        <f>VLOOKUP($A852,Store_Dim!$A$2:$F$21,3,FALSE)</f>
        <v>WestNew Jimmymouth</v>
      </c>
    </row>
    <row r="853" spans="1:16" hidden="1" x14ac:dyDescent="0.25">
      <c r="A853" t="s">
        <v>832</v>
      </c>
      <c r="B853" t="s">
        <v>2053</v>
      </c>
      <c r="C853" t="s">
        <v>754</v>
      </c>
      <c r="D853" s="2">
        <v>45453</v>
      </c>
      <c r="E853" t="s">
        <v>537</v>
      </c>
      <c r="F853" t="str">
        <f>VLOOKUP($C853,Product_Dim!$A$2:$D$101,3,FALSE)</f>
        <v>Taylor-Elliott</v>
      </c>
      <c r="G853" t="str">
        <f>VLOOKUP($C853,Product_Dim!$A$2:$D$101,2,FALSE)</f>
        <v>Beauty</v>
      </c>
      <c r="H853">
        <v>2</v>
      </c>
      <c r="I853">
        <v>635.22</v>
      </c>
      <c r="J853">
        <v>0.3</v>
      </c>
      <c r="K853" s="3">
        <v>889.30799999999999</v>
      </c>
      <c r="L853" t="s">
        <v>857</v>
      </c>
      <c r="M853" t="str">
        <f>VLOOKUP($E853,Customer_Dim!$A$2:$F$501,3,FALSE)</f>
        <v>Female</v>
      </c>
      <c r="N853" t="str">
        <f>VLOOKUP($E853,Customer_Dim!$A$2:$F$501,5,FALSE)</f>
        <v>USA</v>
      </c>
      <c r="O853" t="str">
        <f>VLOOKUP($E853,Customer_Dim!$A$2:$F$501,6,FALSE)</f>
        <v>Gold</v>
      </c>
      <c r="P853" t="str">
        <f>VLOOKUP($A853,Store_Dim!$A$2:$F$21,3,FALSE)</f>
        <v>WestNew Jimmymouth</v>
      </c>
    </row>
    <row r="854" spans="1:16" hidden="1" x14ac:dyDescent="0.25">
      <c r="A854" t="s">
        <v>832</v>
      </c>
      <c r="B854" t="s">
        <v>2769</v>
      </c>
      <c r="C854" t="s">
        <v>593</v>
      </c>
      <c r="D854" s="2">
        <v>45408</v>
      </c>
      <c r="E854" t="s">
        <v>390</v>
      </c>
      <c r="F854" t="str">
        <f>VLOOKUP($C854,Product_Dim!$A$2:$D$101,3,FALSE)</f>
        <v>Hill PLC</v>
      </c>
      <c r="G854" t="str">
        <f>VLOOKUP($C854,Product_Dim!$A$2:$D$101,2,FALSE)</f>
        <v>Sports</v>
      </c>
      <c r="H854">
        <v>2</v>
      </c>
      <c r="I854">
        <v>409.14</v>
      </c>
      <c r="J854">
        <v>0.01</v>
      </c>
      <c r="K854" s="3">
        <v>810.09719999999993</v>
      </c>
      <c r="L854" t="s">
        <v>854</v>
      </c>
      <c r="M854" t="str">
        <f>VLOOKUP($E854,Customer_Dim!$A$2:$F$501,3,FALSE)</f>
        <v>Female</v>
      </c>
      <c r="N854" t="str">
        <f>VLOOKUP($E854,Customer_Dim!$A$2:$F$501,5,FALSE)</f>
        <v>USA</v>
      </c>
      <c r="O854" t="str">
        <f>VLOOKUP($E854,Customer_Dim!$A$2:$F$501,6,FALSE)</f>
        <v>Platinum</v>
      </c>
      <c r="P854" t="str">
        <f>VLOOKUP($A854,Store_Dim!$A$2:$F$21,3,FALSE)</f>
        <v>WestNew Jimmymouth</v>
      </c>
    </row>
    <row r="855" spans="1:16" hidden="1" x14ac:dyDescent="0.25">
      <c r="A855" t="s">
        <v>832</v>
      </c>
      <c r="B855" t="s">
        <v>1802</v>
      </c>
      <c r="C855" t="s">
        <v>593</v>
      </c>
      <c r="D855" s="2">
        <v>45343</v>
      </c>
      <c r="E855" t="s">
        <v>394</v>
      </c>
      <c r="F855" t="str">
        <f>VLOOKUP($C855,Product_Dim!$A$2:$D$101,3,FALSE)</f>
        <v>Hill PLC</v>
      </c>
      <c r="G855" t="str">
        <f>VLOOKUP($C855,Product_Dim!$A$2:$D$101,2,FALSE)</f>
        <v>Sports</v>
      </c>
      <c r="H855">
        <v>4</v>
      </c>
      <c r="I855">
        <v>583.21</v>
      </c>
      <c r="J855">
        <v>0.2</v>
      </c>
      <c r="K855" s="3">
        <v>1866.2719999999999</v>
      </c>
      <c r="L855" t="s">
        <v>852</v>
      </c>
      <c r="M855" t="str">
        <f>VLOOKUP($E855,Customer_Dim!$A$2:$F$501,3,FALSE)</f>
        <v>Female</v>
      </c>
      <c r="N855" t="str">
        <f>VLOOKUP($E855,Customer_Dim!$A$2:$F$501,5,FALSE)</f>
        <v>USA</v>
      </c>
      <c r="O855" t="str">
        <f>VLOOKUP($E855,Customer_Dim!$A$2:$F$501,6,FALSE)</f>
        <v>Bronze</v>
      </c>
      <c r="P855" t="str">
        <f>VLOOKUP($A855,Store_Dim!$A$2:$F$21,3,FALSE)</f>
        <v>WestNew Jimmymouth</v>
      </c>
    </row>
    <row r="856" spans="1:16" hidden="1" x14ac:dyDescent="0.25">
      <c r="A856" t="s">
        <v>832</v>
      </c>
      <c r="B856" t="s">
        <v>2013</v>
      </c>
      <c r="C856" t="s">
        <v>756</v>
      </c>
      <c r="D856" s="2">
        <v>45881</v>
      </c>
      <c r="E856" t="s">
        <v>413</v>
      </c>
      <c r="F856" t="str">
        <f>VLOOKUP($C856,Product_Dim!$A$2:$D$101,3,FALSE)</f>
        <v>Sharp, Taylor and Rodriguez</v>
      </c>
      <c r="G856" t="str">
        <f>VLOOKUP($C856,Product_Dim!$A$2:$D$101,2,FALSE)</f>
        <v>Electronics</v>
      </c>
      <c r="H856">
        <v>1</v>
      </c>
      <c r="I856">
        <v>269.25</v>
      </c>
      <c r="J856">
        <v>0.14000000000000001</v>
      </c>
      <c r="K856" s="3">
        <v>231.55500000000001</v>
      </c>
      <c r="L856" t="s">
        <v>854</v>
      </c>
      <c r="M856" t="str">
        <f>VLOOKUP($E856,Customer_Dim!$A$2:$F$501,3,FALSE)</f>
        <v>Female</v>
      </c>
      <c r="N856" t="str">
        <f>VLOOKUP($E856,Customer_Dim!$A$2:$F$501,5,FALSE)</f>
        <v>USA</v>
      </c>
      <c r="O856" t="str">
        <f>VLOOKUP($E856,Customer_Dim!$A$2:$F$501,6,FALSE)</f>
        <v>Platinum</v>
      </c>
      <c r="P856" t="str">
        <f>VLOOKUP($A856,Store_Dim!$A$2:$F$21,3,FALSE)</f>
        <v>WestNew Jimmymouth</v>
      </c>
    </row>
    <row r="857" spans="1:16" x14ac:dyDescent="0.25">
      <c r="A857" t="s">
        <v>832</v>
      </c>
      <c r="B857" t="s">
        <v>1481</v>
      </c>
      <c r="C857" t="s">
        <v>758</v>
      </c>
      <c r="D857" s="2">
        <v>45547</v>
      </c>
      <c r="E857" t="s">
        <v>240</v>
      </c>
      <c r="F857" t="str">
        <f>VLOOKUP($C857,Product_Dim!$A$2:$D$101,3,FALSE)</f>
        <v>Smith-Charles</v>
      </c>
      <c r="G857" t="str">
        <f>VLOOKUP($C857,Product_Dim!$A$2:$D$101,2,FALSE)</f>
        <v>Clothing</v>
      </c>
      <c r="H857">
        <v>4</v>
      </c>
      <c r="I857">
        <v>969.55</v>
      </c>
      <c r="J857">
        <v>0.09</v>
      </c>
      <c r="K857" s="3">
        <v>3529.1619999999998</v>
      </c>
      <c r="L857" t="s">
        <v>857</v>
      </c>
      <c r="M857" t="str">
        <f>VLOOKUP($E857,Customer_Dim!$A$2:$F$501,3,FALSE)</f>
        <v>Male</v>
      </c>
      <c r="N857" t="str">
        <f>VLOOKUP($E857,Customer_Dim!$A$2:$F$501,5,FALSE)</f>
        <v>USA</v>
      </c>
      <c r="O857" t="str">
        <f>VLOOKUP($E857,Customer_Dim!$A$2:$F$501,6,FALSE)</f>
        <v>Silver</v>
      </c>
      <c r="P857" t="str">
        <f>VLOOKUP($A857,Store_Dim!$A$2:$F$21,3,FALSE)</f>
        <v>WestNew Jimmymouth</v>
      </c>
    </row>
    <row r="858" spans="1:16" x14ac:dyDescent="0.25">
      <c r="A858" t="s">
        <v>832</v>
      </c>
      <c r="B858" t="s">
        <v>1413</v>
      </c>
      <c r="C858" t="s">
        <v>758</v>
      </c>
      <c r="D858" s="2">
        <v>45256</v>
      </c>
      <c r="E858" t="s">
        <v>456</v>
      </c>
      <c r="F858" t="str">
        <f>VLOOKUP($C858,Product_Dim!$A$2:$D$101,3,FALSE)</f>
        <v>Smith-Charles</v>
      </c>
      <c r="G858" t="str">
        <f>VLOOKUP($C858,Product_Dim!$A$2:$D$101,2,FALSE)</f>
        <v>Clothing</v>
      </c>
      <c r="H858">
        <v>1</v>
      </c>
      <c r="I858">
        <v>499.59</v>
      </c>
      <c r="J858">
        <v>0.03</v>
      </c>
      <c r="K858" s="3">
        <v>484.60230000000001</v>
      </c>
      <c r="L858" t="s">
        <v>857</v>
      </c>
      <c r="M858" t="str">
        <f>VLOOKUP($E858,Customer_Dim!$A$2:$F$501,3,FALSE)</f>
        <v>Male</v>
      </c>
      <c r="N858" t="str">
        <f>VLOOKUP($E858,Customer_Dim!$A$2:$F$501,5,FALSE)</f>
        <v>USA</v>
      </c>
      <c r="O858" t="str">
        <f>VLOOKUP($E858,Customer_Dim!$A$2:$F$501,6,FALSE)</f>
        <v>Platinum</v>
      </c>
      <c r="P858" t="str">
        <f>VLOOKUP($A858,Store_Dim!$A$2:$F$21,3,FALSE)</f>
        <v>WestNew Jimmymouth</v>
      </c>
    </row>
    <row r="859" spans="1:16" hidden="1" x14ac:dyDescent="0.25">
      <c r="A859" t="s">
        <v>832</v>
      </c>
      <c r="B859" t="s">
        <v>1732</v>
      </c>
      <c r="C859" t="s">
        <v>760</v>
      </c>
      <c r="D859" s="2">
        <v>45593</v>
      </c>
      <c r="E859" t="s">
        <v>70</v>
      </c>
      <c r="F859" t="str">
        <f>VLOOKUP($C859,Product_Dim!$A$2:$D$101,3,FALSE)</f>
        <v>Green, Powell and Palmer</v>
      </c>
      <c r="G859" t="str">
        <f>VLOOKUP($C859,Product_Dim!$A$2:$D$101,2,FALSE)</f>
        <v>Home</v>
      </c>
      <c r="H859">
        <v>1</v>
      </c>
      <c r="I859">
        <v>553.38</v>
      </c>
      <c r="J859">
        <v>0.21</v>
      </c>
      <c r="K859" s="3">
        <v>437.17020000000002</v>
      </c>
      <c r="L859" t="s">
        <v>854</v>
      </c>
      <c r="M859" t="str">
        <f>VLOOKUP($E859,Customer_Dim!$A$2:$F$501,3,FALSE)</f>
        <v>Female</v>
      </c>
      <c r="N859" t="str">
        <f>VLOOKUP($E859,Customer_Dim!$A$2:$F$501,5,FALSE)</f>
        <v>USA</v>
      </c>
      <c r="O859" t="str">
        <f>VLOOKUP($E859,Customer_Dim!$A$2:$F$501,6,FALSE)</f>
        <v>Gold</v>
      </c>
      <c r="P859" t="str">
        <f>VLOOKUP($A859,Store_Dim!$A$2:$F$21,3,FALSE)</f>
        <v>WestNew Jimmymouth</v>
      </c>
    </row>
    <row r="860" spans="1:16" hidden="1" x14ac:dyDescent="0.25">
      <c r="A860" t="s">
        <v>832</v>
      </c>
      <c r="B860" t="s">
        <v>916</v>
      </c>
      <c r="C860" t="s">
        <v>762</v>
      </c>
      <c r="D860" s="2">
        <v>45515</v>
      </c>
      <c r="E860" t="s">
        <v>531</v>
      </c>
      <c r="F860" t="str">
        <f>VLOOKUP($C860,Product_Dim!$A$2:$D$101,3,FALSE)</f>
        <v>Martin LLC</v>
      </c>
      <c r="G860" t="str">
        <f>VLOOKUP($C860,Product_Dim!$A$2:$D$101,2,FALSE)</f>
        <v>Electronics</v>
      </c>
      <c r="H860">
        <v>1</v>
      </c>
      <c r="I860">
        <v>468.94</v>
      </c>
      <c r="J860">
        <v>0.12</v>
      </c>
      <c r="K860" s="3">
        <v>412.66719999999998</v>
      </c>
      <c r="L860" t="s">
        <v>852</v>
      </c>
      <c r="M860" t="str">
        <f>VLOOKUP($E860,Customer_Dim!$A$2:$F$501,3,FALSE)</f>
        <v>Female</v>
      </c>
      <c r="N860" t="str">
        <f>VLOOKUP($E860,Customer_Dim!$A$2:$F$501,5,FALSE)</f>
        <v>USA</v>
      </c>
      <c r="O860" t="str">
        <f>VLOOKUP($E860,Customer_Dim!$A$2:$F$501,6,FALSE)</f>
        <v>Platinum</v>
      </c>
      <c r="P860" t="str">
        <f>VLOOKUP($A860,Store_Dim!$A$2:$F$21,3,FALSE)</f>
        <v>WestNew Jimmymouth</v>
      </c>
    </row>
    <row r="861" spans="1:16" x14ac:dyDescent="0.25">
      <c r="A861" t="s">
        <v>832</v>
      </c>
      <c r="B861" t="s">
        <v>2103</v>
      </c>
      <c r="C861" t="s">
        <v>764</v>
      </c>
      <c r="D861" s="2">
        <v>45467</v>
      </c>
      <c r="E861" t="s">
        <v>198</v>
      </c>
      <c r="F861" t="str">
        <f>VLOOKUP($C861,Product_Dim!$A$2:$D$101,3,FALSE)</f>
        <v>Hoffman-Williams</v>
      </c>
      <c r="G861" t="str">
        <f>VLOOKUP($C861,Product_Dim!$A$2:$D$101,2,FALSE)</f>
        <v>Beauty</v>
      </c>
      <c r="H861">
        <v>3</v>
      </c>
      <c r="I861">
        <v>517.98</v>
      </c>
      <c r="J861">
        <v>0.01</v>
      </c>
      <c r="K861" s="3">
        <v>1538.4005999999999</v>
      </c>
      <c r="L861" t="s">
        <v>854</v>
      </c>
      <c r="M861" t="str">
        <f>VLOOKUP($E861,Customer_Dim!$A$2:$F$501,3,FALSE)</f>
        <v>Male</v>
      </c>
      <c r="N861" t="str">
        <f>VLOOKUP($E861,Customer_Dim!$A$2:$F$501,5,FALSE)</f>
        <v>USA</v>
      </c>
      <c r="O861" t="str">
        <f>VLOOKUP($E861,Customer_Dim!$A$2:$F$501,6,FALSE)</f>
        <v>Gold</v>
      </c>
      <c r="P861" t="str">
        <f>VLOOKUP($A861,Store_Dim!$A$2:$F$21,3,FALSE)</f>
        <v>WestNew Jimmymouth</v>
      </c>
    </row>
    <row r="862" spans="1:16" hidden="1" x14ac:dyDescent="0.25">
      <c r="A862" t="s">
        <v>832</v>
      </c>
      <c r="B862" t="s">
        <v>2154</v>
      </c>
      <c r="C862" t="s">
        <v>768</v>
      </c>
      <c r="D862" s="2">
        <v>45478</v>
      </c>
      <c r="E862" t="s">
        <v>211</v>
      </c>
      <c r="F862" t="str">
        <f>VLOOKUP($C862,Product_Dim!$A$2:$D$101,3,FALSE)</f>
        <v>Phillips and Sons</v>
      </c>
      <c r="G862" t="str">
        <f>VLOOKUP($C862,Product_Dim!$A$2:$D$101,2,FALSE)</f>
        <v>Clothing</v>
      </c>
      <c r="H862">
        <v>1</v>
      </c>
      <c r="I862">
        <v>893.14</v>
      </c>
      <c r="J862">
        <v>0.09</v>
      </c>
      <c r="K862" s="3">
        <v>812.75739999999996</v>
      </c>
      <c r="L862" t="s">
        <v>852</v>
      </c>
      <c r="M862" t="str">
        <f>VLOOKUP($E862,Customer_Dim!$A$2:$F$501,3,FALSE)</f>
        <v>Female</v>
      </c>
      <c r="N862" t="str">
        <f>VLOOKUP($E862,Customer_Dim!$A$2:$F$501,5,FALSE)</f>
        <v>USA</v>
      </c>
      <c r="O862" t="str">
        <f>VLOOKUP($E862,Customer_Dim!$A$2:$F$501,6,FALSE)</f>
        <v>Platinum</v>
      </c>
      <c r="P862" t="str">
        <f>VLOOKUP($A862,Store_Dim!$A$2:$F$21,3,FALSE)</f>
        <v>WestNew Jimmymouth</v>
      </c>
    </row>
    <row r="863" spans="1:16" x14ac:dyDescent="0.25">
      <c r="A863" t="s">
        <v>832</v>
      </c>
      <c r="B863" t="s">
        <v>1750</v>
      </c>
      <c r="C863" t="s">
        <v>768</v>
      </c>
      <c r="D863" s="2">
        <v>45294</v>
      </c>
      <c r="E863" t="s">
        <v>498</v>
      </c>
      <c r="F863" t="str">
        <f>VLOOKUP($C863,Product_Dim!$A$2:$D$101,3,FALSE)</f>
        <v>Phillips and Sons</v>
      </c>
      <c r="G863" t="str">
        <f>VLOOKUP($C863,Product_Dim!$A$2:$D$101,2,FALSE)</f>
        <v>Clothing</v>
      </c>
      <c r="H863">
        <v>1</v>
      </c>
      <c r="I863">
        <v>835.17</v>
      </c>
      <c r="J863">
        <v>0.02</v>
      </c>
      <c r="K863" s="3">
        <v>818.46659999999997</v>
      </c>
      <c r="L863" t="s">
        <v>857</v>
      </c>
      <c r="M863" t="str">
        <f>VLOOKUP($E863,Customer_Dim!$A$2:$F$501,3,FALSE)</f>
        <v>Male</v>
      </c>
      <c r="N863" t="str">
        <f>VLOOKUP($E863,Customer_Dim!$A$2:$F$501,5,FALSE)</f>
        <v>USA</v>
      </c>
      <c r="O863" t="str">
        <f>VLOOKUP($E863,Customer_Dim!$A$2:$F$501,6,FALSE)</f>
        <v>Platinum</v>
      </c>
      <c r="P863" t="str">
        <f>VLOOKUP($A863,Store_Dim!$A$2:$F$21,3,FALSE)</f>
        <v>WestNew Jimmymouth</v>
      </c>
    </row>
    <row r="864" spans="1:16" hidden="1" x14ac:dyDescent="0.25">
      <c r="A864" t="s">
        <v>832</v>
      </c>
      <c r="B864" t="s">
        <v>2651</v>
      </c>
      <c r="C864" t="s">
        <v>774</v>
      </c>
      <c r="D864" s="2">
        <v>45875</v>
      </c>
      <c r="E864" t="s">
        <v>141</v>
      </c>
      <c r="F864" t="str">
        <f>VLOOKUP($C864,Product_Dim!$A$2:$D$101,3,FALSE)</f>
        <v>Campbell Ltd</v>
      </c>
      <c r="G864" t="str">
        <f>VLOOKUP($C864,Product_Dim!$A$2:$D$101,2,FALSE)</f>
        <v>Home</v>
      </c>
      <c r="H864">
        <v>4</v>
      </c>
      <c r="I864">
        <v>820.78</v>
      </c>
      <c r="J864">
        <v>0.25</v>
      </c>
      <c r="K864" s="3">
        <v>2462.34</v>
      </c>
      <c r="L864" t="s">
        <v>852</v>
      </c>
      <c r="M864" t="str">
        <f>VLOOKUP($E864,Customer_Dim!$A$2:$F$501,3,FALSE)</f>
        <v>Female</v>
      </c>
      <c r="N864" t="str">
        <f>VLOOKUP($E864,Customer_Dim!$A$2:$F$501,5,FALSE)</f>
        <v>USA</v>
      </c>
      <c r="O864" t="str">
        <f>VLOOKUP($E864,Customer_Dim!$A$2:$F$501,6,FALSE)</f>
        <v>Platinum</v>
      </c>
      <c r="P864" t="str">
        <f>VLOOKUP($A864,Store_Dim!$A$2:$F$21,3,FALSE)</f>
        <v>WestNew Jimmymouth</v>
      </c>
    </row>
    <row r="865" spans="1:16" hidden="1" x14ac:dyDescent="0.25">
      <c r="A865" t="s">
        <v>835</v>
      </c>
      <c r="B865" t="s">
        <v>2724</v>
      </c>
      <c r="C865" t="s">
        <v>571</v>
      </c>
      <c r="D865" s="2">
        <v>45659</v>
      </c>
      <c r="E865" t="s">
        <v>366</v>
      </c>
      <c r="F865" t="str">
        <f>VLOOKUP($C865,Product_Dim!$A$2:$D$101,3,FALSE)</f>
        <v>Hunt Inc</v>
      </c>
      <c r="G865" t="str">
        <f>VLOOKUP($C865,Product_Dim!$A$2:$D$101,2,FALSE)</f>
        <v>Electronics</v>
      </c>
      <c r="H865">
        <v>2</v>
      </c>
      <c r="I865">
        <v>310.33</v>
      </c>
      <c r="J865">
        <v>0.26</v>
      </c>
      <c r="K865" s="3">
        <v>459.28840000000002</v>
      </c>
      <c r="L865" t="s">
        <v>852</v>
      </c>
      <c r="M865" t="str">
        <f>VLOOKUP($E865,Customer_Dim!$A$2:$F$501,3,FALSE)</f>
        <v>Female</v>
      </c>
      <c r="N865" t="str">
        <f>VLOOKUP($E865,Customer_Dim!$A$2:$F$501,5,FALSE)</f>
        <v>USA</v>
      </c>
      <c r="O865" t="str">
        <f>VLOOKUP($E865,Customer_Dim!$A$2:$F$501,6,FALSE)</f>
        <v>Platinum</v>
      </c>
      <c r="P865" t="str">
        <f>VLOOKUP($A865,Store_Dim!$A$2:$F$21,3,FALSE)</f>
        <v>NorthBensonhaven</v>
      </c>
    </row>
    <row r="866" spans="1:16" x14ac:dyDescent="0.25">
      <c r="A866" t="s">
        <v>835</v>
      </c>
      <c r="B866" t="s">
        <v>1858</v>
      </c>
      <c r="C866" t="s">
        <v>571</v>
      </c>
      <c r="D866" s="2">
        <v>45834</v>
      </c>
      <c r="E866" t="s">
        <v>367</v>
      </c>
      <c r="F866" t="str">
        <f>VLOOKUP($C866,Product_Dim!$A$2:$D$101,3,FALSE)</f>
        <v>Hunt Inc</v>
      </c>
      <c r="G866" t="str">
        <f>VLOOKUP($C866,Product_Dim!$A$2:$D$101,2,FALSE)</f>
        <v>Electronics</v>
      </c>
      <c r="H866">
        <v>1</v>
      </c>
      <c r="I866">
        <v>522.69000000000005</v>
      </c>
      <c r="J866">
        <v>0.06</v>
      </c>
      <c r="K866" s="3">
        <v>491.32860000000011</v>
      </c>
      <c r="L866" t="s">
        <v>857</v>
      </c>
      <c r="M866" t="str">
        <f>VLOOKUP($E866,Customer_Dim!$A$2:$F$501,3,FALSE)</f>
        <v>Male</v>
      </c>
      <c r="N866" t="str">
        <f>VLOOKUP($E866,Customer_Dim!$A$2:$F$501,5,FALSE)</f>
        <v>USA</v>
      </c>
      <c r="O866" t="str">
        <f>VLOOKUP($E866,Customer_Dim!$A$2:$F$501,6,FALSE)</f>
        <v>Silver</v>
      </c>
      <c r="P866" t="str">
        <f>VLOOKUP($A866,Store_Dim!$A$2:$F$21,3,FALSE)</f>
        <v>NorthBensonhaven</v>
      </c>
    </row>
    <row r="867" spans="1:16" hidden="1" x14ac:dyDescent="0.25">
      <c r="A867" t="s">
        <v>835</v>
      </c>
      <c r="B867" t="s">
        <v>1980</v>
      </c>
      <c r="C867" t="s">
        <v>571</v>
      </c>
      <c r="D867" s="2">
        <v>45653</v>
      </c>
      <c r="E867" t="s">
        <v>446</v>
      </c>
      <c r="F867" t="str">
        <f>VLOOKUP($C867,Product_Dim!$A$2:$D$101,3,FALSE)</f>
        <v>Hunt Inc</v>
      </c>
      <c r="G867" t="str">
        <f>VLOOKUP($C867,Product_Dim!$A$2:$D$101,2,FALSE)</f>
        <v>Electronics</v>
      </c>
      <c r="H867">
        <v>3</v>
      </c>
      <c r="I867">
        <v>241.64</v>
      </c>
      <c r="J867">
        <v>0.28999999999999998</v>
      </c>
      <c r="K867" s="3">
        <v>514.69319999999993</v>
      </c>
      <c r="L867" t="s">
        <v>854</v>
      </c>
      <c r="M867" t="str">
        <f>VLOOKUP($E867,Customer_Dim!$A$2:$F$501,3,FALSE)</f>
        <v>Female</v>
      </c>
      <c r="N867" t="str">
        <f>VLOOKUP($E867,Customer_Dim!$A$2:$F$501,5,FALSE)</f>
        <v>USA</v>
      </c>
      <c r="O867" t="str">
        <f>VLOOKUP($E867,Customer_Dim!$A$2:$F$501,6,FALSE)</f>
        <v>Gold</v>
      </c>
      <c r="P867" t="str">
        <f>VLOOKUP($A867,Store_Dim!$A$2:$F$21,3,FALSE)</f>
        <v>NorthBensonhaven</v>
      </c>
    </row>
    <row r="868" spans="1:16" hidden="1" x14ac:dyDescent="0.25">
      <c r="A868" t="s">
        <v>835</v>
      </c>
      <c r="B868" t="s">
        <v>1019</v>
      </c>
      <c r="C868" t="s">
        <v>596</v>
      </c>
      <c r="D868" s="2">
        <v>45508</v>
      </c>
      <c r="E868" t="s">
        <v>127</v>
      </c>
      <c r="F868" t="str">
        <f>VLOOKUP($C868,Product_Dim!$A$2:$D$101,3,FALSE)</f>
        <v>Hamilton Group</v>
      </c>
      <c r="G868" t="str">
        <f>VLOOKUP($C868,Product_Dim!$A$2:$D$101,2,FALSE)</f>
        <v>Home</v>
      </c>
      <c r="H868">
        <v>3</v>
      </c>
      <c r="I868">
        <v>707.95</v>
      </c>
      <c r="J868">
        <v>0.18</v>
      </c>
      <c r="K868" s="3">
        <v>1741.557</v>
      </c>
      <c r="L868" t="s">
        <v>854</v>
      </c>
      <c r="M868" t="str">
        <f>VLOOKUP($E868,Customer_Dim!$A$2:$F$501,3,FALSE)</f>
        <v>Female</v>
      </c>
      <c r="N868" t="str">
        <f>VLOOKUP($E868,Customer_Dim!$A$2:$F$501,5,FALSE)</f>
        <v>USA</v>
      </c>
      <c r="O868" t="str">
        <f>VLOOKUP($E868,Customer_Dim!$A$2:$F$501,6,FALSE)</f>
        <v>Silver</v>
      </c>
      <c r="P868" t="str">
        <f>VLOOKUP($A868,Store_Dim!$A$2:$F$21,3,FALSE)</f>
        <v>NorthBensonhaven</v>
      </c>
    </row>
    <row r="869" spans="1:16" hidden="1" x14ac:dyDescent="0.25">
      <c r="A869" t="s">
        <v>835</v>
      </c>
      <c r="B869" t="s">
        <v>891</v>
      </c>
      <c r="C869" t="s">
        <v>596</v>
      </c>
      <c r="D869" s="2">
        <v>45329</v>
      </c>
      <c r="E869" t="s">
        <v>559</v>
      </c>
      <c r="F869" t="str">
        <f>VLOOKUP($C869,Product_Dim!$A$2:$D$101,3,FALSE)</f>
        <v>Hamilton Group</v>
      </c>
      <c r="G869" t="str">
        <f>VLOOKUP($C869,Product_Dim!$A$2:$D$101,2,FALSE)</f>
        <v>Home</v>
      </c>
      <c r="H869">
        <v>3</v>
      </c>
      <c r="I869">
        <v>121.76</v>
      </c>
      <c r="J869">
        <v>0.27</v>
      </c>
      <c r="K869" s="3">
        <v>266.65440000000001</v>
      </c>
      <c r="L869" t="s">
        <v>854</v>
      </c>
      <c r="M869" t="str">
        <f>VLOOKUP($E869,Customer_Dim!$A$2:$F$501,3,FALSE)</f>
        <v>Female</v>
      </c>
      <c r="N869" t="str">
        <f>VLOOKUP($E869,Customer_Dim!$A$2:$F$501,5,FALSE)</f>
        <v>USA</v>
      </c>
      <c r="O869" t="str">
        <f>VLOOKUP($E869,Customer_Dim!$A$2:$F$501,6,FALSE)</f>
        <v>Platinum</v>
      </c>
      <c r="P869" t="str">
        <f>VLOOKUP($A869,Store_Dim!$A$2:$F$21,3,FALSE)</f>
        <v>NorthBensonhaven</v>
      </c>
    </row>
    <row r="870" spans="1:16" hidden="1" x14ac:dyDescent="0.25">
      <c r="A870" t="s">
        <v>835</v>
      </c>
      <c r="B870" t="s">
        <v>2722</v>
      </c>
      <c r="C870" t="s">
        <v>598</v>
      </c>
      <c r="D870" s="2">
        <v>45722</v>
      </c>
      <c r="E870" t="s">
        <v>199</v>
      </c>
      <c r="F870" t="str">
        <f>VLOOKUP($C870,Product_Dim!$A$2:$D$101,3,FALSE)</f>
        <v>Gibson, Hobbs and Weaver</v>
      </c>
      <c r="G870" t="str">
        <f>VLOOKUP($C870,Product_Dim!$A$2:$D$101,2,FALSE)</f>
        <v>Electronics</v>
      </c>
      <c r="H870">
        <v>4</v>
      </c>
      <c r="I870">
        <v>838.7</v>
      </c>
      <c r="J870">
        <v>0.21</v>
      </c>
      <c r="K870" s="3">
        <v>2650.2919999999999</v>
      </c>
      <c r="L870" t="s">
        <v>857</v>
      </c>
      <c r="M870" t="str">
        <f>VLOOKUP($E870,Customer_Dim!$A$2:$F$501,3,FALSE)</f>
        <v>Female</v>
      </c>
      <c r="N870" t="str">
        <f>VLOOKUP($E870,Customer_Dim!$A$2:$F$501,5,FALSE)</f>
        <v>USA</v>
      </c>
      <c r="O870" t="str">
        <f>VLOOKUP($E870,Customer_Dim!$A$2:$F$501,6,FALSE)</f>
        <v>Platinum</v>
      </c>
      <c r="P870" t="str">
        <f>VLOOKUP($A870,Store_Dim!$A$2:$F$21,3,FALSE)</f>
        <v>NorthBensonhaven</v>
      </c>
    </row>
    <row r="871" spans="1:16" hidden="1" x14ac:dyDescent="0.25">
      <c r="A871" t="s">
        <v>835</v>
      </c>
      <c r="B871" t="s">
        <v>1415</v>
      </c>
      <c r="C871" t="s">
        <v>598</v>
      </c>
      <c r="D871" s="2">
        <v>45459</v>
      </c>
      <c r="E871" t="s">
        <v>247</v>
      </c>
      <c r="F871" t="str">
        <f>VLOOKUP($C871,Product_Dim!$A$2:$D$101,3,FALSE)</f>
        <v>Gibson, Hobbs and Weaver</v>
      </c>
      <c r="G871" t="str">
        <f>VLOOKUP($C871,Product_Dim!$A$2:$D$101,2,FALSE)</f>
        <v>Electronics</v>
      </c>
      <c r="H871">
        <v>2</v>
      </c>
      <c r="I871">
        <v>813.01</v>
      </c>
      <c r="J871">
        <v>0.06</v>
      </c>
      <c r="K871" s="3">
        <v>1528.4588000000001</v>
      </c>
      <c r="L871" t="s">
        <v>854</v>
      </c>
      <c r="M871" t="str">
        <f>VLOOKUP($E871,Customer_Dim!$A$2:$F$501,3,FALSE)</f>
        <v>Female</v>
      </c>
      <c r="N871" t="str">
        <f>VLOOKUP($E871,Customer_Dim!$A$2:$F$501,5,FALSE)</f>
        <v>USA</v>
      </c>
      <c r="O871" t="str">
        <f>VLOOKUP($E871,Customer_Dim!$A$2:$F$501,6,FALSE)</f>
        <v>Silver</v>
      </c>
      <c r="P871" t="str">
        <f>VLOOKUP($A871,Store_Dim!$A$2:$F$21,3,FALSE)</f>
        <v>NorthBensonhaven</v>
      </c>
    </row>
    <row r="872" spans="1:16" hidden="1" x14ac:dyDescent="0.25">
      <c r="A872" t="s">
        <v>835</v>
      </c>
      <c r="B872" t="s">
        <v>2613</v>
      </c>
      <c r="C872" t="s">
        <v>604</v>
      </c>
      <c r="D872" s="2">
        <v>45448</v>
      </c>
      <c r="E872" t="s">
        <v>39</v>
      </c>
      <c r="F872" t="str">
        <f>VLOOKUP($C872,Product_Dim!$A$2:$D$101,3,FALSE)</f>
        <v>Luna, Anderson and Bowman</v>
      </c>
      <c r="G872" t="str">
        <f>VLOOKUP($C872,Product_Dim!$A$2:$D$101,2,FALSE)</f>
        <v>Home</v>
      </c>
      <c r="H872">
        <v>4</v>
      </c>
      <c r="I872">
        <v>839.74</v>
      </c>
      <c r="J872">
        <v>0.13</v>
      </c>
      <c r="K872" s="3">
        <v>2922.2952</v>
      </c>
      <c r="L872" t="s">
        <v>854</v>
      </c>
      <c r="M872" t="str">
        <f>VLOOKUP($E872,Customer_Dim!$A$2:$F$501,3,FALSE)</f>
        <v>Female</v>
      </c>
      <c r="N872" t="str">
        <f>VLOOKUP($E872,Customer_Dim!$A$2:$F$501,5,FALSE)</f>
        <v>USA</v>
      </c>
      <c r="O872" t="str">
        <f>VLOOKUP($E872,Customer_Dim!$A$2:$F$501,6,FALSE)</f>
        <v>Silver</v>
      </c>
      <c r="P872" t="str">
        <f>VLOOKUP($A872,Store_Dim!$A$2:$F$21,3,FALSE)</f>
        <v>NorthBensonhaven</v>
      </c>
    </row>
    <row r="873" spans="1:16" x14ac:dyDescent="0.25">
      <c r="A873" t="s">
        <v>835</v>
      </c>
      <c r="B873" t="s">
        <v>2083</v>
      </c>
      <c r="C873" t="s">
        <v>608</v>
      </c>
      <c r="D873" s="2">
        <v>45823</v>
      </c>
      <c r="E873" t="s">
        <v>133</v>
      </c>
      <c r="F873" t="str">
        <f>VLOOKUP($C873,Product_Dim!$A$2:$D$101,3,FALSE)</f>
        <v>Erickson-Green</v>
      </c>
      <c r="G873" t="str">
        <f>VLOOKUP($C873,Product_Dim!$A$2:$D$101,2,FALSE)</f>
        <v>Beauty</v>
      </c>
      <c r="H873">
        <v>3</v>
      </c>
      <c r="I873">
        <v>484.39</v>
      </c>
      <c r="J873">
        <v>0.28999999999999998</v>
      </c>
      <c r="K873" s="3">
        <v>1031.7507000000001</v>
      </c>
      <c r="L873" t="s">
        <v>857</v>
      </c>
      <c r="M873" t="str">
        <f>VLOOKUP($E873,Customer_Dim!$A$2:$F$501,3,FALSE)</f>
        <v>Male</v>
      </c>
      <c r="N873" t="str">
        <f>VLOOKUP($E873,Customer_Dim!$A$2:$F$501,5,FALSE)</f>
        <v>USA</v>
      </c>
      <c r="O873" t="str">
        <f>VLOOKUP($E873,Customer_Dim!$A$2:$F$501,6,FALSE)</f>
        <v>Gold</v>
      </c>
      <c r="P873" t="str">
        <f>VLOOKUP($A873,Store_Dim!$A$2:$F$21,3,FALSE)</f>
        <v>NorthBensonhaven</v>
      </c>
    </row>
    <row r="874" spans="1:16" hidden="1" x14ac:dyDescent="0.25">
      <c r="A874" t="s">
        <v>835</v>
      </c>
      <c r="B874" t="s">
        <v>2023</v>
      </c>
      <c r="C874" t="s">
        <v>610</v>
      </c>
      <c r="D874" s="2">
        <v>45549</v>
      </c>
      <c r="E874" t="s">
        <v>276</v>
      </c>
      <c r="F874" t="str">
        <f>VLOOKUP($C874,Product_Dim!$A$2:$D$101,3,FALSE)</f>
        <v>Ford, Murphy and Wilson</v>
      </c>
      <c r="G874" t="str">
        <f>VLOOKUP($C874,Product_Dim!$A$2:$D$101,2,FALSE)</f>
        <v>Sports</v>
      </c>
      <c r="H874">
        <v>1</v>
      </c>
      <c r="I874">
        <v>391.77</v>
      </c>
      <c r="J874">
        <v>0.1</v>
      </c>
      <c r="K874" s="3">
        <v>352.59300000000002</v>
      </c>
      <c r="L874" t="s">
        <v>854</v>
      </c>
      <c r="M874" t="str">
        <f>VLOOKUP($E874,Customer_Dim!$A$2:$F$501,3,FALSE)</f>
        <v>Female</v>
      </c>
      <c r="N874" t="str">
        <f>VLOOKUP($E874,Customer_Dim!$A$2:$F$501,5,FALSE)</f>
        <v>USA</v>
      </c>
      <c r="O874" t="str">
        <f>VLOOKUP($E874,Customer_Dim!$A$2:$F$501,6,FALSE)</f>
        <v>Silver</v>
      </c>
      <c r="P874" t="str">
        <f>VLOOKUP($A874,Store_Dim!$A$2:$F$21,3,FALSE)</f>
        <v>NorthBensonhaven</v>
      </c>
    </row>
    <row r="875" spans="1:16" hidden="1" x14ac:dyDescent="0.25">
      <c r="A875" t="s">
        <v>835</v>
      </c>
      <c r="B875" t="s">
        <v>1934</v>
      </c>
      <c r="C875" t="s">
        <v>577</v>
      </c>
      <c r="D875" s="2">
        <v>45361</v>
      </c>
      <c r="E875" t="s">
        <v>97</v>
      </c>
      <c r="F875" t="str">
        <f>VLOOKUP($C875,Product_Dim!$A$2:$D$101,3,FALSE)</f>
        <v>Sims Inc</v>
      </c>
      <c r="G875" t="str">
        <f>VLOOKUP($C875,Product_Dim!$A$2:$D$101,2,FALSE)</f>
        <v>Clothing</v>
      </c>
      <c r="H875">
        <v>4</v>
      </c>
      <c r="I875">
        <v>127.58</v>
      </c>
      <c r="J875">
        <v>0.15</v>
      </c>
      <c r="K875" s="3">
        <v>433.77199999999999</v>
      </c>
      <c r="L875" t="s">
        <v>852</v>
      </c>
      <c r="M875" t="str">
        <f>VLOOKUP($E875,Customer_Dim!$A$2:$F$501,3,FALSE)</f>
        <v>Female</v>
      </c>
      <c r="N875" t="str">
        <f>VLOOKUP($E875,Customer_Dim!$A$2:$F$501,5,FALSE)</f>
        <v>USA</v>
      </c>
      <c r="O875" t="str">
        <f>VLOOKUP($E875,Customer_Dim!$A$2:$F$501,6,FALSE)</f>
        <v>Gold</v>
      </c>
      <c r="P875" t="str">
        <f>VLOOKUP($A875,Store_Dim!$A$2:$F$21,3,FALSE)</f>
        <v>NorthBensonhaven</v>
      </c>
    </row>
    <row r="876" spans="1:16" hidden="1" x14ac:dyDescent="0.25">
      <c r="A876" t="s">
        <v>835</v>
      </c>
      <c r="B876" t="s">
        <v>1860</v>
      </c>
      <c r="C876" t="s">
        <v>622</v>
      </c>
      <c r="D876" s="2">
        <v>45918</v>
      </c>
      <c r="E876" t="s">
        <v>145</v>
      </c>
      <c r="F876" t="str">
        <f>VLOOKUP($C876,Product_Dim!$A$2:$D$101,3,FALSE)</f>
        <v>Moon, Mora and Santos</v>
      </c>
      <c r="G876" t="str">
        <f>VLOOKUP($C876,Product_Dim!$A$2:$D$101,2,FALSE)</f>
        <v>Clothing</v>
      </c>
      <c r="H876">
        <v>3</v>
      </c>
      <c r="I876">
        <v>644.73</v>
      </c>
      <c r="J876">
        <v>0.01</v>
      </c>
      <c r="K876" s="3">
        <v>1914.8480999999999</v>
      </c>
      <c r="L876" t="s">
        <v>857</v>
      </c>
      <c r="M876" t="str">
        <f>VLOOKUP($E876,Customer_Dim!$A$2:$F$501,3,FALSE)</f>
        <v>Female</v>
      </c>
      <c r="N876" t="str">
        <f>VLOOKUP($E876,Customer_Dim!$A$2:$F$501,5,FALSE)</f>
        <v>USA</v>
      </c>
      <c r="O876" t="str">
        <f>VLOOKUP($E876,Customer_Dim!$A$2:$F$501,6,FALSE)</f>
        <v>Bronze</v>
      </c>
      <c r="P876" t="str">
        <f>VLOOKUP($A876,Store_Dim!$A$2:$F$21,3,FALSE)</f>
        <v>NorthBensonhaven</v>
      </c>
    </row>
    <row r="877" spans="1:16" hidden="1" x14ac:dyDescent="0.25">
      <c r="A877" t="s">
        <v>835</v>
      </c>
      <c r="B877" t="s">
        <v>2221</v>
      </c>
      <c r="C877" t="s">
        <v>622</v>
      </c>
      <c r="D877" s="2">
        <v>45914</v>
      </c>
      <c r="E877" t="s">
        <v>366</v>
      </c>
      <c r="F877" t="str">
        <f>VLOOKUP($C877,Product_Dim!$A$2:$D$101,3,FALSE)</f>
        <v>Moon, Mora and Santos</v>
      </c>
      <c r="G877" t="str">
        <f>VLOOKUP($C877,Product_Dim!$A$2:$D$101,2,FALSE)</f>
        <v>Clothing</v>
      </c>
      <c r="H877">
        <v>3</v>
      </c>
      <c r="I877">
        <v>373.35</v>
      </c>
      <c r="J877">
        <v>0.2</v>
      </c>
      <c r="K877" s="3">
        <v>896.04000000000019</v>
      </c>
      <c r="L877" t="s">
        <v>857</v>
      </c>
      <c r="M877" t="str">
        <f>VLOOKUP($E877,Customer_Dim!$A$2:$F$501,3,FALSE)</f>
        <v>Female</v>
      </c>
      <c r="N877" t="str">
        <f>VLOOKUP($E877,Customer_Dim!$A$2:$F$501,5,FALSE)</f>
        <v>USA</v>
      </c>
      <c r="O877" t="str">
        <f>VLOOKUP($E877,Customer_Dim!$A$2:$F$501,6,FALSE)</f>
        <v>Platinum</v>
      </c>
      <c r="P877" t="str">
        <f>VLOOKUP($A877,Store_Dim!$A$2:$F$21,3,FALSE)</f>
        <v>NorthBensonhaven</v>
      </c>
    </row>
    <row r="878" spans="1:16" hidden="1" x14ac:dyDescent="0.25">
      <c r="A878" t="s">
        <v>835</v>
      </c>
      <c r="B878" t="s">
        <v>1624</v>
      </c>
      <c r="C878" t="s">
        <v>626</v>
      </c>
      <c r="D878" s="2">
        <v>45762</v>
      </c>
      <c r="E878" t="s">
        <v>122</v>
      </c>
      <c r="F878" t="str">
        <f>VLOOKUP($C878,Product_Dim!$A$2:$D$101,3,FALSE)</f>
        <v>Brown and Sons</v>
      </c>
      <c r="G878" t="str">
        <f>VLOOKUP($C878,Product_Dim!$A$2:$D$101,2,FALSE)</f>
        <v>Clothing</v>
      </c>
      <c r="H878">
        <v>3</v>
      </c>
      <c r="I878">
        <v>852.72</v>
      </c>
      <c r="J878">
        <v>0.16</v>
      </c>
      <c r="K878" s="3">
        <v>2148.8544000000002</v>
      </c>
      <c r="L878" t="s">
        <v>852</v>
      </c>
      <c r="M878" t="str">
        <f>VLOOKUP($E878,Customer_Dim!$A$2:$F$501,3,FALSE)</f>
        <v>Female</v>
      </c>
      <c r="N878" t="str">
        <f>VLOOKUP($E878,Customer_Dim!$A$2:$F$501,5,FALSE)</f>
        <v>USA</v>
      </c>
      <c r="O878" t="str">
        <f>VLOOKUP($E878,Customer_Dim!$A$2:$F$501,6,FALSE)</f>
        <v>Platinum</v>
      </c>
      <c r="P878" t="str">
        <f>VLOOKUP($A878,Store_Dim!$A$2:$F$21,3,FALSE)</f>
        <v>NorthBensonhaven</v>
      </c>
    </row>
    <row r="879" spans="1:16" hidden="1" x14ac:dyDescent="0.25">
      <c r="A879" t="s">
        <v>835</v>
      </c>
      <c r="B879" t="s">
        <v>2590</v>
      </c>
      <c r="C879" t="s">
        <v>626</v>
      </c>
      <c r="D879" s="2">
        <v>45313</v>
      </c>
      <c r="E879" t="s">
        <v>179</v>
      </c>
      <c r="F879" t="str">
        <f>VLOOKUP($C879,Product_Dim!$A$2:$D$101,3,FALSE)</f>
        <v>Brown and Sons</v>
      </c>
      <c r="G879" t="str">
        <f>VLOOKUP($C879,Product_Dim!$A$2:$D$101,2,FALSE)</f>
        <v>Clothing</v>
      </c>
      <c r="H879">
        <v>3</v>
      </c>
      <c r="I879">
        <v>849.77</v>
      </c>
      <c r="J879">
        <v>0.12</v>
      </c>
      <c r="K879" s="3">
        <v>2243.3928000000001</v>
      </c>
      <c r="L879" t="s">
        <v>854</v>
      </c>
      <c r="M879" t="str">
        <f>VLOOKUP($E879,Customer_Dim!$A$2:$F$501,3,FALSE)</f>
        <v>Female</v>
      </c>
      <c r="N879" t="str">
        <f>VLOOKUP($E879,Customer_Dim!$A$2:$F$501,5,FALSE)</f>
        <v>USA</v>
      </c>
      <c r="O879" t="str">
        <f>VLOOKUP($E879,Customer_Dim!$A$2:$F$501,6,FALSE)</f>
        <v>Platinum</v>
      </c>
      <c r="P879" t="str">
        <f>VLOOKUP($A879,Store_Dim!$A$2:$F$21,3,FALSE)</f>
        <v>NorthBensonhaven</v>
      </c>
    </row>
    <row r="880" spans="1:16" hidden="1" x14ac:dyDescent="0.25">
      <c r="A880" t="s">
        <v>835</v>
      </c>
      <c r="B880" t="s">
        <v>2493</v>
      </c>
      <c r="C880" t="s">
        <v>628</v>
      </c>
      <c r="D880" s="2">
        <v>45478</v>
      </c>
      <c r="E880" t="s">
        <v>306</v>
      </c>
      <c r="F880" t="str">
        <f>VLOOKUP($C880,Product_Dim!$A$2:$D$101,3,FALSE)</f>
        <v>Reed-Schmidt</v>
      </c>
      <c r="G880" t="str">
        <f>VLOOKUP($C880,Product_Dim!$A$2:$D$101,2,FALSE)</f>
        <v>Electronics</v>
      </c>
      <c r="H880">
        <v>3</v>
      </c>
      <c r="I880">
        <v>543.92999999999995</v>
      </c>
      <c r="J880">
        <v>0.3</v>
      </c>
      <c r="K880" s="3">
        <v>1142.2529999999999</v>
      </c>
      <c r="L880" t="s">
        <v>857</v>
      </c>
      <c r="M880" t="str">
        <f>VLOOKUP($E880,Customer_Dim!$A$2:$F$501,3,FALSE)</f>
        <v>Female</v>
      </c>
      <c r="N880" t="str">
        <f>VLOOKUP($E880,Customer_Dim!$A$2:$F$501,5,FALSE)</f>
        <v>USA</v>
      </c>
      <c r="O880" t="str">
        <f>VLOOKUP($E880,Customer_Dim!$A$2:$F$501,6,FALSE)</f>
        <v>Platinum</v>
      </c>
      <c r="P880" t="str">
        <f>VLOOKUP($A880,Store_Dim!$A$2:$F$21,3,FALSE)</f>
        <v>NorthBensonhaven</v>
      </c>
    </row>
    <row r="881" spans="1:16" x14ac:dyDescent="0.25">
      <c r="A881" t="s">
        <v>835</v>
      </c>
      <c r="B881" t="s">
        <v>2048</v>
      </c>
      <c r="C881" t="s">
        <v>628</v>
      </c>
      <c r="D881" s="2">
        <v>45250</v>
      </c>
      <c r="E881" t="s">
        <v>434</v>
      </c>
      <c r="F881" t="str">
        <f>VLOOKUP($C881,Product_Dim!$A$2:$D$101,3,FALSE)</f>
        <v>Reed-Schmidt</v>
      </c>
      <c r="G881" t="str">
        <f>VLOOKUP($C881,Product_Dim!$A$2:$D$101,2,FALSE)</f>
        <v>Electronics</v>
      </c>
      <c r="H881">
        <v>2</v>
      </c>
      <c r="I881">
        <v>519.29999999999995</v>
      </c>
      <c r="J881">
        <v>0.09</v>
      </c>
      <c r="K881" s="3">
        <v>945.12599999999998</v>
      </c>
      <c r="L881" t="s">
        <v>854</v>
      </c>
      <c r="M881" t="str">
        <f>VLOOKUP($E881,Customer_Dim!$A$2:$F$501,3,FALSE)</f>
        <v>Male</v>
      </c>
      <c r="N881" t="str">
        <f>VLOOKUP($E881,Customer_Dim!$A$2:$F$501,5,FALSE)</f>
        <v>USA</v>
      </c>
      <c r="O881" t="str">
        <f>VLOOKUP($E881,Customer_Dim!$A$2:$F$501,6,FALSE)</f>
        <v>Bronze</v>
      </c>
      <c r="P881" t="str">
        <f>VLOOKUP($A881,Store_Dim!$A$2:$F$21,3,FALSE)</f>
        <v>NorthBensonhaven</v>
      </c>
    </row>
    <row r="882" spans="1:16" x14ac:dyDescent="0.25">
      <c r="A882" t="s">
        <v>835</v>
      </c>
      <c r="B882" t="s">
        <v>2145</v>
      </c>
      <c r="C882" t="s">
        <v>632</v>
      </c>
      <c r="D882" s="2">
        <v>45709</v>
      </c>
      <c r="E882" t="s">
        <v>170</v>
      </c>
      <c r="F882" t="str">
        <f>VLOOKUP($C882,Product_Dim!$A$2:$D$101,3,FALSE)</f>
        <v>Burns-Hansen</v>
      </c>
      <c r="G882" t="str">
        <f>VLOOKUP($C882,Product_Dim!$A$2:$D$101,2,FALSE)</f>
        <v>Sports</v>
      </c>
      <c r="H882">
        <v>4</v>
      </c>
      <c r="I882">
        <v>377.18</v>
      </c>
      <c r="J882">
        <v>0.24</v>
      </c>
      <c r="K882" s="3">
        <v>1146.6271999999999</v>
      </c>
      <c r="L882" t="s">
        <v>854</v>
      </c>
      <c r="M882" t="str">
        <f>VLOOKUP($E882,Customer_Dim!$A$2:$F$501,3,FALSE)</f>
        <v>Male</v>
      </c>
      <c r="N882" t="str">
        <f>VLOOKUP($E882,Customer_Dim!$A$2:$F$501,5,FALSE)</f>
        <v>USA</v>
      </c>
      <c r="O882" t="str">
        <f>VLOOKUP($E882,Customer_Dim!$A$2:$F$501,6,FALSE)</f>
        <v>Bronze</v>
      </c>
      <c r="P882" t="str">
        <f>VLOOKUP($A882,Store_Dim!$A$2:$F$21,3,FALSE)</f>
        <v>NorthBensonhaven</v>
      </c>
    </row>
    <row r="883" spans="1:16" hidden="1" x14ac:dyDescent="0.25">
      <c r="A883" t="s">
        <v>835</v>
      </c>
      <c r="B883" t="s">
        <v>2618</v>
      </c>
      <c r="C883" t="s">
        <v>632</v>
      </c>
      <c r="D883" s="2">
        <v>45705</v>
      </c>
      <c r="E883" t="s">
        <v>178</v>
      </c>
      <c r="F883" t="str">
        <f>VLOOKUP($C883,Product_Dim!$A$2:$D$101,3,FALSE)</f>
        <v>Burns-Hansen</v>
      </c>
      <c r="G883" t="str">
        <f>VLOOKUP($C883,Product_Dim!$A$2:$D$101,2,FALSE)</f>
        <v>Sports</v>
      </c>
      <c r="H883">
        <v>2</v>
      </c>
      <c r="I883">
        <v>289.14</v>
      </c>
      <c r="J883">
        <v>0.12</v>
      </c>
      <c r="K883" s="3">
        <v>508.88639999999998</v>
      </c>
      <c r="L883" t="s">
        <v>857</v>
      </c>
      <c r="M883" t="str">
        <f>VLOOKUP($E883,Customer_Dim!$A$2:$F$501,3,FALSE)</f>
        <v>Female</v>
      </c>
      <c r="N883" t="str">
        <f>VLOOKUP($E883,Customer_Dim!$A$2:$F$501,5,FALSE)</f>
        <v>USA</v>
      </c>
      <c r="O883" t="str">
        <f>VLOOKUP($E883,Customer_Dim!$A$2:$F$501,6,FALSE)</f>
        <v>Platinum</v>
      </c>
      <c r="P883" t="str">
        <f>VLOOKUP($A883,Store_Dim!$A$2:$F$21,3,FALSE)</f>
        <v>NorthBensonhaven</v>
      </c>
    </row>
    <row r="884" spans="1:16" x14ac:dyDescent="0.25">
      <c r="A884" t="s">
        <v>835</v>
      </c>
      <c r="B884" t="s">
        <v>1091</v>
      </c>
      <c r="C884" t="s">
        <v>632</v>
      </c>
      <c r="D884" s="2">
        <v>45559</v>
      </c>
      <c r="E884" t="s">
        <v>561</v>
      </c>
      <c r="F884" t="str">
        <f>VLOOKUP($C884,Product_Dim!$A$2:$D$101,3,FALSE)</f>
        <v>Burns-Hansen</v>
      </c>
      <c r="G884" t="str">
        <f>VLOOKUP($C884,Product_Dim!$A$2:$D$101,2,FALSE)</f>
        <v>Sports</v>
      </c>
      <c r="H884">
        <v>4</v>
      </c>
      <c r="I884">
        <v>320.64</v>
      </c>
      <c r="J884">
        <v>0.2</v>
      </c>
      <c r="K884" s="3">
        <v>1026.048</v>
      </c>
      <c r="L884" t="s">
        <v>857</v>
      </c>
      <c r="M884" t="str">
        <f>VLOOKUP($E884,Customer_Dim!$A$2:$F$501,3,FALSE)</f>
        <v>Male</v>
      </c>
      <c r="N884" t="str">
        <f>VLOOKUP($E884,Customer_Dim!$A$2:$F$501,5,FALSE)</f>
        <v>USA</v>
      </c>
      <c r="O884" t="str">
        <f>VLOOKUP($E884,Customer_Dim!$A$2:$F$501,6,FALSE)</f>
        <v>Gold</v>
      </c>
      <c r="P884" t="str">
        <f>VLOOKUP($A884,Store_Dim!$A$2:$F$21,3,FALSE)</f>
        <v>NorthBensonhaven</v>
      </c>
    </row>
    <row r="885" spans="1:16" x14ac:dyDescent="0.25">
      <c r="A885" t="s">
        <v>835</v>
      </c>
      <c r="B885" t="s">
        <v>2179</v>
      </c>
      <c r="C885" t="s">
        <v>636</v>
      </c>
      <c r="D885" s="2">
        <v>45326</v>
      </c>
      <c r="E885" t="s">
        <v>416</v>
      </c>
      <c r="F885" t="str">
        <f>VLOOKUP($C885,Product_Dim!$A$2:$D$101,3,FALSE)</f>
        <v>Stevens, Fernandez and Martin</v>
      </c>
      <c r="G885" t="str">
        <f>VLOOKUP($C885,Product_Dim!$A$2:$D$101,2,FALSE)</f>
        <v>Home</v>
      </c>
      <c r="H885">
        <v>1</v>
      </c>
      <c r="I885">
        <v>350.67</v>
      </c>
      <c r="J885">
        <v>0.22</v>
      </c>
      <c r="K885" s="3">
        <v>273.52260000000001</v>
      </c>
      <c r="L885" t="s">
        <v>854</v>
      </c>
      <c r="M885" t="str">
        <f>VLOOKUP($E885,Customer_Dim!$A$2:$F$501,3,FALSE)</f>
        <v>Male</v>
      </c>
      <c r="N885" t="str">
        <f>VLOOKUP($E885,Customer_Dim!$A$2:$F$501,5,FALSE)</f>
        <v>USA</v>
      </c>
      <c r="O885" t="str">
        <f>VLOOKUP($E885,Customer_Dim!$A$2:$F$501,6,FALSE)</f>
        <v>Bronze</v>
      </c>
      <c r="P885" t="str">
        <f>VLOOKUP($A885,Store_Dim!$A$2:$F$21,3,FALSE)</f>
        <v>NorthBensonhaven</v>
      </c>
    </row>
    <row r="886" spans="1:16" hidden="1" x14ac:dyDescent="0.25">
      <c r="A886" t="s">
        <v>835</v>
      </c>
      <c r="B886" t="s">
        <v>1353</v>
      </c>
      <c r="C886" t="s">
        <v>638</v>
      </c>
      <c r="D886" s="2">
        <v>45911</v>
      </c>
      <c r="E886" t="s">
        <v>35</v>
      </c>
      <c r="F886" t="str">
        <f>VLOOKUP($C886,Product_Dim!$A$2:$D$101,3,FALSE)</f>
        <v>Nolan-Snow</v>
      </c>
      <c r="G886" t="str">
        <f>VLOOKUP($C886,Product_Dim!$A$2:$D$101,2,FALSE)</f>
        <v>Sports</v>
      </c>
      <c r="H886">
        <v>1</v>
      </c>
      <c r="I886">
        <v>659.27</v>
      </c>
      <c r="J886">
        <v>0.15</v>
      </c>
      <c r="K886" s="3">
        <v>560.37950000000001</v>
      </c>
      <c r="L886" t="s">
        <v>854</v>
      </c>
      <c r="M886" t="str">
        <f>VLOOKUP($E886,Customer_Dim!$A$2:$F$501,3,FALSE)</f>
        <v>Female</v>
      </c>
      <c r="N886" t="str">
        <f>VLOOKUP($E886,Customer_Dim!$A$2:$F$501,5,FALSE)</f>
        <v>USA</v>
      </c>
      <c r="O886" t="str">
        <f>VLOOKUP($E886,Customer_Dim!$A$2:$F$501,6,FALSE)</f>
        <v>Gold</v>
      </c>
      <c r="P886" t="str">
        <f>VLOOKUP($A886,Store_Dim!$A$2:$F$21,3,FALSE)</f>
        <v>NorthBensonhaven</v>
      </c>
    </row>
    <row r="887" spans="1:16" hidden="1" x14ac:dyDescent="0.25">
      <c r="A887" t="s">
        <v>835</v>
      </c>
      <c r="B887" t="s">
        <v>974</v>
      </c>
      <c r="C887" t="s">
        <v>638</v>
      </c>
      <c r="D887" s="2">
        <v>45274</v>
      </c>
      <c r="E887" t="s">
        <v>297</v>
      </c>
      <c r="F887" t="str">
        <f>VLOOKUP($C887,Product_Dim!$A$2:$D$101,3,FALSE)</f>
        <v>Nolan-Snow</v>
      </c>
      <c r="G887" t="str">
        <f>VLOOKUP($C887,Product_Dim!$A$2:$D$101,2,FALSE)</f>
        <v>Sports</v>
      </c>
      <c r="H887">
        <v>2</v>
      </c>
      <c r="I887">
        <v>872.93</v>
      </c>
      <c r="J887">
        <v>0.28999999999999998</v>
      </c>
      <c r="K887" s="3">
        <v>1239.5606</v>
      </c>
      <c r="L887" t="s">
        <v>857</v>
      </c>
      <c r="M887" t="str">
        <f>VLOOKUP($E887,Customer_Dim!$A$2:$F$501,3,FALSE)</f>
        <v>Female</v>
      </c>
      <c r="N887" t="str">
        <f>VLOOKUP($E887,Customer_Dim!$A$2:$F$501,5,FALSE)</f>
        <v>USA</v>
      </c>
      <c r="O887" t="str">
        <f>VLOOKUP($E887,Customer_Dim!$A$2:$F$501,6,FALSE)</f>
        <v>Bronze</v>
      </c>
      <c r="P887" t="str">
        <f>VLOOKUP($A887,Store_Dim!$A$2:$F$21,3,FALSE)</f>
        <v>NorthBensonhaven</v>
      </c>
    </row>
    <row r="888" spans="1:16" hidden="1" x14ac:dyDescent="0.25">
      <c r="A888" t="s">
        <v>835</v>
      </c>
      <c r="B888" t="s">
        <v>1464</v>
      </c>
      <c r="C888" t="s">
        <v>640</v>
      </c>
      <c r="D888" s="2">
        <v>45490</v>
      </c>
      <c r="E888" t="s">
        <v>278</v>
      </c>
      <c r="F888" t="str">
        <f>VLOOKUP($C888,Product_Dim!$A$2:$D$101,3,FALSE)</f>
        <v>Griffin Ltd</v>
      </c>
      <c r="G888" t="str">
        <f>VLOOKUP($C888,Product_Dim!$A$2:$D$101,2,FALSE)</f>
        <v>Beauty</v>
      </c>
      <c r="H888">
        <v>3</v>
      </c>
      <c r="I888">
        <v>182.91</v>
      </c>
      <c r="J888">
        <v>0.28999999999999998</v>
      </c>
      <c r="K888" s="3">
        <v>389.59829999999999</v>
      </c>
      <c r="L888" t="s">
        <v>852</v>
      </c>
      <c r="M888" t="str">
        <f>VLOOKUP($E888,Customer_Dim!$A$2:$F$501,3,FALSE)</f>
        <v>Female</v>
      </c>
      <c r="N888" t="str">
        <f>VLOOKUP($E888,Customer_Dim!$A$2:$F$501,5,FALSE)</f>
        <v>USA</v>
      </c>
      <c r="O888" t="str">
        <f>VLOOKUP($E888,Customer_Dim!$A$2:$F$501,6,FALSE)</f>
        <v>Platinum</v>
      </c>
      <c r="P888" t="str">
        <f>VLOOKUP($A888,Store_Dim!$A$2:$F$21,3,FALSE)</f>
        <v>NorthBensonhaven</v>
      </c>
    </row>
    <row r="889" spans="1:16" x14ac:dyDescent="0.25">
      <c r="A889" t="s">
        <v>835</v>
      </c>
      <c r="B889" t="s">
        <v>1930</v>
      </c>
      <c r="C889" t="s">
        <v>642</v>
      </c>
      <c r="D889" s="2">
        <v>45370</v>
      </c>
      <c r="E889" t="s">
        <v>89</v>
      </c>
      <c r="F889" t="str">
        <f>VLOOKUP($C889,Product_Dim!$A$2:$D$101,3,FALSE)</f>
        <v>Weiss-Watson</v>
      </c>
      <c r="G889" t="str">
        <f>VLOOKUP($C889,Product_Dim!$A$2:$D$101,2,FALSE)</f>
        <v>Home</v>
      </c>
      <c r="H889">
        <v>3</v>
      </c>
      <c r="I889">
        <v>623.82000000000005</v>
      </c>
      <c r="J889">
        <v>0.13</v>
      </c>
      <c r="K889" s="3">
        <v>1628.1702</v>
      </c>
      <c r="L889" t="s">
        <v>857</v>
      </c>
      <c r="M889" t="str">
        <f>VLOOKUP($E889,Customer_Dim!$A$2:$F$501,3,FALSE)</f>
        <v>Male</v>
      </c>
      <c r="N889" t="str">
        <f>VLOOKUP($E889,Customer_Dim!$A$2:$F$501,5,FALSE)</f>
        <v>USA</v>
      </c>
      <c r="O889" t="str">
        <f>VLOOKUP($E889,Customer_Dim!$A$2:$F$501,6,FALSE)</f>
        <v>Gold</v>
      </c>
      <c r="P889" t="str">
        <f>VLOOKUP($A889,Store_Dim!$A$2:$F$21,3,FALSE)</f>
        <v>NorthBensonhaven</v>
      </c>
    </row>
    <row r="890" spans="1:16" hidden="1" x14ac:dyDescent="0.25">
      <c r="A890" t="s">
        <v>835</v>
      </c>
      <c r="B890" t="s">
        <v>897</v>
      </c>
      <c r="C890" t="s">
        <v>642</v>
      </c>
      <c r="D890" s="2">
        <v>45677</v>
      </c>
      <c r="E890" t="s">
        <v>141</v>
      </c>
      <c r="F890" t="str">
        <f>VLOOKUP($C890,Product_Dim!$A$2:$D$101,3,FALSE)</f>
        <v>Weiss-Watson</v>
      </c>
      <c r="G890" t="str">
        <f>VLOOKUP($C890,Product_Dim!$A$2:$D$101,2,FALSE)</f>
        <v>Home</v>
      </c>
      <c r="H890" s="4">
        <f>K890/(I890-J890)</f>
        <v>2.1607009492020444</v>
      </c>
      <c r="I890">
        <v>863.11</v>
      </c>
      <c r="J890">
        <v>0.28000000000000003</v>
      </c>
      <c r="K890" s="3">
        <v>1864.3176000000001</v>
      </c>
      <c r="L890" t="s">
        <v>854</v>
      </c>
      <c r="M890" t="str">
        <f>VLOOKUP($E890,Customer_Dim!$A$2:$F$501,3,FALSE)</f>
        <v>Female</v>
      </c>
      <c r="N890" t="str">
        <f>VLOOKUP($E890,Customer_Dim!$A$2:$F$501,5,FALSE)</f>
        <v>USA</v>
      </c>
      <c r="O890" t="str">
        <f>VLOOKUP($E890,Customer_Dim!$A$2:$F$501,6,FALSE)</f>
        <v>Platinum</v>
      </c>
      <c r="P890" t="str">
        <f>VLOOKUP($A890,Store_Dim!$A$2:$F$21,3,FALSE)</f>
        <v>NorthBensonhaven</v>
      </c>
    </row>
    <row r="891" spans="1:16" x14ac:dyDescent="0.25">
      <c r="A891" t="s">
        <v>835</v>
      </c>
      <c r="B891" t="s">
        <v>2708</v>
      </c>
      <c r="C891" t="s">
        <v>642</v>
      </c>
      <c r="D891" s="2">
        <v>45796</v>
      </c>
      <c r="E891" t="s">
        <v>323</v>
      </c>
      <c r="F891" t="str">
        <f>VLOOKUP($C891,Product_Dim!$A$2:$D$101,3,FALSE)</f>
        <v>Weiss-Watson</v>
      </c>
      <c r="G891" t="str">
        <f>VLOOKUP($C891,Product_Dim!$A$2:$D$101,2,FALSE)</f>
        <v>Home</v>
      </c>
      <c r="H891">
        <v>3</v>
      </c>
      <c r="I891">
        <v>858.81</v>
      </c>
      <c r="J891">
        <v>7.0000000000000007E-2</v>
      </c>
      <c r="K891" s="3">
        <v>2396.0799000000002</v>
      </c>
      <c r="L891" t="s">
        <v>852</v>
      </c>
      <c r="M891" t="str">
        <f>VLOOKUP($E891,Customer_Dim!$A$2:$F$501,3,FALSE)</f>
        <v>Male</v>
      </c>
      <c r="N891" t="str">
        <f>VLOOKUP($E891,Customer_Dim!$A$2:$F$501,5,FALSE)</f>
        <v>USA</v>
      </c>
      <c r="O891" t="str">
        <f>VLOOKUP($E891,Customer_Dim!$A$2:$F$501,6,FALSE)</f>
        <v>Silver</v>
      </c>
      <c r="P891" t="str">
        <f>VLOOKUP($A891,Store_Dim!$A$2:$F$21,3,FALSE)</f>
        <v>NorthBensonhaven</v>
      </c>
    </row>
    <row r="892" spans="1:16" hidden="1" x14ac:dyDescent="0.25">
      <c r="A892" t="s">
        <v>835</v>
      </c>
      <c r="B892" t="s">
        <v>1062</v>
      </c>
      <c r="C892" t="s">
        <v>644</v>
      </c>
      <c r="D892" s="2">
        <v>45411</v>
      </c>
      <c r="E892" t="s">
        <v>249</v>
      </c>
      <c r="F892" t="str">
        <f>VLOOKUP($C892,Product_Dim!$A$2:$D$101,3,FALSE)</f>
        <v>Lucero LLC</v>
      </c>
      <c r="G892" t="str">
        <f>VLOOKUP($C892,Product_Dim!$A$2:$D$101,2,FALSE)</f>
        <v>Electronics</v>
      </c>
      <c r="H892">
        <v>4</v>
      </c>
      <c r="I892">
        <v>931.26</v>
      </c>
      <c r="J892">
        <v>0.04</v>
      </c>
      <c r="K892" s="3">
        <v>3576.0383999999999</v>
      </c>
      <c r="L892" t="s">
        <v>852</v>
      </c>
      <c r="M892" t="str">
        <f>VLOOKUP($E892,Customer_Dim!$A$2:$F$501,3,FALSE)</f>
        <v>Female</v>
      </c>
      <c r="N892" t="str">
        <f>VLOOKUP($E892,Customer_Dim!$A$2:$F$501,5,FALSE)</f>
        <v>USA</v>
      </c>
      <c r="O892" t="str">
        <f>VLOOKUP($E892,Customer_Dim!$A$2:$F$501,6,FALSE)</f>
        <v>Silver</v>
      </c>
      <c r="P892" t="str">
        <f>VLOOKUP($A892,Store_Dim!$A$2:$F$21,3,FALSE)</f>
        <v>NorthBensonhaven</v>
      </c>
    </row>
    <row r="893" spans="1:16" x14ac:dyDescent="0.25">
      <c r="A893" t="s">
        <v>835</v>
      </c>
      <c r="B893" t="s">
        <v>1852</v>
      </c>
      <c r="C893" t="s">
        <v>644</v>
      </c>
      <c r="D893" s="2">
        <v>45522</v>
      </c>
      <c r="E893" t="s">
        <v>474</v>
      </c>
      <c r="F893" t="str">
        <f>VLOOKUP($C893,Product_Dim!$A$2:$D$101,3,FALSE)</f>
        <v>Lucero LLC</v>
      </c>
      <c r="G893" t="str">
        <f>VLOOKUP($C893,Product_Dim!$A$2:$D$101,2,FALSE)</f>
        <v>Electronics</v>
      </c>
      <c r="H893">
        <v>3</v>
      </c>
      <c r="I893">
        <v>336.17</v>
      </c>
      <c r="J893">
        <v>0.04</v>
      </c>
      <c r="K893" s="3">
        <v>968.16959999999995</v>
      </c>
      <c r="L893" t="s">
        <v>857</v>
      </c>
      <c r="M893" t="str">
        <f>VLOOKUP($E893,Customer_Dim!$A$2:$F$501,3,FALSE)</f>
        <v>Male</v>
      </c>
      <c r="N893" t="str">
        <f>VLOOKUP($E893,Customer_Dim!$A$2:$F$501,5,FALSE)</f>
        <v>USA</v>
      </c>
      <c r="O893" t="str">
        <f>VLOOKUP($E893,Customer_Dim!$A$2:$F$501,6,FALSE)</f>
        <v>Gold</v>
      </c>
      <c r="P893" t="str">
        <f>VLOOKUP($A893,Store_Dim!$A$2:$F$21,3,FALSE)</f>
        <v>NorthBensonhaven</v>
      </c>
    </row>
    <row r="894" spans="1:16" x14ac:dyDescent="0.25">
      <c r="A894" t="s">
        <v>835</v>
      </c>
      <c r="B894" t="s">
        <v>1112</v>
      </c>
      <c r="C894" t="s">
        <v>646</v>
      </c>
      <c r="D894" s="2">
        <v>45300</v>
      </c>
      <c r="E894" t="s">
        <v>200</v>
      </c>
      <c r="F894" t="str">
        <f>VLOOKUP($C894,Product_Dim!$A$2:$D$101,3,FALSE)</f>
        <v>Jones LLC</v>
      </c>
      <c r="G894" t="str">
        <f>VLOOKUP($C894,Product_Dim!$A$2:$D$101,2,FALSE)</f>
        <v>Home</v>
      </c>
      <c r="H894">
        <v>1</v>
      </c>
      <c r="I894">
        <v>222.94</v>
      </c>
      <c r="J894">
        <v>0.19</v>
      </c>
      <c r="K894" s="3">
        <v>180.5814</v>
      </c>
      <c r="L894" t="s">
        <v>852</v>
      </c>
      <c r="M894" t="str">
        <f>VLOOKUP($E894,Customer_Dim!$A$2:$F$501,3,FALSE)</f>
        <v>Male</v>
      </c>
      <c r="N894" t="str">
        <f>VLOOKUP($E894,Customer_Dim!$A$2:$F$501,5,FALSE)</f>
        <v>USA</v>
      </c>
      <c r="O894" t="str">
        <f>VLOOKUP($E894,Customer_Dim!$A$2:$F$501,6,FALSE)</f>
        <v>Silver</v>
      </c>
      <c r="P894" t="str">
        <f>VLOOKUP($A894,Store_Dim!$A$2:$F$21,3,FALSE)</f>
        <v>NorthBensonhaven</v>
      </c>
    </row>
    <row r="895" spans="1:16" hidden="1" x14ac:dyDescent="0.25">
      <c r="A895" t="s">
        <v>835</v>
      </c>
      <c r="B895" t="s">
        <v>1510</v>
      </c>
      <c r="C895" t="s">
        <v>648</v>
      </c>
      <c r="D895" s="2">
        <v>45397</v>
      </c>
      <c r="E895" t="s">
        <v>284</v>
      </c>
      <c r="F895" t="str">
        <f>VLOOKUP($C895,Product_Dim!$A$2:$D$101,3,FALSE)</f>
        <v>Smith-Mills</v>
      </c>
      <c r="G895" t="str">
        <f>VLOOKUP($C895,Product_Dim!$A$2:$D$101,2,FALSE)</f>
        <v>Clothing</v>
      </c>
      <c r="H895">
        <v>2</v>
      </c>
      <c r="I895">
        <v>637.55999999999995</v>
      </c>
      <c r="J895">
        <v>0.05</v>
      </c>
      <c r="K895" s="3">
        <v>1211.364</v>
      </c>
      <c r="L895" t="s">
        <v>857</v>
      </c>
      <c r="M895" t="str">
        <f>VLOOKUP($E895,Customer_Dim!$A$2:$F$501,3,FALSE)</f>
        <v>Female</v>
      </c>
      <c r="N895" t="str">
        <f>VLOOKUP($E895,Customer_Dim!$A$2:$F$501,5,FALSE)</f>
        <v>USA</v>
      </c>
      <c r="O895" t="str">
        <f>VLOOKUP($E895,Customer_Dim!$A$2:$F$501,6,FALSE)</f>
        <v>Gold</v>
      </c>
      <c r="P895" t="str">
        <f>VLOOKUP($A895,Store_Dim!$A$2:$F$21,3,FALSE)</f>
        <v>NorthBensonhaven</v>
      </c>
    </row>
    <row r="896" spans="1:16" x14ac:dyDescent="0.25">
      <c r="A896" t="s">
        <v>835</v>
      </c>
      <c r="B896" t="s">
        <v>2452</v>
      </c>
      <c r="C896" t="s">
        <v>652</v>
      </c>
      <c r="D896" s="2">
        <v>45887</v>
      </c>
      <c r="E896" t="s">
        <v>234</v>
      </c>
      <c r="F896" t="str">
        <f>VLOOKUP($C896,Product_Dim!$A$2:$D$101,3,FALSE)</f>
        <v>Sims-Smith</v>
      </c>
      <c r="G896" t="str">
        <f>VLOOKUP($C896,Product_Dim!$A$2:$D$101,2,FALSE)</f>
        <v>Sports</v>
      </c>
      <c r="H896">
        <v>3</v>
      </c>
      <c r="I896">
        <v>453.19</v>
      </c>
      <c r="J896">
        <v>0.08</v>
      </c>
      <c r="K896" s="3">
        <v>1250.8044</v>
      </c>
      <c r="L896" t="s">
        <v>857</v>
      </c>
      <c r="M896" t="str">
        <f>VLOOKUP($E896,Customer_Dim!$A$2:$F$501,3,FALSE)</f>
        <v>Male</v>
      </c>
      <c r="N896" t="str">
        <f>VLOOKUP($E896,Customer_Dim!$A$2:$F$501,5,FALSE)</f>
        <v>USA</v>
      </c>
      <c r="O896" t="str">
        <f>VLOOKUP($E896,Customer_Dim!$A$2:$F$501,6,FALSE)</f>
        <v>Gold</v>
      </c>
      <c r="P896" t="str">
        <f>VLOOKUP($A896,Store_Dim!$A$2:$F$21,3,FALSE)</f>
        <v>NorthBensonhaven</v>
      </c>
    </row>
    <row r="897" spans="1:16" hidden="1" x14ac:dyDescent="0.25">
      <c r="A897" t="s">
        <v>835</v>
      </c>
      <c r="B897" t="s">
        <v>1270</v>
      </c>
      <c r="C897" t="s">
        <v>652</v>
      </c>
      <c r="D897" s="2">
        <v>45633</v>
      </c>
      <c r="E897" t="s">
        <v>414</v>
      </c>
      <c r="F897" t="str">
        <f>VLOOKUP($C897,Product_Dim!$A$2:$D$101,3,FALSE)</f>
        <v>Sims-Smith</v>
      </c>
      <c r="G897" t="str">
        <f>VLOOKUP($C897,Product_Dim!$A$2:$D$101,2,FALSE)</f>
        <v>Sports</v>
      </c>
      <c r="H897">
        <v>2</v>
      </c>
      <c r="I897">
        <v>839.24</v>
      </c>
      <c r="J897">
        <v>0.21</v>
      </c>
      <c r="K897" s="3">
        <v>1325.9992</v>
      </c>
      <c r="L897" t="s">
        <v>854</v>
      </c>
      <c r="M897" t="str">
        <f>VLOOKUP($E897,Customer_Dim!$A$2:$F$501,3,FALSE)</f>
        <v>Female</v>
      </c>
      <c r="N897" t="str">
        <f>VLOOKUP($E897,Customer_Dim!$A$2:$F$501,5,FALSE)</f>
        <v>USA</v>
      </c>
      <c r="O897" t="str">
        <f>VLOOKUP($E897,Customer_Dim!$A$2:$F$501,6,FALSE)</f>
        <v>Gold</v>
      </c>
      <c r="P897" t="str">
        <f>VLOOKUP($A897,Store_Dim!$A$2:$F$21,3,FALSE)</f>
        <v>NorthBensonhaven</v>
      </c>
    </row>
    <row r="898" spans="1:16" x14ac:dyDescent="0.25">
      <c r="A898" t="s">
        <v>835</v>
      </c>
      <c r="B898" t="s">
        <v>2098</v>
      </c>
      <c r="C898" t="s">
        <v>652</v>
      </c>
      <c r="D898" s="2">
        <v>45669</v>
      </c>
      <c r="E898" t="s">
        <v>452</v>
      </c>
      <c r="F898" t="str">
        <f>VLOOKUP($C898,Product_Dim!$A$2:$D$101,3,FALSE)</f>
        <v>Sims-Smith</v>
      </c>
      <c r="G898" t="str">
        <f>VLOOKUP($C898,Product_Dim!$A$2:$D$101,2,FALSE)</f>
        <v>Sports</v>
      </c>
      <c r="H898">
        <v>4</v>
      </c>
      <c r="I898">
        <v>347.82</v>
      </c>
      <c r="J898">
        <v>0.02</v>
      </c>
      <c r="K898" s="3">
        <v>1363.4544000000001</v>
      </c>
      <c r="L898" t="s">
        <v>857</v>
      </c>
      <c r="M898" t="str">
        <f>VLOOKUP($E898,Customer_Dim!$A$2:$F$501,3,FALSE)</f>
        <v>Male</v>
      </c>
      <c r="N898" t="str">
        <f>VLOOKUP($E898,Customer_Dim!$A$2:$F$501,5,FALSE)</f>
        <v>USA</v>
      </c>
      <c r="O898" t="str">
        <f>VLOOKUP($E898,Customer_Dim!$A$2:$F$501,6,FALSE)</f>
        <v>Gold</v>
      </c>
      <c r="P898" t="str">
        <f>VLOOKUP($A898,Store_Dim!$A$2:$F$21,3,FALSE)</f>
        <v>NorthBensonhaven</v>
      </c>
    </row>
    <row r="899" spans="1:16" hidden="1" x14ac:dyDescent="0.25">
      <c r="A899" t="s">
        <v>835</v>
      </c>
      <c r="B899" t="s">
        <v>1607</v>
      </c>
      <c r="C899" t="s">
        <v>654</v>
      </c>
      <c r="D899" s="2">
        <v>45591</v>
      </c>
      <c r="E899" t="s">
        <v>261</v>
      </c>
      <c r="F899" t="str">
        <f>VLOOKUP($C899,Product_Dim!$A$2:$D$101,3,FALSE)</f>
        <v>Cummings and Sons</v>
      </c>
      <c r="G899" t="str">
        <f>VLOOKUP($C899,Product_Dim!$A$2:$D$101,2,FALSE)</f>
        <v>Electronics</v>
      </c>
      <c r="H899">
        <v>1</v>
      </c>
      <c r="I899">
        <v>623.88</v>
      </c>
      <c r="J899">
        <v>0.25</v>
      </c>
      <c r="K899" s="3">
        <v>467.91</v>
      </c>
      <c r="L899" t="s">
        <v>852</v>
      </c>
      <c r="M899" t="str">
        <f>VLOOKUP($E899,Customer_Dim!$A$2:$F$501,3,FALSE)</f>
        <v>Female</v>
      </c>
      <c r="N899" t="str">
        <f>VLOOKUP($E899,Customer_Dim!$A$2:$F$501,5,FALSE)</f>
        <v>USA</v>
      </c>
      <c r="O899" t="str">
        <f>VLOOKUP($E899,Customer_Dim!$A$2:$F$501,6,FALSE)</f>
        <v>Platinum</v>
      </c>
      <c r="P899" t="str">
        <f>VLOOKUP($A899,Store_Dim!$A$2:$F$21,3,FALSE)</f>
        <v>NorthBensonhaven</v>
      </c>
    </row>
    <row r="900" spans="1:16" x14ac:dyDescent="0.25">
      <c r="A900" t="s">
        <v>835</v>
      </c>
      <c r="B900" t="s">
        <v>2191</v>
      </c>
      <c r="C900" t="s">
        <v>581</v>
      </c>
      <c r="D900" s="2">
        <v>45854</v>
      </c>
      <c r="E900" t="s">
        <v>165</v>
      </c>
      <c r="F900" t="str">
        <f>VLOOKUP($C900,Product_Dim!$A$2:$D$101,3,FALSE)</f>
        <v>Gonzales-Davis</v>
      </c>
      <c r="G900" t="str">
        <f>VLOOKUP($C900,Product_Dim!$A$2:$D$101,2,FALSE)</f>
        <v>Clothing</v>
      </c>
      <c r="H900">
        <v>2</v>
      </c>
      <c r="I900">
        <v>892.88</v>
      </c>
      <c r="J900">
        <v>0.17</v>
      </c>
      <c r="K900" s="3">
        <v>1482.1808000000001</v>
      </c>
      <c r="L900" t="s">
        <v>854</v>
      </c>
      <c r="M900" t="str">
        <f>VLOOKUP($E900,Customer_Dim!$A$2:$F$501,3,FALSE)</f>
        <v>Male</v>
      </c>
      <c r="N900" t="str">
        <f>VLOOKUP($E900,Customer_Dim!$A$2:$F$501,5,FALSE)</f>
        <v>USA</v>
      </c>
      <c r="O900" t="str">
        <f>VLOOKUP($E900,Customer_Dim!$A$2:$F$501,6,FALSE)</f>
        <v>Bronze</v>
      </c>
      <c r="P900" t="str">
        <f>VLOOKUP($A900,Store_Dim!$A$2:$F$21,3,FALSE)</f>
        <v>NorthBensonhaven</v>
      </c>
    </row>
    <row r="901" spans="1:16" hidden="1" x14ac:dyDescent="0.25">
      <c r="A901" t="s">
        <v>835</v>
      </c>
      <c r="B901" t="s">
        <v>1933</v>
      </c>
      <c r="C901" t="s">
        <v>581</v>
      </c>
      <c r="D901" s="2">
        <v>45420</v>
      </c>
      <c r="E901" t="s">
        <v>396</v>
      </c>
      <c r="F901" t="str">
        <f>VLOOKUP($C901,Product_Dim!$A$2:$D$101,3,FALSE)</f>
        <v>Gonzales-Davis</v>
      </c>
      <c r="G901" t="str">
        <f>VLOOKUP($C901,Product_Dim!$A$2:$D$101,2,FALSE)</f>
        <v>Clothing</v>
      </c>
      <c r="H901">
        <v>1</v>
      </c>
      <c r="I901">
        <v>227.28</v>
      </c>
      <c r="J901">
        <v>0.13</v>
      </c>
      <c r="K901" s="3">
        <v>197.7336</v>
      </c>
      <c r="L901" t="s">
        <v>857</v>
      </c>
      <c r="M901" t="str">
        <f>VLOOKUP($E901,Customer_Dim!$A$2:$F$501,3,FALSE)</f>
        <v>Female</v>
      </c>
      <c r="N901" t="str">
        <f>VLOOKUP($E901,Customer_Dim!$A$2:$F$501,5,FALSE)</f>
        <v>USA</v>
      </c>
      <c r="O901" t="str">
        <f>VLOOKUP($E901,Customer_Dim!$A$2:$F$501,6,FALSE)</f>
        <v>Bronze</v>
      </c>
      <c r="P901" t="str">
        <f>VLOOKUP($A901,Store_Dim!$A$2:$F$21,3,FALSE)</f>
        <v>NorthBensonhaven</v>
      </c>
    </row>
    <row r="902" spans="1:16" x14ac:dyDescent="0.25">
      <c r="A902" t="s">
        <v>835</v>
      </c>
      <c r="B902" t="s">
        <v>1291</v>
      </c>
      <c r="C902" t="s">
        <v>656</v>
      </c>
      <c r="D902" s="2">
        <v>45813</v>
      </c>
      <c r="E902" t="s">
        <v>319</v>
      </c>
      <c r="F902" t="str">
        <f>VLOOKUP($C902,Product_Dim!$A$2:$D$101,3,FALSE)</f>
        <v>Taylor-Hart</v>
      </c>
      <c r="G902" t="str">
        <f>VLOOKUP($C902,Product_Dim!$A$2:$D$101,2,FALSE)</f>
        <v>Electronics</v>
      </c>
      <c r="H902">
        <v>3</v>
      </c>
      <c r="I902">
        <v>551.22</v>
      </c>
      <c r="J902">
        <v>0.12</v>
      </c>
      <c r="K902" s="3">
        <v>1455.2208000000001</v>
      </c>
      <c r="L902" t="s">
        <v>854</v>
      </c>
      <c r="M902" t="str">
        <f>VLOOKUP($E902,Customer_Dim!$A$2:$F$501,3,FALSE)</f>
        <v>Male</v>
      </c>
      <c r="N902" t="str">
        <f>VLOOKUP($E902,Customer_Dim!$A$2:$F$501,5,FALSE)</f>
        <v>USA</v>
      </c>
      <c r="O902" t="str">
        <f>VLOOKUP($E902,Customer_Dim!$A$2:$F$501,6,FALSE)</f>
        <v>Bronze</v>
      </c>
      <c r="P902" t="str">
        <f>VLOOKUP($A902,Store_Dim!$A$2:$F$21,3,FALSE)</f>
        <v>NorthBensonhaven</v>
      </c>
    </row>
    <row r="903" spans="1:16" hidden="1" x14ac:dyDescent="0.25">
      <c r="A903" t="s">
        <v>835</v>
      </c>
      <c r="B903" t="s">
        <v>1526</v>
      </c>
      <c r="C903" t="s">
        <v>656</v>
      </c>
      <c r="D903" s="2">
        <v>45510</v>
      </c>
      <c r="E903" t="s">
        <v>553</v>
      </c>
      <c r="F903" t="str">
        <f>VLOOKUP($C903,Product_Dim!$A$2:$D$101,3,FALSE)</f>
        <v>Taylor-Hart</v>
      </c>
      <c r="G903" t="str">
        <f>VLOOKUP($C903,Product_Dim!$A$2:$D$101,2,FALSE)</f>
        <v>Electronics</v>
      </c>
      <c r="H903">
        <v>4</v>
      </c>
      <c r="I903">
        <v>502.95</v>
      </c>
      <c r="J903">
        <v>0.14000000000000001</v>
      </c>
      <c r="K903" s="3">
        <v>1730.1479999999999</v>
      </c>
      <c r="L903" t="s">
        <v>857</v>
      </c>
      <c r="M903" t="str">
        <f>VLOOKUP($E903,Customer_Dim!$A$2:$F$501,3,FALSE)</f>
        <v>Female</v>
      </c>
      <c r="N903" t="str">
        <f>VLOOKUP($E903,Customer_Dim!$A$2:$F$501,5,FALSE)</f>
        <v>USA</v>
      </c>
      <c r="O903" t="str">
        <f>VLOOKUP($E903,Customer_Dim!$A$2:$F$501,6,FALSE)</f>
        <v>Bronze</v>
      </c>
      <c r="P903" t="str">
        <f>VLOOKUP($A903,Store_Dim!$A$2:$F$21,3,FALSE)</f>
        <v>NorthBensonhaven</v>
      </c>
    </row>
    <row r="904" spans="1:16" hidden="1" x14ac:dyDescent="0.25">
      <c r="A904" t="s">
        <v>835</v>
      </c>
      <c r="B904" t="s">
        <v>1145</v>
      </c>
      <c r="C904" t="s">
        <v>658</v>
      </c>
      <c r="D904" s="2">
        <v>45485</v>
      </c>
      <c r="E904" t="s">
        <v>46</v>
      </c>
      <c r="F904" t="str">
        <f>VLOOKUP($C904,Product_Dim!$A$2:$D$101,3,FALSE)</f>
        <v>Carroll, Long and Mendoza</v>
      </c>
      <c r="G904" t="str">
        <f>VLOOKUP($C904,Product_Dim!$A$2:$D$101,2,FALSE)</f>
        <v>Sports</v>
      </c>
      <c r="H904">
        <v>1</v>
      </c>
      <c r="I904">
        <v>640.54999999999995</v>
      </c>
      <c r="J904">
        <v>0.25</v>
      </c>
      <c r="K904" s="3">
        <v>480.41250000000002</v>
      </c>
      <c r="L904" t="s">
        <v>852</v>
      </c>
      <c r="M904" t="str">
        <f>VLOOKUP($E904,Customer_Dim!$A$2:$F$501,3,FALSE)</f>
        <v>Female</v>
      </c>
      <c r="N904" t="str">
        <f>VLOOKUP($E904,Customer_Dim!$A$2:$F$501,5,FALSE)</f>
        <v>USA</v>
      </c>
      <c r="O904" t="str">
        <f>VLOOKUP($E904,Customer_Dim!$A$2:$F$501,6,FALSE)</f>
        <v>Platinum</v>
      </c>
      <c r="P904" t="str">
        <f>VLOOKUP($A904,Store_Dim!$A$2:$F$21,3,FALSE)</f>
        <v>NorthBensonhaven</v>
      </c>
    </row>
    <row r="905" spans="1:16" hidden="1" x14ac:dyDescent="0.25">
      <c r="A905" t="s">
        <v>835</v>
      </c>
      <c r="B905" t="s">
        <v>1105</v>
      </c>
      <c r="C905" t="s">
        <v>658</v>
      </c>
      <c r="D905" s="2">
        <v>45356</v>
      </c>
      <c r="E905" t="s">
        <v>552</v>
      </c>
      <c r="F905" t="str">
        <f>VLOOKUP($C905,Product_Dim!$A$2:$D$101,3,FALSE)</f>
        <v>Carroll, Long and Mendoza</v>
      </c>
      <c r="G905" t="str">
        <f>VLOOKUP($C905,Product_Dim!$A$2:$D$101,2,FALSE)</f>
        <v>Sports</v>
      </c>
      <c r="H905">
        <v>4</v>
      </c>
      <c r="I905">
        <v>982.45</v>
      </c>
      <c r="J905">
        <v>0.2</v>
      </c>
      <c r="K905" s="3">
        <v>3143.84</v>
      </c>
      <c r="L905" t="s">
        <v>854</v>
      </c>
      <c r="M905" t="str">
        <f>VLOOKUP($E905,Customer_Dim!$A$2:$F$501,3,FALSE)</f>
        <v>Female</v>
      </c>
      <c r="N905" t="str">
        <f>VLOOKUP($E905,Customer_Dim!$A$2:$F$501,5,FALSE)</f>
        <v>USA</v>
      </c>
      <c r="O905" t="str">
        <f>VLOOKUP($E905,Customer_Dim!$A$2:$F$501,6,FALSE)</f>
        <v>Bronze</v>
      </c>
      <c r="P905" t="str">
        <f>VLOOKUP($A905,Store_Dim!$A$2:$F$21,3,FALSE)</f>
        <v>NorthBensonhaven</v>
      </c>
    </row>
    <row r="906" spans="1:16" x14ac:dyDescent="0.25">
      <c r="A906" t="s">
        <v>835</v>
      </c>
      <c r="B906" t="s">
        <v>2285</v>
      </c>
      <c r="C906" t="s">
        <v>660</v>
      </c>
      <c r="D906" s="2">
        <v>45906</v>
      </c>
      <c r="E906" t="s">
        <v>514</v>
      </c>
      <c r="F906" t="str">
        <f>VLOOKUP($C906,Product_Dim!$A$2:$D$101,3,FALSE)</f>
        <v>Holmes LLC</v>
      </c>
      <c r="G906" t="str">
        <f>VLOOKUP($C906,Product_Dim!$A$2:$D$101,2,FALSE)</f>
        <v>Electronics</v>
      </c>
      <c r="H906">
        <v>1</v>
      </c>
      <c r="I906">
        <v>361.09</v>
      </c>
      <c r="J906">
        <v>0.06</v>
      </c>
      <c r="K906" s="3">
        <v>339.42459999999988</v>
      </c>
      <c r="L906" t="s">
        <v>854</v>
      </c>
      <c r="M906" t="str">
        <f>VLOOKUP($E906,Customer_Dim!$A$2:$F$501,3,FALSE)</f>
        <v>Male</v>
      </c>
      <c r="N906" t="str">
        <f>VLOOKUP($E906,Customer_Dim!$A$2:$F$501,5,FALSE)</f>
        <v>USA</v>
      </c>
      <c r="O906" t="str">
        <f>VLOOKUP($E906,Customer_Dim!$A$2:$F$501,6,FALSE)</f>
        <v>Gold</v>
      </c>
      <c r="P906" t="str">
        <f>VLOOKUP($A906,Store_Dim!$A$2:$F$21,3,FALSE)</f>
        <v>NorthBensonhaven</v>
      </c>
    </row>
    <row r="907" spans="1:16" x14ac:dyDescent="0.25">
      <c r="A907" t="s">
        <v>835</v>
      </c>
      <c r="B907" t="s">
        <v>902</v>
      </c>
      <c r="C907" t="s">
        <v>664</v>
      </c>
      <c r="D907" s="2">
        <v>45218</v>
      </c>
      <c r="E907" t="s">
        <v>268</v>
      </c>
      <c r="F907" t="str">
        <f>VLOOKUP($C907,Product_Dim!$A$2:$D$101,3,FALSE)</f>
        <v>Cox Inc</v>
      </c>
      <c r="G907" t="str">
        <f>VLOOKUP($C907,Product_Dim!$A$2:$D$101,2,FALSE)</f>
        <v>Sports</v>
      </c>
      <c r="H907">
        <v>1</v>
      </c>
      <c r="I907">
        <v>517.13</v>
      </c>
      <c r="J907">
        <v>0.28000000000000003</v>
      </c>
      <c r="K907" s="3">
        <v>372.33359999999999</v>
      </c>
      <c r="L907" t="s">
        <v>852</v>
      </c>
      <c r="M907" t="str">
        <f>VLOOKUP($E907,Customer_Dim!$A$2:$F$501,3,FALSE)</f>
        <v>Male</v>
      </c>
      <c r="N907" t="str">
        <f>VLOOKUP($E907,Customer_Dim!$A$2:$F$501,5,FALSE)</f>
        <v>USA</v>
      </c>
      <c r="O907" t="str">
        <f>VLOOKUP($E907,Customer_Dim!$A$2:$F$501,6,FALSE)</f>
        <v>Platinum</v>
      </c>
      <c r="P907" t="str">
        <f>VLOOKUP($A907,Store_Dim!$A$2:$F$21,3,FALSE)</f>
        <v>NorthBensonhaven</v>
      </c>
    </row>
    <row r="908" spans="1:16" x14ac:dyDescent="0.25">
      <c r="A908" t="s">
        <v>835</v>
      </c>
      <c r="B908" t="s">
        <v>1720</v>
      </c>
      <c r="C908" t="s">
        <v>666</v>
      </c>
      <c r="D908" s="2">
        <v>45571</v>
      </c>
      <c r="E908" t="s">
        <v>536</v>
      </c>
      <c r="F908" t="str">
        <f>VLOOKUP($C908,Product_Dim!$A$2:$D$101,3,FALSE)</f>
        <v>Bridges, Banks and Cummings</v>
      </c>
      <c r="G908" t="str">
        <f>VLOOKUP($C908,Product_Dim!$A$2:$D$101,2,FALSE)</f>
        <v>Sports</v>
      </c>
      <c r="H908">
        <v>3</v>
      </c>
      <c r="I908">
        <v>144.66999999999999</v>
      </c>
      <c r="J908">
        <v>0.28999999999999998</v>
      </c>
      <c r="K908" s="3">
        <v>308.14710000000002</v>
      </c>
      <c r="L908" t="s">
        <v>857</v>
      </c>
      <c r="M908" t="str">
        <f>VLOOKUP($E908,Customer_Dim!$A$2:$F$501,3,FALSE)</f>
        <v>Male</v>
      </c>
      <c r="N908" t="str">
        <f>VLOOKUP($E908,Customer_Dim!$A$2:$F$501,5,FALSE)</f>
        <v>USA</v>
      </c>
      <c r="O908" t="str">
        <f>VLOOKUP($E908,Customer_Dim!$A$2:$F$501,6,FALSE)</f>
        <v>Gold</v>
      </c>
      <c r="P908" t="str">
        <f>VLOOKUP($A908,Store_Dim!$A$2:$F$21,3,FALSE)</f>
        <v>NorthBensonhaven</v>
      </c>
    </row>
    <row r="909" spans="1:16" x14ac:dyDescent="0.25">
      <c r="A909" t="s">
        <v>835</v>
      </c>
      <c r="B909" t="s">
        <v>2776</v>
      </c>
      <c r="C909" t="s">
        <v>668</v>
      </c>
      <c r="D909" s="2">
        <v>45276</v>
      </c>
      <c r="E909" t="s">
        <v>313</v>
      </c>
      <c r="F909" t="str">
        <f>VLOOKUP($C909,Product_Dim!$A$2:$D$101,3,FALSE)</f>
        <v>Kelly, Smith and Perez</v>
      </c>
      <c r="G909" t="str">
        <f>VLOOKUP($C909,Product_Dim!$A$2:$D$101,2,FALSE)</f>
        <v>Clothing</v>
      </c>
      <c r="H909">
        <v>4</v>
      </c>
      <c r="I909">
        <v>569.36</v>
      </c>
      <c r="J909">
        <v>0.27</v>
      </c>
      <c r="K909" s="3">
        <v>1662.5311999999999</v>
      </c>
      <c r="L909" t="s">
        <v>854</v>
      </c>
      <c r="M909" t="str">
        <f>VLOOKUP($E909,Customer_Dim!$A$2:$F$501,3,FALSE)</f>
        <v>Male</v>
      </c>
      <c r="N909" t="str">
        <f>VLOOKUP($E909,Customer_Dim!$A$2:$F$501,5,FALSE)</f>
        <v>USA</v>
      </c>
      <c r="O909" t="str">
        <f>VLOOKUP($E909,Customer_Dim!$A$2:$F$501,6,FALSE)</f>
        <v>Platinum</v>
      </c>
      <c r="P909" t="str">
        <f>VLOOKUP($A909,Store_Dim!$A$2:$F$21,3,FALSE)</f>
        <v>NorthBensonhaven</v>
      </c>
    </row>
    <row r="910" spans="1:16" x14ac:dyDescent="0.25">
      <c r="A910" t="s">
        <v>835</v>
      </c>
      <c r="B910" t="s">
        <v>938</v>
      </c>
      <c r="C910" t="s">
        <v>668</v>
      </c>
      <c r="D910" s="2">
        <v>45268</v>
      </c>
      <c r="E910" t="s">
        <v>490</v>
      </c>
      <c r="F910" t="str">
        <f>VLOOKUP($C910,Product_Dim!$A$2:$D$101,3,FALSE)</f>
        <v>Kelly, Smith and Perez</v>
      </c>
      <c r="G910" t="str">
        <f>VLOOKUP($C910,Product_Dim!$A$2:$D$101,2,FALSE)</f>
        <v>Clothing</v>
      </c>
      <c r="H910">
        <v>1</v>
      </c>
      <c r="I910">
        <v>773.57</v>
      </c>
      <c r="J910">
        <v>0.05</v>
      </c>
      <c r="K910" s="3">
        <f>H910*I910-J910</f>
        <v>773.5200000000001</v>
      </c>
      <c r="L910" t="s">
        <v>857</v>
      </c>
      <c r="M910" t="str">
        <f>VLOOKUP($E910,Customer_Dim!$A$2:$F$501,3,FALSE)</f>
        <v>Male</v>
      </c>
      <c r="N910" t="str">
        <f>VLOOKUP($E910,Customer_Dim!$A$2:$F$501,5,FALSE)</f>
        <v>USA</v>
      </c>
      <c r="O910" t="str">
        <f>VLOOKUP($E910,Customer_Dim!$A$2:$F$501,6,FALSE)</f>
        <v>Silver</v>
      </c>
      <c r="P910" t="str">
        <f>VLOOKUP($A910,Store_Dim!$A$2:$F$21,3,FALSE)</f>
        <v>NorthBensonhaven</v>
      </c>
    </row>
    <row r="911" spans="1:16" x14ac:dyDescent="0.25">
      <c r="A911" t="s">
        <v>835</v>
      </c>
      <c r="B911" t="s">
        <v>1331</v>
      </c>
      <c r="C911" t="s">
        <v>668</v>
      </c>
      <c r="D911" s="2">
        <v>45700</v>
      </c>
      <c r="E911" t="s">
        <v>536</v>
      </c>
      <c r="F911" t="str">
        <f>VLOOKUP($C911,Product_Dim!$A$2:$D$101,3,FALSE)</f>
        <v>Kelly, Smith and Perez</v>
      </c>
      <c r="G911" t="str">
        <f>VLOOKUP($C911,Product_Dim!$A$2:$D$101,2,FALSE)</f>
        <v>Clothing</v>
      </c>
      <c r="H911">
        <v>1</v>
      </c>
      <c r="I911">
        <v>708.88</v>
      </c>
      <c r="J911">
        <v>0.09</v>
      </c>
      <c r="K911" s="3">
        <v>645.08080000000007</v>
      </c>
      <c r="L911" t="s">
        <v>852</v>
      </c>
      <c r="M911" t="str">
        <f>VLOOKUP($E911,Customer_Dim!$A$2:$F$501,3,FALSE)</f>
        <v>Male</v>
      </c>
      <c r="N911" t="str">
        <f>VLOOKUP($E911,Customer_Dim!$A$2:$F$501,5,FALSE)</f>
        <v>USA</v>
      </c>
      <c r="O911" t="str">
        <f>VLOOKUP($E911,Customer_Dim!$A$2:$F$501,6,FALSE)</f>
        <v>Gold</v>
      </c>
      <c r="P911" t="str">
        <f>VLOOKUP($A911,Store_Dim!$A$2:$F$21,3,FALSE)</f>
        <v>NorthBensonhaven</v>
      </c>
    </row>
    <row r="912" spans="1:16" hidden="1" x14ac:dyDescent="0.25">
      <c r="A912" t="s">
        <v>835</v>
      </c>
      <c r="B912" t="s">
        <v>1842</v>
      </c>
      <c r="C912" t="s">
        <v>670</v>
      </c>
      <c r="D912" s="2">
        <v>45486</v>
      </c>
      <c r="E912" t="s">
        <v>21</v>
      </c>
      <c r="F912" t="str">
        <f>VLOOKUP($C912,Product_Dim!$A$2:$D$101,3,FALSE)</f>
        <v>Cook Inc</v>
      </c>
      <c r="G912" t="str">
        <f>VLOOKUP($C912,Product_Dim!$A$2:$D$101,2,FALSE)</f>
        <v>Beauty</v>
      </c>
      <c r="H912">
        <v>2</v>
      </c>
      <c r="I912">
        <v>274.08999999999997</v>
      </c>
      <c r="J912">
        <v>0.13</v>
      </c>
      <c r="K912" s="3">
        <v>476.91660000000002</v>
      </c>
      <c r="L912" t="s">
        <v>854</v>
      </c>
      <c r="M912" t="str">
        <f>VLOOKUP($E912,Customer_Dim!$A$2:$F$501,3,FALSE)</f>
        <v>Female</v>
      </c>
      <c r="N912" t="str">
        <f>VLOOKUP($E912,Customer_Dim!$A$2:$F$501,5,FALSE)</f>
        <v>USA</v>
      </c>
      <c r="O912" t="str">
        <f>VLOOKUP($E912,Customer_Dim!$A$2:$F$501,6,FALSE)</f>
        <v>Silver</v>
      </c>
      <c r="P912" t="str">
        <f>VLOOKUP($A912,Store_Dim!$A$2:$F$21,3,FALSE)</f>
        <v>NorthBensonhaven</v>
      </c>
    </row>
    <row r="913" spans="1:16" hidden="1" x14ac:dyDescent="0.25">
      <c r="A913" t="s">
        <v>835</v>
      </c>
      <c r="B913" t="s">
        <v>2233</v>
      </c>
      <c r="C913" t="s">
        <v>672</v>
      </c>
      <c r="D913" s="2">
        <v>45869</v>
      </c>
      <c r="E913" t="s">
        <v>445</v>
      </c>
      <c r="F913" t="str">
        <f>VLOOKUP($C913,Product_Dim!$A$2:$D$101,3,FALSE)</f>
        <v>Byrd, Stewart and Valdez</v>
      </c>
      <c r="G913" t="str">
        <f>VLOOKUP($C913,Product_Dim!$A$2:$D$101,2,FALSE)</f>
        <v>Electronics</v>
      </c>
      <c r="H913">
        <v>2</v>
      </c>
      <c r="I913">
        <v>204.89</v>
      </c>
      <c r="J913">
        <v>0.24</v>
      </c>
      <c r="K913" s="3">
        <v>311.43279999999999</v>
      </c>
      <c r="L913" t="s">
        <v>852</v>
      </c>
      <c r="M913" t="str">
        <f>VLOOKUP($E913,Customer_Dim!$A$2:$F$501,3,FALSE)</f>
        <v>Female</v>
      </c>
      <c r="N913" t="str">
        <f>VLOOKUP($E913,Customer_Dim!$A$2:$F$501,5,FALSE)</f>
        <v>USA</v>
      </c>
      <c r="O913" t="str">
        <f>VLOOKUP($E913,Customer_Dim!$A$2:$F$501,6,FALSE)</f>
        <v>Bronze</v>
      </c>
      <c r="P913" t="str">
        <f>VLOOKUP($A913,Store_Dim!$A$2:$F$21,3,FALSE)</f>
        <v>NorthBensonhaven</v>
      </c>
    </row>
    <row r="914" spans="1:16" hidden="1" x14ac:dyDescent="0.25">
      <c r="A914" t="s">
        <v>835</v>
      </c>
      <c r="B914" t="s">
        <v>2516</v>
      </c>
      <c r="C914" t="s">
        <v>674</v>
      </c>
      <c r="D914" s="2">
        <v>45341</v>
      </c>
      <c r="E914" t="s">
        <v>235</v>
      </c>
      <c r="F914" t="str">
        <f>VLOOKUP($C914,Product_Dim!$A$2:$D$101,3,FALSE)</f>
        <v>Sullivan and Sons</v>
      </c>
      <c r="G914" t="str">
        <f>VLOOKUP($C914,Product_Dim!$A$2:$D$101,2,FALSE)</f>
        <v>Beauty</v>
      </c>
      <c r="H914">
        <v>2</v>
      </c>
      <c r="I914">
        <v>869.43</v>
      </c>
      <c r="J914">
        <v>0.24</v>
      </c>
      <c r="K914" s="3">
        <v>1321.5336</v>
      </c>
      <c r="L914" t="s">
        <v>857</v>
      </c>
      <c r="M914" t="str">
        <f>VLOOKUP($E914,Customer_Dim!$A$2:$F$501,3,FALSE)</f>
        <v>Female</v>
      </c>
      <c r="N914" t="str">
        <f>VLOOKUP($E914,Customer_Dim!$A$2:$F$501,5,FALSE)</f>
        <v>USA</v>
      </c>
      <c r="O914" t="str">
        <f>VLOOKUP($E914,Customer_Dim!$A$2:$F$501,6,FALSE)</f>
        <v>Platinum</v>
      </c>
      <c r="P914" t="str">
        <f>VLOOKUP($A914,Store_Dim!$A$2:$F$21,3,FALSE)</f>
        <v>NorthBensonhaven</v>
      </c>
    </row>
    <row r="915" spans="1:16" x14ac:dyDescent="0.25">
      <c r="A915" t="s">
        <v>835</v>
      </c>
      <c r="B915" t="s">
        <v>1383</v>
      </c>
      <c r="C915" t="s">
        <v>674</v>
      </c>
      <c r="D915" s="2">
        <v>45338</v>
      </c>
      <c r="E915" t="s">
        <v>411</v>
      </c>
      <c r="F915" t="str">
        <f>VLOOKUP($C915,Product_Dim!$A$2:$D$101,3,FALSE)</f>
        <v>Sullivan and Sons</v>
      </c>
      <c r="G915" t="str">
        <f>VLOOKUP($C915,Product_Dim!$A$2:$D$101,2,FALSE)</f>
        <v>Beauty</v>
      </c>
      <c r="H915">
        <v>1</v>
      </c>
      <c r="I915">
        <v>540.1</v>
      </c>
      <c r="J915">
        <v>0.22</v>
      </c>
      <c r="K915" s="3">
        <v>421.27800000000002</v>
      </c>
      <c r="L915" t="s">
        <v>852</v>
      </c>
      <c r="M915" t="str">
        <f>VLOOKUP($E915,Customer_Dim!$A$2:$F$501,3,FALSE)</f>
        <v>Male</v>
      </c>
      <c r="N915" t="str">
        <f>VLOOKUP($E915,Customer_Dim!$A$2:$F$501,5,FALSE)</f>
        <v>USA</v>
      </c>
      <c r="O915" t="str">
        <f>VLOOKUP($E915,Customer_Dim!$A$2:$F$501,6,FALSE)</f>
        <v>Gold</v>
      </c>
      <c r="P915" t="str">
        <f>VLOOKUP($A915,Store_Dim!$A$2:$F$21,3,FALSE)</f>
        <v>NorthBensonhaven</v>
      </c>
    </row>
    <row r="916" spans="1:16" x14ac:dyDescent="0.25">
      <c r="A916" t="s">
        <v>835</v>
      </c>
      <c r="B916" t="s">
        <v>1586</v>
      </c>
      <c r="C916" t="s">
        <v>676</v>
      </c>
      <c r="D916" s="2">
        <v>45217</v>
      </c>
      <c r="E916" t="s">
        <v>290</v>
      </c>
      <c r="F916" t="str">
        <f>VLOOKUP($C916,Product_Dim!$A$2:$D$101,3,FALSE)</f>
        <v>Smith-King</v>
      </c>
      <c r="G916" t="str">
        <f>VLOOKUP($C916,Product_Dim!$A$2:$D$101,2,FALSE)</f>
        <v>Sports</v>
      </c>
      <c r="H916">
        <v>1</v>
      </c>
      <c r="I916">
        <v>498.61</v>
      </c>
      <c r="J916">
        <v>0.04</v>
      </c>
      <c r="K916" s="3">
        <v>478.66559999999998</v>
      </c>
      <c r="L916" t="s">
        <v>854</v>
      </c>
      <c r="M916" t="str">
        <f>VLOOKUP($E916,Customer_Dim!$A$2:$F$501,3,FALSE)</f>
        <v>Male</v>
      </c>
      <c r="N916" t="str">
        <f>VLOOKUP($E916,Customer_Dim!$A$2:$F$501,5,FALSE)</f>
        <v>USA</v>
      </c>
      <c r="O916" t="str">
        <f>VLOOKUP($E916,Customer_Dim!$A$2:$F$501,6,FALSE)</f>
        <v>Silver</v>
      </c>
      <c r="P916" t="str">
        <f>VLOOKUP($A916,Store_Dim!$A$2:$F$21,3,FALSE)</f>
        <v>NorthBensonhaven</v>
      </c>
    </row>
    <row r="917" spans="1:16" hidden="1" x14ac:dyDescent="0.25">
      <c r="A917" t="s">
        <v>835</v>
      </c>
      <c r="B917" t="s">
        <v>2392</v>
      </c>
      <c r="C917" t="s">
        <v>684</v>
      </c>
      <c r="D917" s="2">
        <v>45927</v>
      </c>
      <c r="E917" t="s">
        <v>28</v>
      </c>
      <c r="F917" t="str">
        <f>VLOOKUP($C917,Product_Dim!$A$2:$D$101,3,FALSE)</f>
        <v>Thompson-French</v>
      </c>
      <c r="G917" t="str">
        <f>VLOOKUP($C917,Product_Dim!$A$2:$D$101,2,FALSE)</f>
        <v>Sports</v>
      </c>
      <c r="H917">
        <v>2</v>
      </c>
      <c r="I917">
        <v>700.91</v>
      </c>
      <c r="J917">
        <v>0.1</v>
      </c>
      <c r="K917" s="3">
        <v>1261.6379999999999</v>
      </c>
      <c r="L917" t="s">
        <v>854</v>
      </c>
      <c r="M917" t="str">
        <f>VLOOKUP($E917,Customer_Dim!$A$2:$F$501,3,FALSE)</f>
        <v>Female</v>
      </c>
      <c r="N917" t="str">
        <f>VLOOKUP($E917,Customer_Dim!$A$2:$F$501,5,FALSE)</f>
        <v>USA</v>
      </c>
      <c r="O917" t="str">
        <f>VLOOKUP($E917,Customer_Dim!$A$2:$F$501,6,FALSE)</f>
        <v>Bronze</v>
      </c>
      <c r="P917" t="str">
        <f>VLOOKUP($A917,Store_Dim!$A$2:$F$21,3,FALSE)</f>
        <v>NorthBensonhaven</v>
      </c>
    </row>
    <row r="918" spans="1:16" x14ac:dyDescent="0.25">
      <c r="A918" t="s">
        <v>835</v>
      </c>
      <c r="B918" t="s">
        <v>2714</v>
      </c>
      <c r="C918" t="s">
        <v>684</v>
      </c>
      <c r="D918" s="2">
        <v>45549</v>
      </c>
      <c r="E918" t="s">
        <v>253</v>
      </c>
      <c r="F918" t="str">
        <f>VLOOKUP($C918,Product_Dim!$A$2:$D$101,3,FALSE)</f>
        <v>Thompson-French</v>
      </c>
      <c r="G918" t="str">
        <f>VLOOKUP($C918,Product_Dim!$A$2:$D$101,2,FALSE)</f>
        <v>Sports</v>
      </c>
      <c r="H918">
        <v>3</v>
      </c>
      <c r="I918">
        <v>683.74</v>
      </c>
      <c r="J918">
        <v>0.24</v>
      </c>
      <c r="K918" s="3">
        <v>1558.9272000000001</v>
      </c>
      <c r="L918" t="s">
        <v>852</v>
      </c>
      <c r="M918" t="str">
        <f>VLOOKUP($E918,Customer_Dim!$A$2:$F$501,3,FALSE)</f>
        <v>Male</v>
      </c>
      <c r="N918" t="str">
        <f>VLOOKUP($E918,Customer_Dim!$A$2:$F$501,5,FALSE)</f>
        <v>USA</v>
      </c>
      <c r="O918" t="str">
        <f>VLOOKUP($E918,Customer_Dim!$A$2:$F$501,6,FALSE)</f>
        <v>Silver</v>
      </c>
      <c r="P918" t="str">
        <f>VLOOKUP($A918,Store_Dim!$A$2:$F$21,3,FALSE)</f>
        <v>NorthBensonhaven</v>
      </c>
    </row>
    <row r="919" spans="1:16" hidden="1" x14ac:dyDescent="0.25">
      <c r="A919" t="s">
        <v>835</v>
      </c>
      <c r="B919" t="s">
        <v>2807</v>
      </c>
      <c r="C919" t="s">
        <v>688</v>
      </c>
      <c r="D919" s="2">
        <v>45780</v>
      </c>
      <c r="E919" t="s">
        <v>138</v>
      </c>
      <c r="F919" t="str">
        <f>VLOOKUP($C919,Product_Dim!$A$2:$D$101,3,FALSE)</f>
        <v>Hernandez, Kennedy and Porter</v>
      </c>
      <c r="G919" t="str">
        <f>VLOOKUP($C919,Product_Dim!$A$2:$D$101,2,FALSE)</f>
        <v>Home</v>
      </c>
      <c r="H919">
        <v>2</v>
      </c>
      <c r="I919">
        <v>981.35</v>
      </c>
      <c r="J919">
        <v>0.16</v>
      </c>
      <c r="K919" s="3">
        <v>1648.6679999999999</v>
      </c>
      <c r="L919" t="s">
        <v>854</v>
      </c>
      <c r="M919" t="str">
        <f>VLOOKUP($E919,Customer_Dim!$A$2:$F$501,3,FALSE)</f>
        <v>Female</v>
      </c>
      <c r="N919" t="str">
        <f>VLOOKUP($E919,Customer_Dim!$A$2:$F$501,5,FALSE)</f>
        <v>USA</v>
      </c>
      <c r="O919" t="str">
        <f>VLOOKUP($E919,Customer_Dim!$A$2:$F$501,6,FALSE)</f>
        <v>Platinum</v>
      </c>
      <c r="P919" t="str">
        <f>VLOOKUP($A919,Store_Dim!$A$2:$F$21,3,FALSE)</f>
        <v>NorthBensonhaven</v>
      </c>
    </row>
    <row r="920" spans="1:16" x14ac:dyDescent="0.25">
      <c r="A920" t="s">
        <v>835</v>
      </c>
      <c r="B920" t="s">
        <v>1528</v>
      </c>
      <c r="C920" t="s">
        <v>690</v>
      </c>
      <c r="D920" s="2">
        <v>45665</v>
      </c>
      <c r="E920" t="s">
        <v>540</v>
      </c>
      <c r="F920" t="str">
        <f>VLOOKUP($C920,Product_Dim!$A$2:$D$101,3,FALSE)</f>
        <v>Atkinson, Camacho and Oliver</v>
      </c>
      <c r="G920" t="str">
        <f>VLOOKUP($C920,Product_Dim!$A$2:$D$101,2,FALSE)</f>
        <v>Sports</v>
      </c>
      <c r="H920">
        <v>2</v>
      </c>
      <c r="I920">
        <v>218.11</v>
      </c>
      <c r="J920">
        <v>0.02</v>
      </c>
      <c r="K920" s="3">
        <v>427.49560000000002</v>
      </c>
      <c r="L920" t="s">
        <v>857</v>
      </c>
      <c r="M920" t="str">
        <f>VLOOKUP($E920,Customer_Dim!$A$2:$F$501,3,FALSE)</f>
        <v>Male</v>
      </c>
      <c r="N920" t="str">
        <f>VLOOKUP($E920,Customer_Dim!$A$2:$F$501,5,FALSE)</f>
        <v>USA</v>
      </c>
      <c r="O920" t="str">
        <f>VLOOKUP($E920,Customer_Dim!$A$2:$F$501,6,FALSE)</f>
        <v>Bronze</v>
      </c>
      <c r="P920" t="str">
        <f>VLOOKUP($A920,Store_Dim!$A$2:$F$21,3,FALSE)</f>
        <v>NorthBensonhaven</v>
      </c>
    </row>
    <row r="921" spans="1:16" hidden="1" x14ac:dyDescent="0.25">
      <c r="A921" t="s">
        <v>835</v>
      </c>
      <c r="B921" t="s">
        <v>1897</v>
      </c>
      <c r="C921" t="s">
        <v>692</v>
      </c>
      <c r="D921" s="2">
        <v>45251</v>
      </c>
      <c r="E921" t="s">
        <v>169</v>
      </c>
      <c r="F921" t="str">
        <f>VLOOKUP($C921,Product_Dim!$A$2:$D$101,3,FALSE)</f>
        <v>Shepherd-Gould</v>
      </c>
      <c r="G921" t="str">
        <f>VLOOKUP($C921,Product_Dim!$A$2:$D$101,2,FALSE)</f>
        <v>Clothing</v>
      </c>
      <c r="H921">
        <v>4</v>
      </c>
      <c r="I921">
        <v>377.26</v>
      </c>
      <c r="J921">
        <v>0.22</v>
      </c>
      <c r="K921" s="3">
        <v>1177.0512000000001</v>
      </c>
      <c r="L921" t="s">
        <v>857</v>
      </c>
      <c r="M921" t="str">
        <f>VLOOKUP($E921,Customer_Dim!$A$2:$F$501,3,FALSE)</f>
        <v>Female</v>
      </c>
      <c r="N921" t="str">
        <f>VLOOKUP($E921,Customer_Dim!$A$2:$F$501,5,FALSE)</f>
        <v>USA</v>
      </c>
      <c r="O921" t="str">
        <f>VLOOKUP($E921,Customer_Dim!$A$2:$F$501,6,FALSE)</f>
        <v>Platinum</v>
      </c>
      <c r="P921" t="str">
        <f>VLOOKUP($A921,Store_Dim!$A$2:$F$21,3,FALSE)</f>
        <v>NorthBensonhaven</v>
      </c>
    </row>
    <row r="922" spans="1:16" hidden="1" x14ac:dyDescent="0.25">
      <c r="A922" t="s">
        <v>835</v>
      </c>
      <c r="B922" t="s">
        <v>2364</v>
      </c>
      <c r="C922" t="s">
        <v>692</v>
      </c>
      <c r="D922" s="2">
        <v>45821</v>
      </c>
      <c r="E922" t="s">
        <v>224</v>
      </c>
      <c r="F922" t="str">
        <f>VLOOKUP($C922,Product_Dim!$A$2:$D$101,3,FALSE)</f>
        <v>Shepherd-Gould</v>
      </c>
      <c r="G922" t="str">
        <f>VLOOKUP($C922,Product_Dim!$A$2:$D$101,2,FALSE)</f>
        <v>Clothing</v>
      </c>
      <c r="H922">
        <v>3</v>
      </c>
      <c r="I922">
        <v>622.98</v>
      </c>
      <c r="J922">
        <v>0.28000000000000003</v>
      </c>
      <c r="K922" s="3">
        <v>1345.6368</v>
      </c>
      <c r="L922" t="s">
        <v>854</v>
      </c>
      <c r="M922" t="str">
        <f>VLOOKUP($E922,Customer_Dim!$A$2:$F$501,3,FALSE)</f>
        <v>Female</v>
      </c>
      <c r="N922" t="str">
        <f>VLOOKUP($E922,Customer_Dim!$A$2:$F$501,5,FALSE)</f>
        <v>USA</v>
      </c>
      <c r="O922" t="str">
        <f>VLOOKUP($E922,Customer_Dim!$A$2:$F$501,6,FALSE)</f>
        <v>Platinum</v>
      </c>
      <c r="P922" t="str">
        <f>VLOOKUP($A922,Store_Dim!$A$2:$F$21,3,FALSE)</f>
        <v>NorthBensonhaven</v>
      </c>
    </row>
    <row r="923" spans="1:16" x14ac:dyDescent="0.25">
      <c r="A923" t="s">
        <v>835</v>
      </c>
      <c r="B923" t="s">
        <v>2726</v>
      </c>
      <c r="C923" t="s">
        <v>692</v>
      </c>
      <c r="D923" s="2">
        <v>45408</v>
      </c>
      <c r="E923" t="s">
        <v>318</v>
      </c>
      <c r="F923" t="str">
        <f>VLOOKUP($C923,Product_Dim!$A$2:$D$101,3,FALSE)</f>
        <v>Shepherd-Gould</v>
      </c>
      <c r="G923" t="str">
        <f>VLOOKUP($C923,Product_Dim!$A$2:$D$101,2,FALSE)</f>
        <v>Clothing</v>
      </c>
      <c r="H923">
        <v>1</v>
      </c>
      <c r="I923">
        <v>803.37</v>
      </c>
      <c r="J923">
        <v>0.3</v>
      </c>
      <c r="K923" s="3">
        <v>562.35899999999992</v>
      </c>
      <c r="L923" t="s">
        <v>854</v>
      </c>
      <c r="M923" t="str">
        <f>VLOOKUP($E923,Customer_Dim!$A$2:$F$501,3,FALSE)</f>
        <v>Male</v>
      </c>
      <c r="N923" t="str">
        <f>VLOOKUP($E923,Customer_Dim!$A$2:$F$501,5,FALSE)</f>
        <v>USA</v>
      </c>
      <c r="O923" t="str">
        <f>VLOOKUP($E923,Customer_Dim!$A$2:$F$501,6,FALSE)</f>
        <v>Silver</v>
      </c>
      <c r="P923" t="str">
        <f>VLOOKUP($A923,Store_Dim!$A$2:$F$21,3,FALSE)</f>
        <v>NorthBensonhaven</v>
      </c>
    </row>
    <row r="924" spans="1:16" hidden="1" x14ac:dyDescent="0.25">
      <c r="A924" t="s">
        <v>835</v>
      </c>
      <c r="B924" t="s">
        <v>2388</v>
      </c>
      <c r="C924" t="s">
        <v>694</v>
      </c>
      <c r="D924" s="2">
        <v>45533</v>
      </c>
      <c r="E924" t="s">
        <v>336</v>
      </c>
      <c r="F924" t="str">
        <f>VLOOKUP($C924,Product_Dim!$A$2:$D$101,3,FALSE)</f>
        <v>Cline-Mccarthy</v>
      </c>
      <c r="G924" t="str">
        <f>VLOOKUP($C924,Product_Dim!$A$2:$D$101,2,FALSE)</f>
        <v>Beauty</v>
      </c>
      <c r="H924">
        <v>2</v>
      </c>
      <c r="I924">
        <v>102.85</v>
      </c>
      <c r="J924">
        <v>0.08</v>
      </c>
      <c r="K924" s="3">
        <v>189.244</v>
      </c>
      <c r="L924" t="s">
        <v>854</v>
      </c>
      <c r="M924" t="str">
        <f>VLOOKUP($E924,Customer_Dim!$A$2:$F$501,3,FALSE)</f>
        <v>Female</v>
      </c>
      <c r="N924" t="str">
        <f>VLOOKUP($E924,Customer_Dim!$A$2:$F$501,5,FALSE)</f>
        <v>USA</v>
      </c>
      <c r="O924" t="str">
        <f>VLOOKUP($E924,Customer_Dim!$A$2:$F$501,6,FALSE)</f>
        <v>Silver</v>
      </c>
      <c r="P924" t="str">
        <f>VLOOKUP($A924,Store_Dim!$A$2:$F$21,3,FALSE)</f>
        <v>NorthBensonhaven</v>
      </c>
    </row>
    <row r="925" spans="1:16" hidden="1" x14ac:dyDescent="0.25">
      <c r="A925" t="s">
        <v>835</v>
      </c>
      <c r="B925" t="s">
        <v>2545</v>
      </c>
      <c r="C925" t="s">
        <v>585</v>
      </c>
      <c r="D925" s="2">
        <v>45230</v>
      </c>
      <c r="E925" t="s">
        <v>458</v>
      </c>
      <c r="F925" t="str">
        <f>VLOOKUP($C925,Product_Dim!$A$2:$D$101,3,FALSE)</f>
        <v>Davidson PLC</v>
      </c>
      <c r="G925" t="str">
        <f>VLOOKUP($C925,Product_Dim!$A$2:$D$101,2,FALSE)</f>
        <v>Beauty</v>
      </c>
      <c r="H925">
        <v>1</v>
      </c>
      <c r="I925">
        <v>631</v>
      </c>
      <c r="J925">
        <v>0.04</v>
      </c>
      <c r="K925" s="3">
        <v>605.76</v>
      </c>
      <c r="L925" t="s">
        <v>852</v>
      </c>
      <c r="M925" t="str">
        <f>VLOOKUP($E925,Customer_Dim!$A$2:$F$501,3,FALSE)</f>
        <v>Female</v>
      </c>
      <c r="N925" t="str">
        <f>VLOOKUP($E925,Customer_Dim!$A$2:$F$501,5,FALSE)</f>
        <v>USA</v>
      </c>
      <c r="O925" t="str">
        <f>VLOOKUP($E925,Customer_Dim!$A$2:$F$501,6,FALSE)</f>
        <v>Bronze</v>
      </c>
      <c r="P925" t="str">
        <f>VLOOKUP($A925,Store_Dim!$A$2:$F$21,3,FALSE)</f>
        <v>NorthBensonhaven</v>
      </c>
    </row>
    <row r="926" spans="1:16" hidden="1" x14ac:dyDescent="0.25">
      <c r="A926" t="s">
        <v>835</v>
      </c>
      <c r="B926" t="s">
        <v>1049</v>
      </c>
      <c r="C926" t="s">
        <v>696</v>
      </c>
      <c r="D926" s="2">
        <v>45290</v>
      </c>
      <c r="E926" t="s">
        <v>494</v>
      </c>
      <c r="F926" t="str">
        <f>VLOOKUP($C926,Product_Dim!$A$2:$D$101,3,FALSE)</f>
        <v>Gibson, Green and Lopez</v>
      </c>
      <c r="G926" t="str">
        <f>VLOOKUP($C926,Product_Dim!$A$2:$D$101,2,FALSE)</f>
        <v>Beauty</v>
      </c>
      <c r="H926">
        <v>1</v>
      </c>
      <c r="I926">
        <v>889.19</v>
      </c>
      <c r="J926">
        <v>0.03</v>
      </c>
      <c r="K926" s="3">
        <v>862.51430000000005</v>
      </c>
      <c r="L926" t="s">
        <v>852</v>
      </c>
      <c r="M926" t="str">
        <f>VLOOKUP($E926,Customer_Dim!$A$2:$F$501,3,FALSE)</f>
        <v>Female</v>
      </c>
      <c r="N926" t="str">
        <f>VLOOKUP($E926,Customer_Dim!$A$2:$F$501,5,FALSE)</f>
        <v>USA</v>
      </c>
      <c r="O926" t="str">
        <f>VLOOKUP($E926,Customer_Dim!$A$2:$F$501,6,FALSE)</f>
        <v>Gold</v>
      </c>
      <c r="P926" t="str">
        <f>VLOOKUP($A926,Store_Dim!$A$2:$F$21,3,FALSE)</f>
        <v>NorthBensonhaven</v>
      </c>
    </row>
    <row r="927" spans="1:16" x14ac:dyDescent="0.25">
      <c r="A927" t="s">
        <v>835</v>
      </c>
      <c r="B927" t="s">
        <v>2792</v>
      </c>
      <c r="C927" t="s">
        <v>698</v>
      </c>
      <c r="D927" s="2">
        <v>45607</v>
      </c>
      <c r="E927" t="s">
        <v>442</v>
      </c>
      <c r="F927" t="str">
        <f>VLOOKUP($C927,Product_Dim!$A$2:$D$101,3,FALSE)</f>
        <v>Lopez LLC</v>
      </c>
      <c r="G927" t="str">
        <f>VLOOKUP($C927,Product_Dim!$A$2:$D$101,2,FALSE)</f>
        <v>Sports</v>
      </c>
      <c r="H927">
        <v>2</v>
      </c>
      <c r="I927">
        <v>352.63</v>
      </c>
      <c r="J927">
        <v>0.15</v>
      </c>
      <c r="K927" s="3">
        <v>599.471</v>
      </c>
      <c r="L927" t="s">
        <v>854</v>
      </c>
      <c r="M927" t="str">
        <f>VLOOKUP($E927,Customer_Dim!$A$2:$F$501,3,FALSE)</f>
        <v>Male</v>
      </c>
      <c r="N927" t="str">
        <f>VLOOKUP($E927,Customer_Dim!$A$2:$F$501,5,FALSE)</f>
        <v>USA</v>
      </c>
      <c r="O927" t="str">
        <f>VLOOKUP($E927,Customer_Dim!$A$2:$F$501,6,FALSE)</f>
        <v>Platinum</v>
      </c>
      <c r="P927" t="str">
        <f>VLOOKUP($A927,Store_Dim!$A$2:$F$21,3,FALSE)</f>
        <v>NorthBensonhaven</v>
      </c>
    </row>
    <row r="928" spans="1:16" hidden="1" x14ac:dyDescent="0.25">
      <c r="A928" t="s">
        <v>835</v>
      </c>
      <c r="B928" t="s">
        <v>2270</v>
      </c>
      <c r="C928" t="s">
        <v>702</v>
      </c>
      <c r="D928" s="2">
        <v>45473</v>
      </c>
      <c r="E928" t="s">
        <v>229</v>
      </c>
      <c r="F928" t="str">
        <f>VLOOKUP($C928,Product_Dim!$A$2:$D$101,3,FALSE)</f>
        <v>Anderson-Riley</v>
      </c>
      <c r="G928" t="str">
        <f>VLOOKUP($C928,Product_Dim!$A$2:$D$101,2,FALSE)</f>
        <v>Beauty</v>
      </c>
      <c r="H928">
        <v>4</v>
      </c>
      <c r="I928">
        <v>194.67</v>
      </c>
      <c r="J928">
        <v>0.23</v>
      </c>
      <c r="K928" s="3">
        <v>599.58359999999993</v>
      </c>
      <c r="L928" t="s">
        <v>854</v>
      </c>
      <c r="M928" t="str">
        <f>VLOOKUP($E928,Customer_Dim!$A$2:$F$501,3,FALSE)</f>
        <v>Female</v>
      </c>
      <c r="N928" t="str">
        <f>VLOOKUP($E928,Customer_Dim!$A$2:$F$501,5,FALSE)</f>
        <v>USA</v>
      </c>
      <c r="O928" t="str">
        <f>VLOOKUP($E928,Customer_Dim!$A$2:$F$501,6,FALSE)</f>
        <v>Platinum</v>
      </c>
      <c r="P928" t="str">
        <f>VLOOKUP($A928,Store_Dim!$A$2:$F$21,3,FALSE)</f>
        <v>NorthBensonhaven</v>
      </c>
    </row>
    <row r="929" spans="1:16" x14ac:dyDescent="0.25">
      <c r="A929" t="s">
        <v>835</v>
      </c>
      <c r="B929" t="s">
        <v>1574</v>
      </c>
      <c r="C929" t="s">
        <v>706</v>
      </c>
      <c r="D929" s="2">
        <v>45824</v>
      </c>
      <c r="E929" t="s">
        <v>437</v>
      </c>
      <c r="F929" t="str">
        <f>VLOOKUP($C929,Product_Dim!$A$2:$D$101,3,FALSE)</f>
        <v>Montgomery, Benton and Miller</v>
      </c>
      <c r="G929" t="str">
        <f>VLOOKUP($C929,Product_Dim!$A$2:$D$101,2,FALSE)</f>
        <v>Sports</v>
      </c>
      <c r="H929">
        <v>3</v>
      </c>
      <c r="I929">
        <v>681.58</v>
      </c>
      <c r="J929">
        <v>0.23</v>
      </c>
      <c r="K929" s="3">
        <v>1574.4498000000001</v>
      </c>
      <c r="L929" t="s">
        <v>852</v>
      </c>
      <c r="M929" t="str">
        <f>VLOOKUP($E929,Customer_Dim!$A$2:$F$501,3,FALSE)</f>
        <v>Male</v>
      </c>
      <c r="N929" t="str">
        <f>VLOOKUP($E929,Customer_Dim!$A$2:$F$501,5,FALSE)</f>
        <v>USA</v>
      </c>
      <c r="O929" t="str">
        <f>VLOOKUP($E929,Customer_Dim!$A$2:$F$501,6,FALSE)</f>
        <v>Silver</v>
      </c>
      <c r="P929" t="str">
        <f>VLOOKUP($A929,Store_Dim!$A$2:$F$21,3,FALSE)</f>
        <v>NorthBensonhaven</v>
      </c>
    </row>
    <row r="930" spans="1:16" x14ac:dyDescent="0.25">
      <c r="A930" t="s">
        <v>835</v>
      </c>
      <c r="B930" t="s">
        <v>1338</v>
      </c>
      <c r="C930" t="s">
        <v>708</v>
      </c>
      <c r="D930" s="2">
        <v>45639</v>
      </c>
      <c r="E930" t="s">
        <v>546</v>
      </c>
      <c r="F930" t="str">
        <f>VLOOKUP($C930,Product_Dim!$A$2:$D$101,3,FALSE)</f>
        <v>Torres, Spencer and Potter</v>
      </c>
      <c r="G930" t="str">
        <f>VLOOKUP($C930,Product_Dim!$A$2:$D$101,2,FALSE)</f>
        <v>Beauty</v>
      </c>
      <c r="H930">
        <v>1</v>
      </c>
      <c r="I930">
        <v>440.19</v>
      </c>
      <c r="J930">
        <v>0.03</v>
      </c>
      <c r="K930" s="3">
        <v>426.98430000000002</v>
      </c>
      <c r="L930" t="s">
        <v>854</v>
      </c>
      <c r="M930" t="str">
        <f>VLOOKUP($E930,Customer_Dim!$A$2:$F$501,3,FALSE)</f>
        <v>Male</v>
      </c>
      <c r="N930" t="str">
        <f>VLOOKUP($E930,Customer_Dim!$A$2:$F$501,5,FALSE)</f>
        <v>USA</v>
      </c>
      <c r="O930" t="str">
        <f>VLOOKUP($E930,Customer_Dim!$A$2:$F$501,6,FALSE)</f>
        <v>Bronze</v>
      </c>
      <c r="P930" t="str">
        <f>VLOOKUP($A930,Store_Dim!$A$2:$F$21,3,FALSE)</f>
        <v>NorthBensonhaven</v>
      </c>
    </row>
    <row r="931" spans="1:16" hidden="1" x14ac:dyDescent="0.25">
      <c r="A931" t="s">
        <v>835</v>
      </c>
      <c r="B931" t="s">
        <v>2527</v>
      </c>
      <c r="C931" t="s">
        <v>710</v>
      </c>
      <c r="D931" s="2">
        <v>45637</v>
      </c>
      <c r="E931" t="s">
        <v>420</v>
      </c>
      <c r="F931" t="str">
        <f>VLOOKUP($C931,Product_Dim!$A$2:$D$101,3,FALSE)</f>
        <v>Flores-Davis</v>
      </c>
      <c r="G931" t="str">
        <f>VLOOKUP($C931,Product_Dim!$A$2:$D$101,2,FALSE)</f>
        <v>Electronics</v>
      </c>
      <c r="H931">
        <v>1</v>
      </c>
      <c r="I931">
        <v>762.55</v>
      </c>
      <c r="J931">
        <v>0.19</v>
      </c>
      <c r="K931" s="3">
        <v>617.66549999999995</v>
      </c>
      <c r="L931" t="s">
        <v>852</v>
      </c>
      <c r="M931" t="str">
        <f>VLOOKUP($E931,Customer_Dim!$A$2:$F$501,3,FALSE)</f>
        <v>Female</v>
      </c>
      <c r="N931" t="str">
        <f>VLOOKUP($E931,Customer_Dim!$A$2:$F$501,5,FALSE)</f>
        <v>USA</v>
      </c>
      <c r="O931" t="str">
        <f>VLOOKUP($E931,Customer_Dim!$A$2:$F$501,6,FALSE)</f>
        <v>Platinum</v>
      </c>
      <c r="P931" t="str">
        <f>VLOOKUP($A931,Store_Dim!$A$2:$F$21,3,FALSE)</f>
        <v>NorthBensonhaven</v>
      </c>
    </row>
    <row r="932" spans="1:16" hidden="1" x14ac:dyDescent="0.25">
      <c r="A932" t="s">
        <v>835</v>
      </c>
      <c r="B932" t="s">
        <v>2219</v>
      </c>
      <c r="C932" t="s">
        <v>712</v>
      </c>
      <c r="D932" s="2">
        <v>45757</v>
      </c>
      <c r="E932" t="s">
        <v>105</v>
      </c>
      <c r="F932" t="str">
        <f>VLOOKUP($C932,Product_Dim!$A$2:$D$101,3,FALSE)</f>
        <v>Wolfe, Ross and Hester</v>
      </c>
      <c r="G932" t="str">
        <f>VLOOKUP($C932,Product_Dim!$A$2:$D$101,2,FALSE)</f>
        <v>Home</v>
      </c>
      <c r="H932">
        <v>4</v>
      </c>
      <c r="I932">
        <v>255.67</v>
      </c>
      <c r="J932">
        <v>0.17</v>
      </c>
      <c r="K932" s="3">
        <v>848.82439999999997</v>
      </c>
      <c r="L932" t="s">
        <v>852</v>
      </c>
      <c r="M932" t="str">
        <f>VLOOKUP($E932,Customer_Dim!$A$2:$F$501,3,FALSE)</f>
        <v>Female</v>
      </c>
      <c r="N932" t="str">
        <f>VLOOKUP($E932,Customer_Dim!$A$2:$F$501,5,FALSE)</f>
        <v>USA</v>
      </c>
      <c r="O932" t="str">
        <f>VLOOKUP($E932,Customer_Dim!$A$2:$F$501,6,FALSE)</f>
        <v>Platinum</v>
      </c>
      <c r="P932" t="str">
        <f>VLOOKUP($A932,Store_Dim!$A$2:$F$21,3,FALSE)</f>
        <v>NorthBensonhaven</v>
      </c>
    </row>
    <row r="933" spans="1:16" hidden="1" x14ac:dyDescent="0.25">
      <c r="A933" t="s">
        <v>835</v>
      </c>
      <c r="B933" t="s">
        <v>2046</v>
      </c>
      <c r="C933" t="s">
        <v>714</v>
      </c>
      <c r="D933" s="2">
        <v>45622</v>
      </c>
      <c r="E933" t="s">
        <v>61</v>
      </c>
      <c r="F933" t="str">
        <f>VLOOKUP($C933,Product_Dim!$A$2:$D$101,3,FALSE)</f>
        <v>Fitzpatrick Ltd</v>
      </c>
      <c r="G933" t="str">
        <f>VLOOKUP($C933,Product_Dim!$A$2:$D$101,2,FALSE)</f>
        <v>Clothing</v>
      </c>
      <c r="H933">
        <v>4</v>
      </c>
      <c r="I933">
        <v>477.52</v>
      </c>
      <c r="J933">
        <v>7.0000000000000007E-2</v>
      </c>
      <c r="K933" s="3">
        <v>1776.3743999999999</v>
      </c>
      <c r="L933" t="s">
        <v>854</v>
      </c>
      <c r="M933" t="str">
        <f>VLOOKUP($E933,Customer_Dim!$A$2:$F$501,3,FALSE)</f>
        <v>Female</v>
      </c>
      <c r="N933" t="str">
        <f>VLOOKUP($E933,Customer_Dim!$A$2:$F$501,5,FALSE)</f>
        <v>USA</v>
      </c>
      <c r="O933" t="str">
        <f>VLOOKUP($E933,Customer_Dim!$A$2:$F$501,6,FALSE)</f>
        <v>Gold</v>
      </c>
      <c r="P933" t="str">
        <f>VLOOKUP($A933,Store_Dim!$A$2:$F$21,3,FALSE)</f>
        <v>NorthBensonhaven</v>
      </c>
    </row>
    <row r="934" spans="1:16" hidden="1" x14ac:dyDescent="0.25">
      <c r="A934" t="s">
        <v>835</v>
      </c>
      <c r="B934" t="s">
        <v>1867</v>
      </c>
      <c r="C934" t="s">
        <v>588</v>
      </c>
      <c r="D934" s="2">
        <v>45459</v>
      </c>
      <c r="E934" t="s">
        <v>250</v>
      </c>
      <c r="F934" t="str">
        <f>VLOOKUP($C934,Product_Dim!$A$2:$D$101,3,FALSE)</f>
        <v>Harrell LLC</v>
      </c>
      <c r="G934" t="str">
        <f>VLOOKUP($C934,Product_Dim!$A$2:$D$101,2,FALSE)</f>
        <v>Home</v>
      </c>
      <c r="H934">
        <v>4</v>
      </c>
      <c r="I934">
        <v>929.26</v>
      </c>
      <c r="J934">
        <v>0.23</v>
      </c>
      <c r="K934" s="3">
        <v>2862.1208000000001</v>
      </c>
      <c r="L934" t="s">
        <v>854</v>
      </c>
      <c r="M934" t="str">
        <f>VLOOKUP($E934,Customer_Dim!$A$2:$F$501,3,FALSE)</f>
        <v>Female</v>
      </c>
      <c r="N934" t="str">
        <f>VLOOKUP($E934,Customer_Dim!$A$2:$F$501,5,FALSE)</f>
        <v>USA</v>
      </c>
      <c r="O934" t="str">
        <f>VLOOKUP($E934,Customer_Dim!$A$2:$F$501,6,FALSE)</f>
        <v>Platinum</v>
      </c>
      <c r="P934" t="str">
        <f>VLOOKUP($A934,Store_Dim!$A$2:$F$21,3,FALSE)</f>
        <v>NorthBensonhaven</v>
      </c>
    </row>
    <row r="935" spans="1:16" x14ac:dyDescent="0.25">
      <c r="A935" t="s">
        <v>835</v>
      </c>
      <c r="B935" t="s">
        <v>2803</v>
      </c>
      <c r="C935" t="s">
        <v>588</v>
      </c>
      <c r="D935" s="2">
        <v>45301</v>
      </c>
      <c r="E935" t="s">
        <v>292</v>
      </c>
      <c r="F935" t="str">
        <f>VLOOKUP($C935,Product_Dim!$A$2:$D$101,3,FALSE)</f>
        <v>Harrell LLC</v>
      </c>
      <c r="G935" t="str">
        <f>VLOOKUP($C935,Product_Dim!$A$2:$D$101,2,FALSE)</f>
        <v>Home</v>
      </c>
      <c r="H935">
        <v>4</v>
      </c>
      <c r="I935">
        <v>716.39</v>
      </c>
      <c r="J935">
        <v>0.03</v>
      </c>
      <c r="K935" s="3">
        <v>2779.5931999999998</v>
      </c>
      <c r="L935" t="s">
        <v>854</v>
      </c>
      <c r="M935" t="str">
        <f>VLOOKUP($E935,Customer_Dim!$A$2:$F$501,3,FALSE)</f>
        <v>Male</v>
      </c>
      <c r="N935" t="str">
        <f>VLOOKUP($E935,Customer_Dim!$A$2:$F$501,5,FALSE)</f>
        <v>USA</v>
      </c>
      <c r="O935" t="str">
        <f>VLOOKUP($E935,Customer_Dim!$A$2:$F$501,6,FALSE)</f>
        <v>Gold</v>
      </c>
      <c r="P935" t="str">
        <f>VLOOKUP($A935,Store_Dim!$A$2:$F$21,3,FALSE)</f>
        <v>NorthBensonhaven</v>
      </c>
    </row>
    <row r="936" spans="1:16" hidden="1" x14ac:dyDescent="0.25">
      <c r="A936" t="s">
        <v>835</v>
      </c>
      <c r="B936" t="s">
        <v>2086</v>
      </c>
      <c r="C936" t="s">
        <v>716</v>
      </c>
      <c r="D936" s="2">
        <v>45740</v>
      </c>
      <c r="E936" t="s">
        <v>349</v>
      </c>
      <c r="F936" t="str">
        <f>VLOOKUP($C936,Product_Dim!$A$2:$D$101,3,FALSE)</f>
        <v>Duran Group</v>
      </c>
      <c r="G936" t="str">
        <f>VLOOKUP($C936,Product_Dim!$A$2:$D$101,2,FALSE)</f>
        <v>Home</v>
      </c>
      <c r="H936">
        <v>3</v>
      </c>
      <c r="I936">
        <v>190.04</v>
      </c>
      <c r="J936">
        <v>7.0000000000000007E-2</v>
      </c>
      <c r="K936" s="3">
        <v>530.21159999999998</v>
      </c>
      <c r="L936" t="s">
        <v>854</v>
      </c>
      <c r="M936" t="str">
        <f>VLOOKUP($E936,Customer_Dim!$A$2:$F$501,3,FALSE)</f>
        <v>Female</v>
      </c>
      <c r="N936" t="str">
        <f>VLOOKUP($E936,Customer_Dim!$A$2:$F$501,5,FALSE)</f>
        <v>USA</v>
      </c>
      <c r="O936" t="str">
        <f>VLOOKUP($E936,Customer_Dim!$A$2:$F$501,6,FALSE)</f>
        <v>Gold</v>
      </c>
      <c r="P936" t="str">
        <f>VLOOKUP($A936,Store_Dim!$A$2:$F$21,3,FALSE)</f>
        <v>NorthBensonhaven</v>
      </c>
    </row>
    <row r="937" spans="1:16" hidden="1" x14ac:dyDescent="0.25">
      <c r="A937" t="s">
        <v>835</v>
      </c>
      <c r="B937" t="s">
        <v>1565</v>
      </c>
      <c r="C937" t="s">
        <v>718</v>
      </c>
      <c r="D937" s="2">
        <v>45559</v>
      </c>
      <c r="E937" t="s">
        <v>433</v>
      </c>
      <c r="F937" t="str">
        <f>VLOOKUP($C937,Product_Dim!$A$2:$D$101,3,FALSE)</f>
        <v>Hopkins Ltd</v>
      </c>
      <c r="G937" t="str">
        <f>VLOOKUP($C937,Product_Dim!$A$2:$D$101,2,FALSE)</f>
        <v>Beauty</v>
      </c>
      <c r="H937">
        <v>1</v>
      </c>
      <c r="I937">
        <v>613.17999999999995</v>
      </c>
      <c r="J937">
        <v>0.14000000000000001</v>
      </c>
      <c r="K937" s="3">
        <v>527.33479999999997</v>
      </c>
      <c r="L937" t="s">
        <v>857</v>
      </c>
      <c r="M937" t="str">
        <f>VLOOKUP($E937,Customer_Dim!$A$2:$F$501,3,FALSE)</f>
        <v>Female</v>
      </c>
      <c r="N937" t="str">
        <f>VLOOKUP($E937,Customer_Dim!$A$2:$F$501,5,FALSE)</f>
        <v>USA</v>
      </c>
      <c r="O937" t="str">
        <f>VLOOKUP($E937,Customer_Dim!$A$2:$F$501,6,FALSE)</f>
        <v>Platinum</v>
      </c>
      <c r="P937" t="str">
        <f>VLOOKUP($A937,Store_Dim!$A$2:$F$21,3,FALSE)</f>
        <v>NorthBensonhaven</v>
      </c>
    </row>
    <row r="938" spans="1:16" hidden="1" x14ac:dyDescent="0.25">
      <c r="A938" t="s">
        <v>835</v>
      </c>
      <c r="B938" t="s">
        <v>874</v>
      </c>
      <c r="C938" t="s">
        <v>720</v>
      </c>
      <c r="D938" s="2">
        <v>45843</v>
      </c>
      <c r="E938" t="s">
        <v>208</v>
      </c>
      <c r="F938" t="str">
        <f>VLOOKUP($C938,Product_Dim!$A$2:$D$101,3,FALSE)</f>
        <v>Davis PLC</v>
      </c>
      <c r="G938" t="str">
        <f>VLOOKUP($C938,Product_Dim!$A$2:$D$101,2,FALSE)</f>
        <v>Sports</v>
      </c>
      <c r="H938">
        <v>3</v>
      </c>
      <c r="I938">
        <v>986.04</v>
      </c>
      <c r="J938">
        <v>0.27</v>
      </c>
      <c r="K938" s="3">
        <v>2159.4276</v>
      </c>
      <c r="L938" t="s">
        <v>857</v>
      </c>
      <c r="M938" t="str">
        <f>VLOOKUP($E938,Customer_Dim!$A$2:$F$501,3,FALSE)</f>
        <v>Female</v>
      </c>
      <c r="N938" t="str">
        <f>VLOOKUP($E938,Customer_Dim!$A$2:$F$501,5,FALSE)</f>
        <v>USA</v>
      </c>
      <c r="O938" t="str">
        <f>VLOOKUP($E938,Customer_Dim!$A$2:$F$501,6,FALSE)</f>
        <v>Bronze</v>
      </c>
      <c r="P938" t="str">
        <f>VLOOKUP($A938,Store_Dim!$A$2:$F$21,3,FALSE)</f>
        <v>NorthBensonhaven</v>
      </c>
    </row>
    <row r="939" spans="1:16" hidden="1" x14ac:dyDescent="0.25">
      <c r="A939" t="s">
        <v>835</v>
      </c>
      <c r="B939" t="s">
        <v>2747</v>
      </c>
      <c r="C939" t="s">
        <v>720</v>
      </c>
      <c r="D939" s="2">
        <v>45493</v>
      </c>
      <c r="E939" t="s">
        <v>235</v>
      </c>
      <c r="F939" t="str">
        <f>VLOOKUP($C939,Product_Dim!$A$2:$D$101,3,FALSE)</f>
        <v>Davis PLC</v>
      </c>
      <c r="G939" t="str">
        <f>VLOOKUP($C939,Product_Dim!$A$2:$D$101,2,FALSE)</f>
        <v>Sports</v>
      </c>
      <c r="H939">
        <v>1</v>
      </c>
      <c r="I939">
        <v>389.12</v>
      </c>
      <c r="J939">
        <v>0.18</v>
      </c>
      <c r="K939" s="3">
        <v>319.07839999999999</v>
      </c>
      <c r="L939" t="s">
        <v>854</v>
      </c>
      <c r="M939" t="str">
        <f>VLOOKUP($E939,Customer_Dim!$A$2:$F$501,3,FALSE)</f>
        <v>Female</v>
      </c>
      <c r="N939" t="str">
        <f>VLOOKUP($E939,Customer_Dim!$A$2:$F$501,5,FALSE)</f>
        <v>USA</v>
      </c>
      <c r="O939" t="str">
        <f>VLOOKUP($E939,Customer_Dim!$A$2:$F$501,6,FALSE)</f>
        <v>Platinum</v>
      </c>
      <c r="P939" t="str">
        <f>VLOOKUP($A939,Store_Dim!$A$2:$F$21,3,FALSE)</f>
        <v>NorthBensonhaven</v>
      </c>
    </row>
    <row r="940" spans="1:16" hidden="1" x14ac:dyDescent="0.25">
      <c r="A940" t="s">
        <v>835</v>
      </c>
      <c r="B940" t="s">
        <v>1313</v>
      </c>
      <c r="C940" t="s">
        <v>720</v>
      </c>
      <c r="D940" s="2">
        <v>45315</v>
      </c>
      <c r="E940" t="s">
        <v>534</v>
      </c>
      <c r="F940" t="str">
        <f>VLOOKUP($C940,Product_Dim!$A$2:$D$101,3,FALSE)</f>
        <v>Davis PLC</v>
      </c>
      <c r="G940" t="str">
        <f>VLOOKUP($C940,Product_Dim!$A$2:$D$101,2,FALSE)</f>
        <v>Sports</v>
      </c>
      <c r="H940">
        <v>2</v>
      </c>
      <c r="I940">
        <v>736.75</v>
      </c>
      <c r="J940">
        <v>0.18</v>
      </c>
      <c r="K940" s="3">
        <v>1208.27</v>
      </c>
      <c r="L940" t="s">
        <v>852</v>
      </c>
      <c r="M940" t="str">
        <f>VLOOKUP($E940,Customer_Dim!$A$2:$F$501,3,FALSE)</f>
        <v>Female</v>
      </c>
      <c r="N940" t="str">
        <f>VLOOKUP($E940,Customer_Dim!$A$2:$F$501,5,FALSE)</f>
        <v>USA</v>
      </c>
      <c r="O940" t="str">
        <f>VLOOKUP($E940,Customer_Dim!$A$2:$F$501,6,FALSE)</f>
        <v>Gold</v>
      </c>
      <c r="P940" t="str">
        <f>VLOOKUP($A940,Store_Dim!$A$2:$F$21,3,FALSE)</f>
        <v>NorthBensonhaven</v>
      </c>
    </row>
    <row r="941" spans="1:16" hidden="1" x14ac:dyDescent="0.25">
      <c r="A941" t="s">
        <v>835</v>
      </c>
      <c r="B941" t="s">
        <v>2178</v>
      </c>
      <c r="C941" t="s">
        <v>724</v>
      </c>
      <c r="D941" s="2">
        <v>45543</v>
      </c>
      <c r="E941" t="s">
        <v>505</v>
      </c>
      <c r="F941" t="str">
        <f>VLOOKUP($C941,Product_Dim!$A$2:$D$101,3,FALSE)</f>
        <v>Bruce-Bowen</v>
      </c>
      <c r="G941" t="str">
        <f>VLOOKUP($C941,Product_Dim!$A$2:$D$101,2,FALSE)</f>
        <v>Electronics</v>
      </c>
      <c r="H941">
        <v>4</v>
      </c>
      <c r="I941">
        <v>529.04</v>
      </c>
      <c r="J941">
        <v>0.1</v>
      </c>
      <c r="K941" s="3">
        <v>1904.5440000000001</v>
      </c>
      <c r="L941" t="s">
        <v>854</v>
      </c>
      <c r="M941" t="str">
        <f>VLOOKUP($E941,Customer_Dim!$A$2:$F$501,3,FALSE)</f>
        <v>Female</v>
      </c>
      <c r="N941" t="str">
        <f>VLOOKUP($E941,Customer_Dim!$A$2:$F$501,5,FALSE)</f>
        <v>USA</v>
      </c>
      <c r="O941" t="str">
        <f>VLOOKUP($E941,Customer_Dim!$A$2:$F$501,6,FALSE)</f>
        <v>Platinum</v>
      </c>
      <c r="P941" t="str">
        <f>VLOOKUP($A941,Store_Dim!$A$2:$F$21,3,FALSE)</f>
        <v>NorthBensonhaven</v>
      </c>
    </row>
    <row r="942" spans="1:16" hidden="1" x14ac:dyDescent="0.25">
      <c r="A942" t="s">
        <v>835</v>
      </c>
      <c r="B942" t="s">
        <v>853</v>
      </c>
      <c r="C942" t="s">
        <v>724</v>
      </c>
      <c r="D942" s="2">
        <v>45285</v>
      </c>
      <c r="E942" t="s">
        <v>534</v>
      </c>
      <c r="F942" t="str">
        <f>VLOOKUP($C942,Product_Dim!$A$2:$D$101,3,FALSE)</f>
        <v>Bruce-Bowen</v>
      </c>
      <c r="G942" t="str">
        <f>VLOOKUP($C942,Product_Dim!$A$2:$D$101,2,FALSE)</f>
        <v>Electronics</v>
      </c>
      <c r="H942">
        <v>3</v>
      </c>
      <c r="I942">
        <v>104.47</v>
      </c>
      <c r="J942">
        <v>0.27</v>
      </c>
      <c r="K942" s="3">
        <v>228.7893</v>
      </c>
      <c r="L942" t="s">
        <v>854</v>
      </c>
      <c r="M942" t="str">
        <f>VLOOKUP($E942,Customer_Dim!$A$2:$F$501,3,FALSE)</f>
        <v>Female</v>
      </c>
      <c r="N942" t="str">
        <f>VLOOKUP($E942,Customer_Dim!$A$2:$F$501,5,FALSE)</f>
        <v>USA</v>
      </c>
      <c r="O942" t="str">
        <f>VLOOKUP($E942,Customer_Dim!$A$2:$F$501,6,FALSE)</f>
        <v>Gold</v>
      </c>
      <c r="P942" t="str">
        <f>VLOOKUP($A942,Store_Dim!$A$2:$F$21,3,FALSE)</f>
        <v>NorthBensonhaven</v>
      </c>
    </row>
    <row r="943" spans="1:16" hidden="1" x14ac:dyDescent="0.25">
      <c r="A943" t="s">
        <v>835</v>
      </c>
      <c r="B943" t="s">
        <v>1894</v>
      </c>
      <c r="C943" t="s">
        <v>726</v>
      </c>
      <c r="D943" s="2">
        <v>45861</v>
      </c>
      <c r="E943" t="s">
        <v>16</v>
      </c>
      <c r="F943" t="str">
        <f>VLOOKUP($C943,Product_Dim!$A$2:$D$101,3,FALSE)</f>
        <v>Poole PLC</v>
      </c>
      <c r="G943" t="str">
        <f>VLOOKUP($C943,Product_Dim!$A$2:$D$101,2,FALSE)</f>
        <v>Clothing</v>
      </c>
      <c r="H943">
        <v>3</v>
      </c>
      <c r="I943">
        <v>202.07</v>
      </c>
      <c r="J943">
        <v>0.23</v>
      </c>
      <c r="K943" s="3">
        <v>466.78170000000011</v>
      </c>
      <c r="L943" t="s">
        <v>854</v>
      </c>
      <c r="M943" t="str">
        <f>VLOOKUP($E943,Customer_Dim!$A$2:$F$501,3,FALSE)</f>
        <v>Female</v>
      </c>
      <c r="N943" t="str">
        <f>VLOOKUP($E943,Customer_Dim!$A$2:$F$501,5,FALSE)</f>
        <v>USA</v>
      </c>
      <c r="O943" t="str">
        <f>VLOOKUP($E943,Customer_Dim!$A$2:$F$501,6,FALSE)</f>
        <v>Platinum</v>
      </c>
      <c r="P943" t="str">
        <f>VLOOKUP($A943,Store_Dim!$A$2:$F$21,3,FALSE)</f>
        <v>NorthBensonhaven</v>
      </c>
    </row>
    <row r="944" spans="1:16" x14ac:dyDescent="0.25">
      <c r="A944" t="s">
        <v>835</v>
      </c>
      <c r="B944" t="s">
        <v>2183</v>
      </c>
      <c r="C944" t="s">
        <v>728</v>
      </c>
      <c r="D944" s="2">
        <v>45824</v>
      </c>
      <c r="E944" t="s">
        <v>288</v>
      </c>
      <c r="F944" t="str">
        <f>VLOOKUP($C944,Product_Dim!$A$2:$D$101,3,FALSE)</f>
        <v>Larson Ltd</v>
      </c>
      <c r="G944" t="str">
        <f>VLOOKUP($C944,Product_Dim!$A$2:$D$101,2,FALSE)</f>
        <v>Electronics</v>
      </c>
      <c r="H944">
        <v>4</v>
      </c>
      <c r="I944">
        <v>661.39</v>
      </c>
      <c r="J944">
        <v>7.0000000000000007E-2</v>
      </c>
      <c r="K944" s="3">
        <v>2460.3708000000001</v>
      </c>
      <c r="L944" t="s">
        <v>852</v>
      </c>
      <c r="M944" t="str">
        <f>VLOOKUP($E944,Customer_Dim!$A$2:$F$501,3,FALSE)</f>
        <v>Male</v>
      </c>
      <c r="N944" t="str">
        <f>VLOOKUP($E944,Customer_Dim!$A$2:$F$501,5,FALSE)</f>
        <v>USA</v>
      </c>
      <c r="O944" t="str">
        <f>VLOOKUP($E944,Customer_Dim!$A$2:$F$501,6,FALSE)</f>
        <v>Platinum</v>
      </c>
      <c r="P944" t="str">
        <f>VLOOKUP($A944,Store_Dim!$A$2:$F$21,3,FALSE)</f>
        <v>NorthBensonhaven</v>
      </c>
    </row>
    <row r="945" spans="1:16" hidden="1" x14ac:dyDescent="0.25">
      <c r="A945" t="s">
        <v>835</v>
      </c>
      <c r="B945" t="s">
        <v>1076</v>
      </c>
      <c r="C945" t="s">
        <v>728</v>
      </c>
      <c r="D945" s="2">
        <v>45480</v>
      </c>
      <c r="E945" t="s">
        <v>336</v>
      </c>
      <c r="F945" t="str">
        <f>VLOOKUP($C945,Product_Dim!$A$2:$D$101,3,FALSE)</f>
        <v>Larson Ltd</v>
      </c>
      <c r="G945" t="str">
        <f>VLOOKUP($C945,Product_Dim!$A$2:$D$101,2,FALSE)</f>
        <v>Electronics</v>
      </c>
      <c r="H945">
        <v>3</v>
      </c>
      <c r="I945">
        <v>207.8</v>
      </c>
      <c r="J945">
        <v>0.15</v>
      </c>
      <c r="K945" s="3">
        <v>529.8900000000001</v>
      </c>
      <c r="L945" t="s">
        <v>852</v>
      </c>
      <c r="M945" t="str">
        <f>VLOOKUP($E945,Customer_Dim!$A$2:$F$501,3,FALSE)</f>
        <v>Female</v>
      </c>
      <c r="N945" t="str">
        <f>VLOOKUP($E945,Customer_Dim!$A$2:$F$501,5,FALSE)</f>
        <v>USA</v>
      </c>
      <c r="O945" t="str">
        <f>VLOOKUP($E945,Customer_Dim!$A$2:$F$501,6,FALSE)</f>
        <v>Silver</v>
      </c>
      <c r="P945" t="str">
        <f>VLOOKUP($A945,Store_Dim!$A$2:$F$21,3,FALSE)</f>
        <v>NorthBensonhaven</v>
      </c>
    </row>
    <row r="946" spans="1:16" x14ac:dyDescent="0.25">
      <c r="A946" t="s">
        <v>835</v>
      </c>
      <c r="B946" t="s">
        <v>2437</v>
      </c>
      <c r="C946" t="s">
        <v>728</v>
      </c>
      <c r="D946" s="2">
        <v>45667</v>
      </c>
      <c r="E946" t="s">
        <v>507</v>
      </c>
      <c r="F946" t="str">
        <f>VLOOKUP($C946,Product_Dim!$A$2:$D$101,3,FALSE)</f>
        <v>Larson Ltd</v>
      </c>
      <c r="G946" t="str">
        <f>VLOOKUP($C946,Product_Dim!$A$2:$D$101,2,FALSE)</f>
        <v>Electronics</v>
      </c>
      <c r="H946">
        <v>2</v>
      </c>
      <c r="I946">
        <v>877.21</v>
      </c>
      <c r="J946">
        <v>0.1</v>
      </c>
      <c r="K946" s="3">
        <v>1578.9780000000001</v>
      </c>
      <c r="L946" t="s">
        <v>852</v>
      </c>
      <c r="M946" t="str">
        <f>VLOOKUP($E946,Customer_Dim!$A$2:$F$501,3,FALSE)</f>
        <v>Male</v>
      </c>
      <c r="N946" t="str">
        <f>VLOOKUP($E946,Customer_Dim!$A$2:$F$501,5,FALSE)</f>
        <v>USA</v>
      </c>
      <c r="O946" t="str">
        <f>VLOOKUP($E946,Customer_Dim!$A$2:$F$501,6,FALSE)</f>
        <v>Silver</v>
      </c>
      <c r="P946" t="str">
        <f>VLOOKUP($A946,Store_Dim!$A$2:$F$21,3,FALSE)</f>
        <v>NorthBensonhaven</v>
      </c>
    </row>
    <row r="947" spans="1:16" x14ac:dyDescent="0.25">
      <c r="A947" t="s">
        <v>835</v>
      </c>
      <c r="B947" t="s">
        <v>2459</v>
      </c>
      <c r="C947" t="s">
        <v>728</v>
      </c>
      <c r="D947" s="2">
        <v>45472</v>
      </c>
      <c r="E947" t="s">
        <v>551</v>
      </c>
      <c r="F947" t="str">
        <f>VLOOKUP($C947,Product_Dim!$A$2:$D$101,3,FALSE)</f>
        <v>Larson Ltd</v>
      </c>
      <c r="G947" t="str">
        <f>VLOOKUP($C947,Product_Dim!$A$2:$D$101,2,FALSE)</f>
        <v>Electronics</v>
      </c>
      <c r="H947">
        <v>3</v>
      </c>
      <c r="I947">
        <v>915.81</v>
      </c>
      <c r="J947">
        <v>0.17</v>
      </c>
      <c r="K947" s="3">
        <v>2280.3669</v>
      </c>
      <c r="L947" t="s">
        <v>857</v>
      </c>
      <c r="M947" t="str">
        <f>VLOOKUP($E947,Customer_Dim!$A$2:$F$501,3,FALSE)</f>
        <v>Male</v>
      </c>
      <c r="N947" t="str">
        <f>VLOOKUP($E947,Customer_Dim!$A$2:$F$501,5,FALSE)</f>
        <v>USA</v>
      </c>
      <c r="O947" t="str">
        <f>VLOOKUP($E947,Customer_Dim!$A$2:$F$501,6,FALSE)</f>
        <v>Bronze</v>
      </c>
      <c r="P947" t="str">
        <f>VLOOKUP($A947,Store_Dim!$A$2:$F$21,3,FALSE)</f>
        <v>NorthBensonhaven</v>
      </c>
    </row>
    <row r="948" spans="1:16" hidden="1" x14ac:dyDescent="0.25">
      <c r="A948" t="s">
        <v>835</v>
      </c>
      <c r="B948" t="s">
        <v>2133</v>
      </c>
      <c r="C948" t="s">
        <v>730</v>
      </c>
      <c r="D948" s="2">
        <v>45267</v>
      </c>
      <c r="E948" t="s">
        <v>531</v>
      </c>
      <c r="F948" t="str">
        <f>VLOOKUP($C948,Product_Dim!$A$2:$D$101,3,FALSE)</f>
        <v>White, Reeves and Woods</v>
      </c>
      <c r="G948" t="str">
        <f>VLOOKUP($C948,Product_Dim!$A$2:$D$101,2,FALSE)</f>
        <v>Electronics</v>
      </c>
      <c r="H948">
        <v>1</v>
      </c>
      <c r="I948">
        <v>748.75</v>
      </c>
      <c r="J948">
        <v>0.1</v>
      </c>
      <c r="K948" s="3">
        <v>673.875</v>
      </c>
      <c r="L948" t="s">
        <v>857</v>
      </c>
      <c r="M948" t="str">
        <f>VLOOKUP($E948,Customer_Dim!$A$2:$F$501,3,FALSE)</f>
        <v>Female</v>
      </c>
      <c r="N948" t="str">
        <f>VLOOKUP($E948,Customer_Dim!$A$2:$F$501,5,FALSE)</f>
        <v>USA</v>
      </c>
      <c r="O948" t="str">
        <f>VLOOKUP($E948,Customer_Dim!$A$2:$F$501,6,FALSE)</f>
        <v>Platinum</v>
      </c>
      <c r="P948" t="str">
        <f>VLOOKUP($A948,Store_Dim!$A$2:$F$21,3,FALSE)</f>
        <v>NorthBensonhaven</v>
      </c>
    </row>
    <row r="949" spans="1:16" hidden="1" x14ac:dyDescent="0.25">
      <c r="A949" t="s">
        <v>835</v>
      </c>
      <c r="B949" t="s">
        <v>959</v>
      </c>
      <c r="C949" t="s">
        <v>734</v>
      </c>
      <c r="D949" s="2">
        <v>45214</v>
      </c>
      <c r="E949" t="s">
        <v>16</v>
      </c>
      <c r="F949" t="str">
        <f>VLOOKUP($C949,Product_Dim!$A$2:$D$101,3,FALSE)</f>
        <v>Ramirez-Hanson</v>
      </c>
      <c r="G949" t="str">
        <f>VLOOKUP($C949,Product_Dim!$A$2:$D$101,2,FALSE)</f>
        <v>Home</v>
      </c>
      <c r="H949">
        <v>2</v>
      </c>
      <c r="I949">
        <v>418.23</v>
      </c>
      <c r="J949">
        <v>0.28000000000000003</v>
      </c>
      <c r="K949" s="3">
        <v>602.25120000000004</v>
      </c>
      <c r="L949" t="s">
        <v>852</v>
      </c>
      <c r="M949" t="str">
        <f>VLOOKUP($E949,Customer_Dim!$A$2:$F$501,3,FALSE)</f>
        <v>Female</v>
      </c>
      <c r="N949" t="str">
        <f>VLOOKUP($E949,Customer_Dim!$A$2:$F$501,5,FALSE)</f>
        <v>USA</v>
      </c>
      <c r="O949" t="str">
        <f>VLOOKUP($E949,Customer_Dim!$A$2:$F$501,6,FALSE)</f>
        <v>Platinum</v>
      </c>
      <c r="P949" t="str">
        <f>VLOOKUP($A949,Store_Dim!$A$2:$F$21,3,FALSE)</f>
        <v>NorthBensonhaven</v>
      </c>
    </row>
    <row r="950" spans="1:16" hidden="1" x14ac:dyDescent="0.25">
      <c r="A950" t="s">
        <v>835</v>
      </c>
      <c r="B950" t="s">
        <v>1651</v>
      </c>
      <c r="C950" t="s">
        <v>590</v>
      </c>
      <c r="D950" s="2">
        <v>45447</v>
      </c>
      <c r="E950" t="s">
        <v>172</v>
      </c>
      <c r="F950" t="str">
        <f>VLOOKUP($C950,Product_Dim!$A$2:$D$101,3,FALSE)</f>
        <v>Perez-Johnston</v>
      </c>
      <c r="G950" t="str">
        <f>VLOOKUP($C950,Product_Dim!$A$2:$D$101,2,FALSE)</f>
        <v>Electronics</v>
      </c>
      <c r="H950">
        <v>3</v>
      </c>
      <c r="I950">
        <v>170.48</v>
      </c>
      <c r="J950">
        <v>0.06</v>
      </c>
      <c r="K950" s="3">
        <v>480.75359999999989</v>
      </c>
      <c r="L950" t="s">
        <v>857</v>
      </c>
      <c r="M950" t="str">
        <f>VLOOKUP($E950,Customer_Dim!$A$2:$F$501,3,FALSE)</f>
        <v>Female</v>
      </c>
      <c r="N950" t="str">
        <f>VLOOKUP($E950,Customer_Dim!$A$2:$F$501,5,FALSE)</f>
        <v>USA</v>
      </c>
      <c r="O950" t="str">
        <f>VLOOKUP($E950,Customer_Dim!$A$2:$F$501,6,FALSE)</f>
        <v>Gold</v>
      </c>
      <c r="P950" t="str">
        <f>VLOOKUP($A950,Store_Dim!$A$2:$F$21,3,FALSE)</f>
        <v>NorthBensonhaven</v>
      </c>
    </row>
    <row r="951" spans="1:16" hidden="1" x14ac:dyDescent="0.25">
      <c r="A951" t="s">
        <v>835</v>
      </c>
      <c r="B951" t="s">
        <v>1560</v>
      </c>
      <c r="C951" t="s">
        <v>736</v>
      </c>
      <c r="D951" s="2">
        <v>45346</v>
      </c>
      <c r="E951" t="s">
        <v>46</v>
      </c>
      <c r="F951" t="str">
        <f>VLOOKUP($C951,Product_Dim!$A$2:$D$101,3,FALSE)</f>
        <v>Allison Ltd</v>
      </c>
      <c r="G951" t="str">
        <f>VLOOKUP($C951,Product_Dim!$A$2:$D$101,2,FALSE)</f>
        <v>Home</v>
      </c>
      <c r="H951">
        <v>1</v>
      </c>
      <c r="I951">
        <v>846.04</v>
      </c>
      <c r="J951">
        <v>0.08</v>
      </c>
      <c r="K951" s="3">
        <v>778.35680000000002</v>
      </c>
      <c r="L951" t="s">
        <v>854</v>
      </c>
      <c r="M951" t="str">
        <f>VLOOKUP($E951,Customer_Dim!$A$2:$F$501,3,FALSE)</f>
        <v>Female</v>
      </c>
      <c r="N951" t="str">
        <f>VLOOKUP($E951,Customer_Dim!$A$2:$F$501,5,FALSE)</f>
        <v>USA</v>
      </c>
      <c r="O951" t="str">
        <f>VLOOKUP($E951,Customer_Dim!$A$2:$F$501,6,FALSE)</f>
        <v>Platinum</v>
      </c>
      <c r="P951" t="str">
        <f>VLOOKUP($A951,Store_Dim!$A$2:$F$21,3,FALSE)</f>
        <v>NorthBensonhaven</v>
      </c>
    </row>
    <row r="952" spans="1:16" hidden="1" x14ac:dyDescent="0.25">
      <c r="A952" t="s">
        <v>835</v>
      </c>
      <c r="B952" t="s">
        <v>1166</v>
      </c>
      <c r="C952" t="s">
        <v>736</v>
      </c>
      <c r="D952" s="2">
        <v>45611</v>
      </c>
      <c r="E952" t="s">
        <v>57</v>
      </c>
      <c r="F952" t="str">
        <f>VLOOKUP($C952,Product_Dim!$A$2:$D$101,3,FALSE)</f>
        <v>Allison Ltd</v>
      </c>
      <c r="G952" t="str">
        <f>VLOOKUP($C952,Product_Dim!$A$2:$D$101,2,FALSE)</f>
        <v>Home</v>
      </c>
      <c r="H952">
        <v>2</v>
      </c>
      <c r="I952">
        <v>588.9</v>
      </c>
      <c r="J952">
        <v>0.19</v>
      </c>
      <c r="K952" s="3">
        <v>954.01800000000003</v>
      </c>
      <c r="L952" t="s">
        <v>854</v>
      </c>
      <c r="M952" t="str">
        <f>VLOOKUP($E952,Customer_Dim!$A$2:$F$501,3,FALSE)</f>
        <v>Female</v>
      </c>
      <c r="N952" t="str">
        <f>VLOOKUP($E952,Customer_Dim!$A$2:$F$501,5,FALSE)</f>
        <v>USA</v>
      </c>
      <c r="O952" t="str">
        <f>VLOOKUP($E952,Customer_Dim!$A$2:$F$501,6,FALSE)</f>
        <v>Silver</v>
      </c>
      <c r="P952" t="str">
        <f>VLOOKUP($A952,Store_Dim!$A$2:$F$21,3,FALSE)</f>
        <v>NorthBensonhaven</v>
      </c>
    </row>
    <row r="953" spans="1:16" hidden="1" x14ac:dyDescent="0.25">
      <c r="A953" t="s">
        <v>835</v>
      </c>
      <c r="B953" t="s">
        <v>2142</v>
      </c>
      <c r="C953" t="s">
        <v>736</v>
      </c>
      <c r="D953" s="2">
        <v>45749</v>
      </c>
      <c r="E953" t="s">
        <v>123</v>
      </c>
      <c r="F953" t="str">
        <f>VLOOKUP($C953,Product_Dim!$A$2:$D$101,3,FALSE)</f>
        <v>Allison Ltd</v>
      </c>
      <c r="G953" t="str">
        <f>VLOOKUP($C953,Product_Dim!$A$2:$D$101,2,FALSE)</f>
        <v>Home</v>
      </c>
      <c r="H953">
        <v>4</v>
      </c>
      <c r="I953">
        <v>408.76</v>
      </c>
      <c r="J953">
        <v>0.12</v>
      </c>
      <c r="K953" s="3">
        <v>1438.8352</v>
      </c>
      <c r="L953" t="s">
        <v>857</v>
      </c>
      <c r="M953" t="str">
        <f>VLOOKUP($E953,Customer_Dim!$A$2:$F$501,3,FALSE)</f>
        <v>Female</v>
      </c>
      <c r="N953" t="str">
        <f>VLOOKUP($E953,Customer_Dim!$A$2:$F$501,5,FALSE)</f>
        <v>USA</v>
      </c>
      <c r="O953" t="str">
        <f>VLOOKUP($E953,Customer_Dim!$A$2:$F$501,6,FALSE)</f>
        <v>Gold</v>
      </c>
      <c r="P953" t="str">
        <f>VLOOKUP($A953,Store_Dim!$A$2:$F$21,3,FALSE)</f>
        <v>NorthBensonhaven</v>
      </c>
    </row>
    <row r="954" spans="1:16" hidden="1" x14ac:dyDescent="0.25">
      <c r="A954" t="s">
        <v>835</v>
      </c>
      <c r="B954" t="s">
        <v>2324</v>
      </c>
      <c r="C954" t="s">
        <v>740</v>
      </c>
      <c r="D954" s="2">
        <v>45356</v>
      </c>
      <c r="E954" t="s">
        <v>284</v>
      </c>
      <c r="F954" t="str">
        <f>VLOOKUP($C954,Product_Dim!$A$2:$D$101,3,FALSE)</f>
        <v>Reese-Watson</v>
      </c>
      <c r="G954" t="str">
        <f>VLOOKUP($C954,Product_Dim!$A$2:$D$101,2,FALSE)</f>
        <v>Sports</v>
      </c>
      <c r="H954">
        <v>4</v>
      </c>
      <c r="I954">
        <v>461.52</v>
      </c>
      <c r="J954">
        <v>0</v>
      </c>
      <c r="K954" s="3">
        <v>1846.08</v>
      </c>
      <c r="L954" t="s">
        <v>857</v>
      </c>
      <c r="M954" t="str">
        <f>VLOOKUP($E954,Customer_Dim!$A$2:$F$501,3,FALSE)</f>
        <v>Female</v>
      </c>
      <c r="N954" t="str">
        <f>VLOOKUP($E954,Customer_Dim!$A$2:$F$501,5,FALSE)</f>
        <v>USA</v>
      </c>
      <c r="O954" t="str">
        <f>VLOOKUP($E954,Customer_Dim!$A$2:$F$501,6,FALSE)</f>
        <v>Gold</v>
      </c>
      <c r="P954" t="str">
        <f>VLOOKUP($A954,Store_Dim!$A$2:$F$21,3,FALSE)</f>
        <v>NorthBensonhaven</v>
      </c>
    </row>
    <row r="955" spans="1:16" x14ac:dyDescent="0.25">
      <c r="A955" t="s">
        <v>835</v>
      </c>
      <c r="B955" t="s">
        <v>2237</v>
      </c>
      <c r="C955" t="s">
        <v>740</v>
      </c>
      <c r="D955" s="2">
        <v>45282</v>
      </c>
      <c r="E955" t="s">
        <v>412</v>
      </c>
      <c r="F955" t="str">
        <f>VLOOKUP($C955,Product_Dim!$A$2:$D$101,3,FALSE)</f>
        <v>Reese-Watson</v>
      </c>
      <c r="G955" t="str">
        <f>VLOOKUP($C955,Product_Dim!$A$2:$D$101,2,FALSE)</f>
        <v>Sports</v>
      </c>
      <c r="H955">
        <v>2</v>
      </c>
      <c r="I955">
        <v>160.21</v>
      </c>
      <c r="J955">
        <v>0.09</v>
      </c>
      <c r="K955" s="3">
        <v>291.5822</v>
      </c>
      <c r="L955" t="s">
        <v>852</v>
      </c>
      <c r="M955" t="str">
        <f>VLOOKUP($E955,Customer_Dim!$A$2:$F$501,3,FALSE)</f>
        <v>Male</v>
      </c>
      <c r="N955" t="str">
        <f>VLOOKUP($E955,Customer_Dim!$A$2:$F$501,5,FALSE)</f>
        <v>USA</v>
      </c>
      <c r="O955" t="str">
        <f>VLOOKUP($E955,Customer_Dim!$A$2:$F$501,6,FALSE)</f>
        <v>Bronze</v>
      </c>
      <c r="P955" t="str">
        <f>VLOOKUP($A955,Store_Dim!$A$2:$F$21,3,FALSE)</f>
        <v>NorthBensonhaven</v>
      </c>
    </row>
    <row r="956" spans="1:16" hidden="1" x14ac:dyDescent="0.25">
      <c r="A956" t="s">
        <v>835</v>
      </c>
      <c r="B956" t="s">
        <v>2005</v>
      </c>
      <c r="C956" t="s">
        <v>742</v>
      </c>
      <c r="D956" s="2">
        <v>45454</v>
      </c>
      <c r="E956" t="s">
        <v>26</v>
      </c>
      <c r="F956" t="str">
        <f>VLOOKUP($C956,Product_Dim!$A$2:$D$101,3,FALSE)</f>
        <v>Butler Group</v>
      </c>
      <c r="G956" t="str">
        <f>VLOOKUP($C956,Product_Dim!$A$2:$D$101,2,FALSE)</f>
        <v>Beauty</v>
      </c>
      <c r="H956">
        <v>3</v>
      </c>
      <c r="I956">
        <v>816.87</v>
      </c>
      <c r="J956">
        <v>0.14000000000000001</v>
      </c>
      <c r="K956" s="3">
        <v>2107.5246000000002</v>
      </c>
      <c r="L956" t="s">
        <v>854</v>
      </c>
      <c r="M956" t="str">
        <f>VLOOKUP($E956,Customer_Dim!$A$2:$F$501,3,FALSE)</f>
        <v>Female</v>
      </c>
      <c r="N956" t="str">
        <f>VLOOKUP($E956,Customer_Dim!$A$2:$F$501,5,FALSE)</f>
        <v>USA</v>
      </c>
      <c r="O956" t="str">
        <f>VLOOKUP($E956,Customer_Dim!$A$2:$F$501,6,FALSE)</f>
        <v>Platinum</v>
      </c>
      <c r="P956" t="str">
        <f>VLOOKUP($A956,Store_Dim!$A$2:$F$21,3,FALSE)</f>
        <v>NorthBensonhaven</v>
      </c>
    </row>
    <row r="957" spans="1:16" x14ac:dyDescent="0.25">
      <c r="A957" t="s">
        <v>835</v>
      </c>
      <c r="B957" t="s">
        <v>2785</v>
      </c>
      <c r="C957" t="s">
        <v>742</v>
      </c>
      <c r="D957" s="2">
        <v>45825</v>
      </c>
      <c r="E957" t="s">
        <v>491</v>
      </c>
      <c r="F957" t="str">
        <f>VLOOKUP($C957,Product_Dim!$A$2:$D$101,3,FALSE)</f>
        <v>Butler Group</v>
      </c>
      <c r="G957" t="str">
        <f>VLOOKUP($C957,Product_Dim!$A$2:$D$101,2,FALSE)</f>
        <v>Beauty</v>
      </c>
      <c r="H957">
        <v>3</v>
      </c>
      <c r="I957">
        <v>63.36</v>
      </c>
      <c r="J957">
        <v>0.28999999999999998</v>
      </c>
      <c r="K957" s="3">
        <v>134.95679999999999</v>
      </c>
      <c r="L957" t="s">
        <v>857</v>
      </c>
      <c r="M957" t="str">
        <f>VLOOKUP($E957,Customer_Dim!$A$2:$F$501,3,FALSE)</f>
        <v>Male</v>
      </c>
      <c r="N957" t="str">
        <f>VLOOKUP($E957,Customer_Dim!$A$2:$F$501,5,FALSE)</f>
        <v>USA</v>
      </c>
      <c r="O957" t="str">
        <f>VLOOKUP($E957,Customer_Dim!$A$2:$F$501,6,FALSE)</f>
        <v>Bronze</v>
      </c>
      <c r="P957" t="str">
        <f>VLOOKUP($A957,Store_Dim!$A$2:$F$21,3,FALSE)</f>
        <v>NorthBensonhaven</v>
      </c>
    </row>
    <row r="958" spans="1:16" x14ac:dyDescent="0.25">
      <c r="A958" t="s">
        <v>835</v>
      </c>
      <c r="B958" t="s">
        <v>1929</v>
      </c>
      <c r="C958" t="s">
        <v>744</v>
      </c>
      <c r="D958" s="2">
        <v>45593</v>
      </c>
      <c r="E958" t="s">
        <v>368</v>
      </c>
      <c r="F958" t="str">
        <f>VLOOKUP($C958,Product_Dim!$A$2:$D$101,3,FALSE)</f>
        <v>Collins-Stephenson</v>
      </c>
      <c r="G958" t="str">
        <f>VLOOKUP($C958,Product_Dim!$A$2:$D$101,2,FALSE)</f>
        <v>Home</v>
      </c>
      <c r="H958">
        <v>4</v>
      </c>
      <c r="I958">
        <v>604.87</v>
      </c>
      <c r="J958">
        <v>0.28000000000000003</v>
      </c>
      <c r="K958" s="3">
        <v>1742.0255999999999</v>
      </c>
      <c r="L958" t="s">
        <v>854</v>
      </c>
      <c r="M958" t="str">
        <f>VLOOKUP($E958,Customer_Dim!$A$2:$F$501,3,FALSE)</f>
        <v>Male</v>
      </c>
      <c r="N958" t="str">
        <f>VLOOKUP($E958,Customer_Dim!$A$2:$F$501,5,FALSE)</f>
        <v>USA</v>
      </c>
      <c r="O958" t="str">
        <f>VLOOKUP($E958,Customer_Dim!$A$2:$F$501,6,FALSE)</f>
        <v>Gold</v>
      </c>
      <c r="P958" t="str">
        <f>VLOOKUP($A958,Store_Dim!$A$2:$F$21,3,FALSE)</f>
        <v>NorthBensonhaven</v>
      </c>
    </row>
    <row r="959" spans="1:16" hidden="1" x14ac:dyDescent="0.25">
      <c r="A959" t="s">
        <v>835</v>
      </c>
      <c r="B959" t="s">
        <v>2030</v>
      </c>
      <c r="C959" t="s">
        <v>744</v>
      </c>
      <c r="D959" s="2">
        <v>45462</v>
      </c>
      <c r="E959" t="s">
        <v>394</v>
      </c>
      <c r="F959" t="str">
        <f>VLOOKUP($C959,Product_Dim!$A$2:$D$101,3,FALSE)</f>
        <v>Collins-Stephenson</v>
      </c>
      <c r="G959" t="str">
        <f>VLOOKUP($C959,Product_Dim!$A$2:$D$101,2,FALSE)</f>
        <v>Home</v>
      </c>
      <c r="H959">
        <v>1</v>
      </c>
      <c r="I959">
        <v>235.44</v>
      </c>
      <c r="J959">
        <v>0.19</v>
      </c>
      <c r="K959" s="3">
        <v>190.7064</v>
      </c>
      <c r="L959" t="s">
        <v>857</v>
      </c>
      <c r="M959" t="str">
        <f>VLOOKUP($E959,Customer_Dim!$A$2:$F$501,3,FALSE)</f>
        <v>Female</v>
      </c>
      <c r="N959" t="str">
        <f>VLOOKUP($E959,Customer_Dim!$A$2:$F$501,5,FALSE)</f>
        <v>USA</v>
      </c>
      <c r="O959" t="str">
        <f>VLOOKUP($E959,Customer_Dim!$A$2:$F$501,6,FALSE)</f>
        <v>Bronze</v>
      </c>
      <c r="P959" t="str">
        <f>VLOOKUP($A959,Store_Dim!$A$2:$F$21,3,FALSE)</f>
        <v>NorthBensonhaven</v>
      </c>
    </row>
    <row r="960" spans="1:16" x14ac:dyDescent="0.25">
      <c r="A960" t="s">
        <v>835</v>
      </c>
      <c r="B960" t="s">
        <v>1628</v>
      </c>
      <c r="C960" t="s">
        <v>744</v>
      </c>
      <c r="D960" s="2">
        <v>45804</v>
      </c>
      <c r="E960" t="s">
        <v>475</v>
      </c>
      <c r="F960" t="str">
        <f>VLOOKUP($C960,Product_Dim!$A$2:$D$101,3,FALSE)</f>
        <v>Collins-Stephenson</v>
      </c>
      <c r="G960" t="str">
        <f>VLOOKUP($C960,Product_Dim!$A$2:$D$101,2,FALSE)</f>
        <v>Home</v>
      </c>
      <c r="H960">
        <v>3</v>
      </c>
      <c r="I960">
        <v>846.31</v>
      </c>
      <c r="J960">
        <v>0.18</v>
      </c>
      <c r="K960" s="3">
        <v>2081.9225999999999</v>
      </c>
      <c r="L960" t="s">
        <v>857</v>
      </c>
      <c r="M960" t="str">
        <f>VLOOKUP($E960,Customer_Dim!$A$2:$F$501,3,FALSE)</f>
        <v>Male</v>
      </c>
      <c r="N960" t="str">
        <f>VLOOKUP($E960,Customer_Dim!$A$2:$F$501,5,FALSE)</f>
        <v>USA</v>
      </c>
      <c r="O960" t="str">
        <f>VLOOKUP($E960,Customer_Dim!$A$2:$F$501,6,FALSE)</f>
        <v>Gold</v>
      </c>
      <c r="P960" t="str">
        <f>VLOOKUP($A960,Store_Dim!$A$2:$F$21,3,FALSE)</f>
        <v>NorthBensonhaven</v>
      </c>
    </row>
    <row r="961" spans="1:16" hidden="1" x14ac:dyDescent="0.25">
      <c r="A961" t="s">
        <v>835</v>
      </c>
      <c r="B961" t="s">
        <v>1149</v>
      </c>
      <c r="C961" t="s">
        <v>746</v>
      </c>
      <c r="D961" s="2">
        <v>45556</v>
      </c>
      <c r="E961" t="s">
        <v>276</v>
      </c>
      <c r="F961" t="str">
        <f>VLOOKUP($C961,Product_Dim!$A$2:$D$101,3,FALSE)</f>
        <v>Richardson-Carrillo</v>
      </c>
      <c r="G961" t="str">
        <f>VLOOKUP($C961,Product_Dim!$A$2:$D$101,2,FALSE)</f>
        <v>Clothing</v>
      </c>
      <c r="H961">
        <v>4</v>
      </c>
      <c r="I961">
        <v>626.35</v>
      </c>
      <c r="J961">
        <v>0.25</v>
      </c>
      <c r="K961" s="3">
        <v>1879.05</v>
      </c>
      <c r="L961" t="s">
        <v>857</v>
      </c>
      <c r="M961" t="str">
        <f>VLOOKUP($E961,Customer_Dim!$A$2:$F$501,3,FALSE)</f>
        <v>Female</v>
      </c>
      <c r="N961" t="str">
        <f>VLOOKUP($E961,Customer_Dim!$A$2:$F$501,5,FALSE)</f>
        <v>USA</v>
      </c>
      <c r="O961" t="str">
        <f>VLOOKUP($E961,Customer_Dim!$A$2:$F$501,6,FALSE)</f>
        <v>Silver</v>
      </c>
      <c r="P961" t="str">
        <f>VLOOKUP($A961,Store_Dim!$A$2:$F$21,3,FALSE)</f>
        <v>NorthBensonhaven</v>
      </c>
    </row>
    <row r="962" spans="1:16" hidden="1" x14ac:dyDescent="0.25">
      <c r="A962" t="s">
        <v>835</v>
      </c>
      <c r="B962" t="s">
        <v>1410</v>
      </c>
      <c r="C962" t="s">
        <v>748</v>
      </c>
      <c r="D962" s="2">
        <v>45253</v>
      </c>
      <c r="E962" t="s">
        <v>145</v>
      </c>
      <c r="F962" t="str">
        <f>VLOOKUP($C962,Product_Dim!$A$2:$D$101,3,FALSE)</f>
        <v>Taylor, Dodson and Johnston</v>
      </c>
      <c r="G962" t="str">
        <f>VLOOKUP($C962,Product_Dim!$A$2:$D$101,2,FALSE)</f>
        <v>Home</v>
      </c>
      <c r="H962">
        <v>4</v>
      </c>
      <c r="I962">
        <v>338.73</v>
      </c>
      <c r="J962">
        <v>0.18</v>
      </c>
      <c r="K962" s="3">
        <v>1111.0344</v>
      </c>
      <c r="L962" t="s">
        <v>852</v>
      </c>
      <c r="M962" t="str">
        <f>VLOOKUP($E962,Customer_Dim!$A$2:$F$501,3,FALSE)</f>
        <v>Female</v>
      </c>
      <c r="N962" t="str">
        <f>VLOOKUP($E962,Customer_Dim!$A$2:$F$501,5,FALSE)</f>
        <v>USA</v>
      </c>
      <c r="O962" t="str">
        <f>VLOOKUP($E962,Customer_Dim!$A$2:$F$501,6,FALSE)</f>
        <v>Bronze</v>
      </c>
      <c r="P962" t="str">
        <f>VLOOKUP($A962,Store_Dim!$A$2:$F$21,3,FALSE)</f>
        <v>NorthBensonhaven</v>
      </c>
    </row>
    <row r="963" spans="1:16" x14ac:dyDescent="0.25">
      <c r="A963" t="s">
        <v>835</v>
      </c>
      <c r="B963" t="s">
        <v>2610</v>
      </c>
      <c r="C963" t="s">
        <v>754</v>
      </c>
      <c r="D963" s="2">
        <v>45390</v>
      </c>
      <c r="E963" t="s">
        <v>415</v>
      </c>
      <c r="F963" t="str">
        <f>VLOOKUP($C963,Product_Dim!$A$2:$D$101,3,FALSE)</f>
        <v>Taylor-Elliott</v>
      </c>
      <c r="G963" t="str">
        <f>VLOOKUP($C963,Product_Dim!$A$2:$D$101,2,FALSE)</f>
        <v>Beauty</v>
      </c>
      <c r="H963">
        <v>2</v>
      </c>
      <c r="I963">
        <v>433.07</v>
      </c>
      <c r="J963">
        <v>0.25</v>
      </c>
      <c r="K963" s="3">
        <v>649.60500000000002</v>
      </c>
      <c r="L963" t="s">
        <v>857</v>
      </c>
      <c r="M963" t="str">
        <f>VLOOKUP($E963,Customer_Dim!$A$2:$F$501,3,FALSE)</f>
        <v>Male</v>
      </c>
      <c r="N963" t="str">
        <f>VLOOKUP($E963,Customer_Dim!$A$2:$F$501,5,FALSE)</f>
        <v>USA</v>
      </c>
      <c r="O963" t="str">
        <f>VLOOKUP($E963,Customer_Dim!$A$2:$F$501,6,FALSE)</f>
        <v>Silver</v>
      </c>
      <c r="P963" t="str">
        <f>VLOOKUP($A963,Store_Dim!$A$2:$F$21,3,FALSE)</f>
        <v>NorthBensonhaven</v>
      </c>
    </row>
    <row r="964" spans="1:16" x14ac:dyDescent="0.25">
      <c r="A964" t="s">
        <v>835</v>
      </c>
      <c r="B964" t="s">
        <v>1589</v>
      </c>
      <c r="C964" t="s">
        <v>758</v>
      </c>
      <c r="D964" s="2">
        <v>45453</v>
      </c>
      <c r="E964" t="s">
        <v>422</v>
      </c>
      <c r="F964" t="str">
        <f>VLOOKUP($C964,Product_Dim!$A$2:$D$101,3,FALSE)</f>
        <v>Smith-Charles</v>
      </c>
      <c r="G964" t="str">
        <f>VLOOKUP($C964,Product_Dim!$A$2:$D$101,2,FALSE)</f>
        <v>Clothing</v>
      </c>
      <c r="H964">
        <v>1</v>
      </c>
      <c r="I964">
        <v>230.32</v>
      </c>
      <c r="J964">
        <v>0.05</v>
      </c>
      <c r="K964" s="3">
        <v>218.804</v>
      </c>
      <c r="L964" t="s">
        <v>857</v>
      </c>
      <c r="M964" t="str">
        <f>VLOOKUP($E964,Customer_Dim!$A$2:$F$501,3,FALSE)</f>
        <v>Male</v>
      </c>
      <c r="N964" t="str">
        <f>VLOOKUP($E964,Customer_Dim!$A$2:$F$501,5,FALSE)</f>
        <v>USA</v>
      </c>
      <c r="O964" t="str">
        <f>VLOOKUP($E964,Customer_Dim!$A$2:$F$501,6,FALSE)</f>
        <v>Gold</v>
      </c>
      <c r="P964" t="str">
        <f>VLOOKUP($A964,Store_Dim!$A$2:$F$21,3,FALSE)</f>
        <v>NorthBensonhaven</v>
      </c>
    </row>
    <row r="965" spans="1:16" hidden="1" x14ac:dyDescent="0.25">
      <c r="A965" t="s">
        <v>835</v>
      </c>
      <c r="B965" t="s">
        <v>936</v>
      </c>
      <c r="C965" t="s">
        <v>758</v>
      </c>
      <c r="D965" s="2">
        <v>45518</v>
      </c>
      <c r="E965" t="s">
        <v>445</v>
      </c>
      <c r="F965" t="str">
        <f>VLOOKUP($C965,Product_Dim!$A$2:$D$101,3,FALSE)</f>
        <v>Smith-Charles</v>
      </c>
      <c r="G965" t="str">
        <f>VLOOKUP($C965,Product_Dim!$A$2:$D$101,2,FALSE)</f>
        <v>Clothing</v>
      </c>
      <c r="H965">
        <v>2</v>
      </c>
      <c r="I965">
        <v>601.33000000000004</v>
      </c>
      <c r="J965">
        <v>0.16</v>
      </c>
      <c r="K965" s="3">
        <v>1010.2344000000001</v>
      </c>
      <c r="L965" t="s">
        <v>854</v>
      </c>
      <c r="M965" t="str">
        <f>VLOOKUP($E965,Customer_Dim!$A$2:$F$501,3,FALSE)</f>
        <v>Female</v>
      </c>
      <c r="N965" t="str">
        <f>VLOOKUP($E965,Customer_Dim!$A$2:$F$501,5,FALSE)</f>
        <v>USA</v>
      </c>
      <c r="O965" t="str">
        <f>VLOOKUP($E965,Customer_Dim!$A$2:$F$501,6,FALSE)</f>
        <v>Bronze</v>
      </c>
      <c r="P965" t="str">
        <f>VLOOKUP($A965,Store_Dim!$A$2:$F$21,3,FALSE)</f>
        <v>NorthBensonhaven</v>
      </c>
    </row>
    <row r="966" spans="1:16" x14ac:dyDescent="0.25">
      <c r="A966" t="s">
        <v>835</v>
      </c>
      <c r="B966" t="s">
        <v>1446</v>
      </c>
      <c r="C966" t="s">
        <v>760</v>
      </c>
      <c r="D966" s="2">
        <v>45943</v>
      </c>
      <c r="E966" t="s">
        <v>455</v>
      </c>
      <c r="F966" t="str">
        <f>VLOOKUP($C966,Product_Dim!$A$2:$D$101,3,FALSE)</f>
        <v>Green, Powell and Palmer</v>
      </c>
      <c r="G966" t="str">
        <f>VLOOKUP($C966,Product_Dim!$A$2:$D$101,2,FALSE)</f>
        <v>Home</v>
      </c>
      <c r="H966">
        <v>3</v>
      </c>
      <c r="I966">
        <v>259.74</v>
      </c>
      <c r="J966">
        <v>0.24</v>
      </c>
      <c r="K966" s="3">
        <v>592.20720000000006</v>
      </c>
      <c r="L966" t="s">
        <v>852</v>
      </c>
      <c r="M966" t="str">
        <f>VLOOKUP($E966,Customer_Dim!$A$2:$F$501,3,FALSE)</f>
        <v>Male</v>
      </c>
      <c r="N966" t="str">
        <f>VLOOKUP($E966,Customer_Dim!$A$2:$F$501,5,FALSE)</f>
        <v>USA</v>
      </c>
      <c r="O966" t="str">
        <f>VLOOKUP($E966,Customer_Dim!$A$2:$F$501,6,FALSE)</f>
        <v>Platinum</v>
      </c>
      <c r="P966" t="str">
        <f>VLOOKUP($A966,Store_Dim!$A$2:$F$21,3,FALSE)</f>
        <v>NorthBensonhaven</v>
      </c>
    </row>
    <row r="967" spans="1:16" x14ac:dyDescent="0.25">
      <c r="A967" t="s">
        <v>835</v>
      </c>
      <c r="B967" t="s">
        <v>2589</v>
      </c>
      <c r="C967" t="s">
        <v>762</v>
      </c>
      <c r="D967" s="2">
        <v>45482</v>
      </c>
      <c r="E967" t="s">
        <v>101</v>
      </c>
      <c r="F967" t="str">
        <f>VLOOKUP($C967,Product_Dim!$A$2:$D$101,3,FALSE)</f>
        <v>Martin LLC</v>
      </c>
      <c r="G967" t="str">
        <f>VLOOKUP($C967,Product_Dim!$A$2:$D$101,2,FALSE)</f>
        <v>Electronics</v>
      </c>
      <c r="H967">
        <v>4</v>
      </c>
      <c r="I967">
        <v>825.78</v>
      </c>
      <c r="J967">
        <v>0.02</v>
      </c>
      <c r="K967" s="3">
        <v>3237.0576000000001</v>
      </c>
      <c r="L967" t="s">
        <v>852</v>
      </c>
      <c r="M967" t="str">
        <f>VLOOKUP($E967,Customer_Dim!$A$2:$F$501,3,FALSE)</f>
        <v>Male</v>
      </c>
      <c r="N967" t="str">
        <f>VLOOKUP($E967,Customer_Dim!$A$2:$F$501,5,FALSE)</f>
        <v>USA</v>
      </c>
      <c r="O967" t="str">
        <f>VLOOKUP($E967,Customer_Dim!$A$2:$F$501,6,FALSE)</f>
        <v>Platinum</v>
      </c>
      <c r="P967" t="str">
        <f>VLOOKUP($A967,Store_Dim!$A$2:$F$21,3,FALSE)</f>
        <v>NorthBensonhaven</v>
      </c>
    </row>
    <row r="968" spans="1:16" hidden="1" x14ac:dyDescent="0.25">
      <c r="A968" t="s">
        <v>835</v>
      </c>
      <c r="B968" t="s">
        <v>1670</v>
      </c>
      <c r="C968" t="s">
        <v>764</v>
      </c>
      <c r="D968" s="2">
        <v>45390</v>
      </c>
      <c r="E968" t="s">
        <v>172</v>
      </c>
      <c r="F968" t="str">
        <f>VLOOKUP($C968,Product_Dim!$A$2:$D$101,3,FALSE)</f>
        <v>Hoffman-Williams</v>
      </c>
      <c r="G968" t="str">
        <f>VLOOKUP($C968,Product_Dim!$A$2:$D$101,2,FALSE)</f>
        <v>Beauty</v>
      </c>
      <c r="H968">
        <v>4</v>
      </c>
      <c r="I968">
        <v>212.96</v>
      </c>
      <c r="J968">
        <v>0.17</v>
      </c>
      <c r="K968" s="3">
        <v>707.02719999999999</v>
      </c>
      <c r="L968" t="s">
        <v>852</v>
      </c>
      <c r="M968" t="str">
        <f>VLOOKUP($E968,Customer_Dim!$A$2:$F$501,3,FALSE)</f>
        <v>Female</v>
      </c>
      <c r="N968" t="str">
        <f>VLOOKUP($E968,Customer_Dim!$A$2:$F$501,5,FALSE)</f>
        <v>USA</v>
      </c>
      <c r="O968" t="str">
        <f>VLOOKUP($E968,Customer_Dim!$A$2:$F$501,6,FALSE)</f>
        <v>Gold</v>
      </c>
      <c r="P968" t="str">
        <f>VLOOKUP($A968,Store_Dim!$A$2:$F$21,3,FALSE)</f>
        <v>NorthBensonhaven</v>
      </c>
    </row>
    <row r="969" spans="1:16" hidden="1" x14ac:dyDescent="0.25">
      <c r="A969" t="s">
        <v>835</v>
      </c>
      <c r="B969" t="s">
        <v>2799</v>
      </c>
      <c r="C969" t="s">
        <v>764</v>
      </c>
      <c r="D969" s="2">
        <v>45797</v>
      </c>
      <c r="E969" t="s">
        <v>197</v>
      </c>
      <c r="F969" t="str">
        <f>VLOOKUP($C969,Product_Dim!$A$2:$D$101,3,FALSE)</f>
        <v>Hoffman-Williams</v>
      </c>
      <c r="G969" t="str">
        <f>VLOOKUP($C969,Product_Dim!$A$2:$D$101,2,FALSE)</f>
        <v>Beauty</v>
      </c>
      <c r="H969">
        <v>1</v>
      </c>
      <c r="I969">
        <v>355.31</v>
      </c>
      <c r="J969">
        <v>0.27</v>
      </c>
      <c r="K969" s="3">
        <v>259.37630000000001</v>
      </c>
      <c r="L969" t="s">
        <v>852</v>
      </c>
      <c r="M969" t="str">
        <f>VLOOKUP($E969,Customer_Dim!$A$2:$F$501,3,FALSE)</f>
        <v>Female</v>
      </c>
      <c r="N969" t="str">
        <f>VLOOKUP($E969,Customer_Dim!$A$2:$F$501,5,FALSE)</f>
        <v>USA</v>
      </c>
      <c r="O969" t="str">
        <f>VLOOKUP($E969,Customer_Dim!$A$2:$F$501,6,FALSE)</f>
        <v>Bronze</v>
      </c>
      <c r="P969" t="str">
        <f>VLOOKUP($A969,Store_Dim!$A$2:$F$21,3,FALSE)</f>
        <v>NorthBensonhaven</v>
      </c>
    </row>
    <row r="970" spans="1:16" hidden="1" x14ac:dyDescent="0.25">
      <c r="A970" t="s">
        <v>835</v>
      </c>
      <c r="B970" t="s">
        <v>1701</v>
      </c>
      <c r="C970" t="s">
        <v>766</v>
      </c>
      <c r="D970" s="2">
        <v>45242</v>
      </c>
      <c r="E970" t="s">
        <v>276</v>
      </c>
      <c r="F970" t="str">
        <f>VLOOKUP($C970,Product_Dim!$A$2:$D$101,3,FALSE)</f>
        <v>Wilson Group</v>
      </c>
      <c r="G970" t="str">
        <f>VLOOKUP($C970,Product_Dim!$A$2:$D$101,2,FALSE)</f>
        <v>Sports</v>
      </c>
      <c r="H970">
        <v>1</v>
      </c>
      <c r="I970">
        <v>219.81</v>
      </c>
      <c r="J970">
        <v>0.22</v>
      </c>
      <c r="K970" s="3">
        <v>171.45179999999999</v>
      </c>
      <c r="L970" t="s">
        <v>857</v>
      </c>
      <c r="M970" t="str">
        <f>VLOOKUP($E970,Customer_Dim!$A$2:$F$501,3,FALSE)</f>
        <v>Female</v>
      </c>
      <c r="N970" t="str">
        <f>VLOOKUP($E970,Customer_Dim!$A$2:$F$501,5,FALSE)</f>
        <v>USA</v>
      </c>
      <c r="O970" t="str">
        <f>VLOOKUP($E970,Customer_Dim!$A$2:$F$501,6,FALSE)</f>
        <v>Silver</v>
      </c>
      <c r="P970" t="str">
        <f>VLOOKUP($A970,Store_Dim!$A$2:$F$21,3,FALSE)</f>
        <v>NorthBensonhaven</v>
      </c>
    </row>
    <row r="971" spans="1:16" hidden="1" x14ac:dyDescent="0.25">
      <c r="A971" t="s">
        <v>835</v>
      </c>
      <c r="B971" t="s">
        <v>1573</v>
      </c>
      <c r="C971" t="s">
        <v>766</v>
      </c>
      <c r="D971" s="2">
        <v>45824</v>
      </c>
      <c r="E971" t="s">
        <v>543</v>
      </c>
      <c r="F971" t="str">
        <f>VLOOKUP($C971,Product_Dim!$A$2:$D$101,3,FALSE)</f>
        <v>Wilson Group</v>
      </c>
      <c r="G971" t="str">
        <f>VLOOKUP($C971,Product_Dim!$A$2:$D$101,2,FALSE)</f>
        <v>Sports</v>
      </c>
      <c r="H971">
        <v>4</v>
      </c>
      <c r="I971">
        <v>52.35</v>
      </c>
      <c r="J971">
        <v>0.23</v>
      </c>
      <c r="K971" s="3">
        <v>161.238</v>
      </c>
      <c r="L971" t="s">
        <v>857</v>
      </c>
      <c r="M971" t="str">
        <f>VLOOKUP($E971,Customer_Dim!$A$2:$F$501,3,FALSE)</f>
        <v>Female</v>
      </c>
      <c r="N971" t="str">
        <f>VLOOKUP($E971,Customer_Dim!$A$2:$F$501,5,FALSE)</f>
        <v>USA</v>
      </c>
      <c r="O971" t="str">
        <f>VLOOKUP($E971,Customer_Dim!$A$2:$F$501,6,FALSE)</f>
        <v>Gold</v>
      </c>
      <c r="P971" t="str">
        <f>VLOOKUP($A971,Store_Dim!$A$2:$F$21,3,FALSE)</f>
        <v>NorthBensonhaven</v>
      </c>
    </row>
    <row r="972" spans="1:16" hidden="1" x14ac:dyDescent="0.25">
      <c r="A972" t="s">
        <v>835</v>
      </c>
      <c r="B972" t="s">
        <v>2308</v>
      </c>
      <c r="C972" t="s">
        <v>768</v>
      </c>
      <c r="D972" s="2">
        <v>45533</v>
      </c>
      <c r="E972" t="s">
        <v>418</v>
      </c>
      <c r="F972" t="str">
        <f>VLOOKUP($C972,Product_Dim!$A$2:$D$101,3,FALSE)</f>
        <v>Phillips and Sons</v>
      </c>
      <c r="G972" t="str">
        <f>VLOOKUP($C972,Product_Dim!$A$2:$D$101,2,FALSE)</f>
        <v>Clothing</v>
      </c>
      <c r="H972">
        <v>2</v>
      </c>
      <c r="I972">
        <v>977.18</v>
      </c>
      <c r="J972">
        <v>0.19</v>
      </c>
      <c r="K972" s="3">
        <v>1583.0316</v>
      </c>
      <c r="L972" t="s">
        <v>852</v>
      </c>
      <c r="M972" t="str">
        <f>VLOOKUP($E972,Customer_Dim!$A$2:$F$501,3,FALSE)</f>
        <v>Female</v>
      </c>
      <c r="N972" t="str">
        <f>VLOOKUP($E972,Customer_Dim!$A$2:$F$501,5,FALSE)</f>
        <v>USA</v>
      </c>
      <c r="O972" t="str">
        <f>VLOOKUP($E972,Customer_Dim!$A$2:$F$501,6,FALSE)</f>
        <v>Bronze</v>
      </c>
      <c r="P972" t="str">
        <f>VLOOKUP($A972,Store_Dim!$A$2:$F$21,3,FALSE)</f>
        <v>NorthBensonhaven</v>
      </c>
    </row>
    <row r="973" spans="1:16" x14ac:dyDescent="0.25">
      <c r="A973" t="s">
        <v>835</v>
      </c>
      <c r="B973" t="s">
        <v>919</v>
      </c>
      <c r="C973" t="s">
        <v>774</v>
      </c>
      <c r="D973" s="2">
        <v>45290</v>
      </c>
      <c r="E973" t="s">
        <v>226</v>
      </c>
      <c r="F973" t="str">
        <f>VLOOKUP($C973,Product_Dim!$A$2:$D$101,3,FALSE)</f>
        <v>Campbell Ltd</v>
      </c>
      <c r="G973" t="str">
        <f>VLOOKUP($C973,Product_Dim!$A$2:$D$101,2,FALSE)</f>
        <v>Home</v>
      </c>
      <c r="H973">
        <v>2</v>
      </c>
      <c r="I973">
        <v>856.57</v>
      </c>
      <c r="J973">
        <v>0.24</v>
      </c>
      <c r="K973" s="3">
        <v>1301.9864</v>
      </c>
      <c r="L973" t="s">
        <v>852</v>
      </c>
      <c r="M973" t="str">
        <f>VLOOKUP($E973,Customer_Dim!$A$2:$F$501,3,FALSE)</f>
        <v>Male</v>
      </c>
      <c r="N973" t="str">
        <f>VLOOKUP($E973,Customer_Dim!$A$2:$F$501,5,FALSE)</f>
        <v>USA</v>
      </c>
      <c r="O973" t="str">
        <f>VLOOKUP($E973,Customer_Dim!$A$2:$F$501,6,FALSE)</f>
        <v>Silver</v>
      </c>
      <c r="P973" t="str">
        <f>VLOOKUP($A973,Store_Dim!$A$2:$F$21,3,FALSE)</f>
        <v>NorthBensonhaven</v>
      </c>
    </row>
    <row r="974" spans="1:16" x14ac:dyDescent="0.25">
      <c r="A974" t="s">
        <v>835</v>
      </c>
      <c r="B974" t="s">
        <v>1266</v>
      </c>
      <c r="C974" t="s">
        <v>774</v>
      </c>
      <c r="D974" s="2">
        <v>45518</v>
      </c>
      <c r="E974" t="s">
        <v>546</v>
      </c>
      <c r="F974" t="str">
        <f>VLOOKUP($C974,Product_Dim!$A$2:$D$101,3,FALSE)</f>
        <v>Campbell Ltd</v>
      </c>
      <c r="G974" t="str">
        <f>VLOOKUP($C974,Product_Dim!$A$2:$D$101,2,FALSE)</f>
        <v>Home</v>
      </c>
      <c r="H974">
        <v>3</v>
      </c>
      <c r="I974">
        <v>507.33</v>
      </c>
      <c r="J974">
        <v>0.06</v>
      </c>
      <c r="K974" s="3">
        <v>1430.6705999999999</v>
      </c>
      <c r="L974" t="s">
        <v>854</v>
      </c>
      <c r="M974" t="str">
        <f>VLOOKUP($E974,Customer_Dim!$A$2:$F$501,3,FALSE)</f>
        <v>Male</v>
      </c>
      <c r="N974" t="str">
        <f>VLOOKUP($E974,Customer_Dim!$A$2:$F$501,5,FALSE)</f>
        <v>USA</v>
      </c>
      <c r="O974" t="str">
        <f>VLOOKUP($E974,Customer_Dim!$A$2:$F$501,6,FALSE)</f>
        <v>Bronze</v>
      </c>
      <c r="P974" t="str">
        <f>VLOOKUP($A974,Store_Dim!$A$2:$F$21,3,FALSE)</f>
        <v>NorthBensonhaven</v>
      </c>
    </row>
    <row r="975" spans="1:16" x14ac:dyDescent="0.25">
      <c r="A975" t="s">
        <v>838</v>
      </c>
      <c r="B975" t="s">
        <v>2457</v>
      </c>
      <c r="C975" t="s">
        <v>596</v>
      </c>
      <c r="D975" s="2">
        <v>45224</v>
      </c>
      <c r="E975" t="s">
        <v>184</v>
      </c>
      <c r="F975" t="str">
        <f>VLOOKUP($C975,Product_Dim!$A$2:$D$101,3,FALSE)</f>
        <v>Hamilton Group</v>
      </c>
      <c r="G975" t="str">
        <f>VLOOKUP($C975,Product_Dim!$A$2:$D$101,2,FALSE)</f>
        <v>Home</v>
      </c>
      <c r="H975">
        <v>2</v>
      </c>
      <c r="I975">
        <v>635.39</v>
      </c>
      <c r="J975">
        <v>0.28999999999999998</v>
      </c>
      <c r="K975" s="3">
        <v>902.25379999999996</v>
      </c>
      <c r="L975" t="s">
        <v>857</v>
      </c>
      <c r="M975" t="str">
        <f>VLOOKUP($E975,Customer_Dim!$A$2:$F$501,3,FALSE)</f>
        <v>Male</v>
      </c>
      <c r="N975" t="str">
        <f>VLOOKUP($E975,Customer_Dim!$A$2:$F$501,5,FALSE)</f>
        <v>USA</v>
      </c>
      <c r="O975" t="str">
        <f>VLOOKUP($E975,Customer_Dim!$A$2:$F$501,6,FALSE)</f>
        <v>Platinum</v>
      </c>
      <c r="P975" t="str">
        <f>VLOOKUP($A975,Store_Dim!$A$2:$F$21,3,FALSE)</f>
        <v>EastEast Stevechester</v>
      </c>
    </row>
    <row r="976" spans="1:16" x14ac:dyDescent="0.25">
      <c r="A976" t="s">
        <v>838</v>
      </c>
      <c r="B976" t="s">
        <v>1205</v>
      </c>
      <c r="C976" t="s">
        <v>600</v>
      </c>
      <c r="D976" s="2">
        <v>45621</v>
      </c>
      <c r="E976" t="s">
        <v>279</v>
      </c>
      <c r="F976" t="str">
        <f>VLOOKUP($C976,Product_Dim!$A$2:$D$101,3,FALSE)</f>
        <v>Rice LLC</v>
      </c>
      <c r="G976" t="str">
        <f>VLOOKUP($C976,Product_Dim!$A$2:$D$101,2,FALSE)</f>
        <v>Beauty</v>
      </c>
      <c r="H976">
        <v>3</v>
      </c>
      <c r="I976">
        <v>877.71</v>
      </c>
      <c r="J976">
        <v>0.12</v>
      </c>
      <c r="K976" s="3">
        <v>2317.1543999999999</v>
      </c>
      <c r="L976" t="s">
        <v>854</v>
      </c>
      <c r="M976" t="str">
        <f>VLOOKUP($E976,Customer_Dim!$A$2:$F$501,3,FALSE)</f>
        <v>Male</v>
      </c>
      <c r="N976" t="str">
        <f>VLOOKUP($E976,Customer_Dim!$A$2:$F$501,5,FALSE)</f>
        <v>USA</v>
      </c>
      <c r="O976" t="str">
        <f>VLOOKUP($E976,Customer_Dim!$A$2:$F$501,6,FALSE)</f>
        <v>Gold</v>
      </c>
      <c r="P976" t="str">
        <f>VLOOKUP($A976,Store_Dim!$A$2:$F$21,3,FALSE)</f>
        <v>EastEast Stevechester</v>
      </c>
    </row>
    <row r="977" spans="1:16" hidden="1" x14ac:dyDescent="0.25">
      <c r="A977" t="s">
        <v>838</v>
      </c>
      <c r="B977" t="s">
        <v>1469</v>
      </c>
      <c r="C977" t="s">
        <v>600</v>
      </c>
      <c r="D977" s="2">
        <v>45524</v>
      </c>
      <c r="E977" t="s">
        <v>294</v>
      </c>
      <c r="F977" t="str">
        <f>VLOOKUP($C977,Product_Dim!$A$2:$D$101,3,FALSE)</f>
        <v>Rice LLC</v>
      </c>
      <c r="G977" t="str">
        <f>VLOOKUP($C977,Product_Dim!$A$2:$D$101,2,FALSE)</f>
        <v>Beauty</v>
      </c>
      <c r="H977">
        <v>4</v>
      </c>
      <c r="I977">
        <v>705.64</v>
      </c>
      <c r="J977">
        <v>0.11</v>
      </c>
      <c r="K977" s="3">
        <v>2512.0783999999999</v>
      </c>
      <c r="L977" t="s">
        <v>854</v>
      </c>
      <c r="M977" t="str">
        <f>VLOOKUP($E977,Customer_Dim!$A$2:$F$501,3,FALSE)</f>
        <v>Female</v>
      </c>
      <c r="N977" t="str">
        <f>VLOOKUP($E977,Customer_Dim!$A$2:$F$501,5,FALSE)</f>
        <v>USA</v>
      </c>
      <c r="O977" t="str">
        <f>VLOOKUP($E977,Customer_Dim!$A$2:$F$501,6,FALSE)</f>
        <v>Gold</v>
      </c>
      <c r="P977" t="str">
        <f>VLOOKUP($A977,Store_Dim!$A$2:$F$21,3,FALSE)</f>
        <v>EastEast Stevechester</v>
      </c>
    </row>
    <row r="978" spans="1:16" x14ac:dyDescent="0.25">
      <c r="A978" t="s">
        <v>838</v>
      </c>
      <c r="B978" t="s">
        <v>2326</v>
      </c>
      <c r="C978" t="s">
        <v>600</v>
      </c>
      <c r="D978" s="2">
        <v>45288</v>
      </c>
      <c r="E978" t="s">
        <v>329</v>
      </c>
      <c r="F978" t="str">
        <f>VLOOKUP($C978,Product_Dim!$A$2:$D$101,3,FALSE)</f>
        <v>Rice LLC</v>
      </c>
      <c r="G978" t="str">
        <f>VLOOKUP($C978,Product_Dim!$A$2:$D$101,2,FALSE)</f>
        <v>Beauty</v>
      </c>
      <c r="H978">
        <v>4</v>
      </c>
      <c r="I978">
        <v>700.98</v>
      </c>
      <c r="J978">
        <v>0.12</v>
      </c>
      <c r="K978" s="3">
        <v>2467.4495999999999</v>
      </c>
      <c r="L978" t="s">
        <v>854</v>
      </c>
      <c r="M978" t="str">
        <f>VLOOKUP($E978,Customer_Dim!$A$2:$F$501,3,FALSE)</f>
        <v>Male</v>
      </c>
      <c r="N978" t="str">
        <f>VLOOKUP($E978,Customer_Dim!$A$2:$F$501,5,FALSE)</f>
        <v>USA</v>
      </c>
      <c r="O978" t="str">
        <f>VLOOKUP($E978,Customer_Dim!$A$2:$F$501,6,FALSE)</f>
        <v>Bronze</v>
      </c>
      <c r="P978" t="str">
        <f>VLOOKUP($A978,Store_Dim!$A$2:$F$21,3,FALSE)</f>
        <v>EastEast Stevechester</v>
      </c>
    </row>
    <row r="979" spans="1:16" x14ac:dyDescent="0.25">
      <c r="A979" t="s">
        <v>838</v>
      </c>
      <c r="B979" t="s">
        <v>2413</v>
      </c>
      <c r="C979" t="s">
        <v>600</v>
      </c>
      <c r="D979" s="2">
        <v>45539</v>
      </c>
      <c r="E979" t="s">
        <v>423</v>
      </c>
      <c r="F979" t="str">
        <f>VLOOKUP($C979,Product_Dim!$A$2:$D$101,3,FALSE)</f>
        <v>Rice LLC</v>
      </c>
      <c r="G979" t="str">
        <f>VLOOKUP($C979,Product_Dim!$A$2:$D$101,2,FALSE)</f>
        <v>Beauty</v>
      </c>
      <c r="H979">
        <v>1</v>
      </c>
      <c r="I979">
        <v>548.15</v>
      </c>
      <c r="J979">
        <v>0.11</v>
      </c>
      <c r="K979" s="3">
        <v>487.8535</v>
      </c>
      <c r="L979" t="s">
        <v>852</v>
      </c>
      <c r="M979" t="str">
        <f>VLOOKUP($E979,Customer_Dim!$A$2:$F$501,3,FALSE)</f>
        <v>Male</v>
      </c>
      <c r="N979" t="str">
        <f>VLOOKUP($E979,Customer_Dim!$A$2:$F$501,5,FALSE)</f>
        <v>USA</v>
      </c>
      <c r="O979" t="str">
        <f>VLOOKUP($E979,Customer_Dim!$A$2:$F$501,6,FALSE)</f>
        <v>Bronze</v>
      </c>
      <c r="P979" t="str">
        <f>VLOOKUP($A979,Store_Dim!$A$2:$F$21,3,FALSE)</f>
        <v>EastEast Stevechester</v>
      </c>
    </row>
    <row r="980" spans="1:16" hidden="1" x14ac:dyDescent="0.25">
      <c r="A980" t="s">
        <v>838</v>
      </c>
      <c r="B980" t="s">
        <v>2278</v>
      </c>
      <c r="C980" t="s">
        <v>602</v>
      </c>
      <c r="D980" s="2">
        <v>45664</v>
      </c>
      <c r="E980" t="s">
        <v>28</v>
      </c>
      <c r="F980" t="str">
        <f>VLOOKUP($C980,Product_Dim!$A$2:$D$101,3,FALSE)</f>
        <v>Dawson-Perkins</v>
      </c>
      <c r="G980" t="str">
        <f>VLOOKUP($C980,Product_Dim!$A$2:$D$101,2,FALSE)</f>
        <v>Electronics</v>
      </c>
      <c r="H980">
        <v>1</v>
      </c>
      <c r="I980">
        <v>350.58</v>
      </c>
      <c r="J980">
        <v>0.03</v>
      </c>
      <c r="K980" s="3">
        <v>340.06259999999997</v>
      </c>
      <c r="L980" t="s">
        <v>857</v>
      </c>
      <c r="M980" t="str">
        <f>VLOOKUP($E980,Customer_Dim!$A$2:$F$501,3,FALSE)</f>
        <v>Female</v>
      </c>
      <c r="N980" t="str">
        <f>VLOOKUP($E980,Customer_Dim!$A$2:$F$501,5,FALSE)</f>
        <v>USA</v>
      </c>
      <c r="O980" t="str">
        <f>VLOOKUP($E980,Customer_Dim!$A$2:$F$501,6,FALSE)</f>
        <v>Bronze</v>
      </c>
      <c r="P980" t="str">
        <f>VLOOKUP($A980,Store_Dim!$A$2:$F$21,3,FALSE)</f>
        <v>EastEast Stevechester</v>
      </c>
    </row>
    <row r="981" spans="1:16" hidden="1" x14ac:dyDescent="0.25">
      <c r="A981" t="s">
        <v>838</v>
      </c>
      <c r="B981" t="s">
        <v>1706</v>
      </c>
      <c r="C981" t="s">
        <v>602</v>
      </c>
      <c r="D981" s="2">
        <v>45700</v>
      </c>
      <c r="E981" t="s">
        <v>325</v>
      </c>
      <c r="F981" t="str">
        <f>VLOOKUP($C981,Product_Dim!$A$2:$D$101,3,FALSE)</f>
        <v>Dawson-Perkins</v>
      </c>
      <c r="G981" t="str">
        <f>VLOOKUP($C981,Product_Dim!$A$2:$D$101,2,FALSE)</f>
        <v>Electronics</v>
      </c>
      <c r="H981">
        <v>4</v>
      </c>
      <c r="I981">
        <v>266.98</v>
      </c>
      <c r="J981">
        <v>0.16</v>
      </c>
      <c r="K981" s="3">
        <v>897.05280000000005</v>
      </c>
      <c r="L981" t="s">
        <v>852</v>
      </c>
      <c r="M981" t="str">
        <f>VLOOKUP($E981,Customer_Dim!$A$2:$F$501,3,FALSE)</f>
        <v>Female</v>
      </c>
      <c r="N981" t="str">
        <f>VLOOKUP($E981,Customer_Dim!$A$2:$F$501,5,FALSE)</f>
        <v>USA</v>
      </c>
      <c r="O981" t="str">
        <f>VLOOKUP($E981,Customer_Dim!$A$2:$F$501,6,FALSE)</f>
        <v>Silver</v>
      </c>
      <c r="P981" t="str">
        <f>VLOOKUP($A981,Store_Dim!$A$2:$F$21,3,FALSE)</f>
        <v>EastEast Stevechester</v>
      </c>
    </row>
    <row r="982" spans="1:16" x14ac:dyDescent="0.25">
      <c r="A982" t="s">
        <v>838</v>
      </c>
      <c r="B982" t="s">
        <v>1551</v>
      </c>
      <c r="C982" t="s">
        <v>606</v>
      </c>
      <c r="D982" s="2">
        <v>45832</v>
      </c>
      <c r="E982" t="s">
        <v>203</v>
      </c>
      <c r="F982" t="str">
        <f>VLOOKUP($C982,Product_Dim!$A$2:$D$101,3,FALSE)</f>
        <v>Thomas LLC</v>
      </c>
      <c r="G982" t="str">
        <f>VLOOKUP($C982,Product_Dim!$A$2:$D$101,2,FALSE)</f>
        <v>Electronics</v>
      </c>
      <c r="H982">
        <v>2</v>
      </c>
      <c r="I982">
        <v>669.12</v>
      </c>
      <c r="J982">
        <v>0.22</v>
      </c>
      <c r="K982" s="3">
        <v>1043.8271999999999</v>
      </c>
      <c r="L982" t="s">
        <v>852</v>
      </c>
      <c r="M982" t="str">
        <f>VLOOKUP($E982,Customer_Dim!$A$2:$F$501,3,FALSE)</f>
        <v>Male</v>
      </c>
      <c r="N982" t="str">
        <f>VLOOKUP($E982,Customer_Dim!$A$2:$F$501,5,FALSE)</f>
        <v>USA</v>
      </c>
      <c r="O982" t="str">
        <f>VLOOKUP($E982,Customer_Dim!$A$2:$F$501,6,FALSE)</f>
        <v>Bronze</v>
      </c>
      <c r="P982" t="str">
        <f>VLOOKUP($A982,Store_Dim!$A$2:$F$21,3,FALSE)</f>
        <v>EastEast Stevechester</v>
      </c>
    </row>
    <row r="983" spans="1:16" hidden="1" x14ac:dyDescent="0.25">
      <c r="A983" t="s">
        <v>838</v>
      </c>
      <c r="B983" t="s">
        <v>2057</v>
      </c>
      <c r="C983" t="s">
        <v>606</v>
      </c>
      <c r="D983" s="2">
        <v>45797</v>
      </c>
      <c r="E983" t="s">
        <v>445</v>
      </c>
      <c r="F983" t="str">
        <f>VLOOKUP($C983,Product_Dim!$A$2:$D$101,3,FALSE)</f>
        <v>Thomas LLC</v>
      </c>
      <c r="G983" t="str">
        <f>VLOOKUP($C983,Product_Dim!$A$2:$D$101,2,FALSE)</f>
        <v>Electronics</v>
      </c>
      <c r="H983">
        <v>3</v>
      </c>
      <c r="I983">
        <v>197.93</v>
      </c>
      <c r="J983">
        <v>0</v>
      </c>
      <c r="K983" s="3">
        <v>593.79</v>
      </c>
      <c r="L983" t="s">
        <v>857</v>
      </c>
      <c r="M983" t="str">
        <f>VLOOKUP($E983,Customer_Dim!$A$2:$F$501,3,FALSE)</f>
        <v>Female</v>
      </c>
      <c r="N983" t="str">
        <f>VLOOKUP($E983,Customer_Dim!$A$2:$F$501,5,FALSE)</f>
        <v>USA</v>
      </c>
      <c r="O983" t="str">
        <f>VLOOKUP($E983,Customer_Dim!$A$2:$F$501,6,FALSE)</f>
        <v>Bronze</v>
      </c>
      <c r="P983" t="str">
        <f>VLOOKUP($A983,Store_Dim!$A$2:$F$21,3,FALSE)</f>
        <v>EastEast Stevechester</v>
      </c>
    </row>
    <row r="984" spans="1:16" hidden="1" x14ac:dyDescent="0.25">
      <c r="A984" t="s">
        <v>838</v>
      </c>
      <c r="B984" t="s">
        <v>1074</v>
      </c>
      <c r="C984" t="s">
        <v>608</v>
      </c>
      <c r="D984" s="2">
        <v>45754</v>
      </c>
      <c r="E984" t="s">
        <v>130</v>
      </c>
      <c r="F984" t="str">
        <f>VLOOKUP($C984,Product_Dim!$A$2:$D$101,3,FALSE)</f>
        <v>Erickson-Green</v>
      </c>
      <c r="G984" t="str">
        <f>VLOOKUP($C984,Product_Dim!$A$2:$D$101,2,FALSE)</f>
        <v>Beauty</v>
      </c>
      <c r="H984">
        <v>3</v>
      </c>
      <c r="I984">
        <v>434.55</v>
      </c>
      <c r="J984">
        <v>0.08</v>
      </c>
      <c r="K984" s="3">
        <v>1199.3579999999999</v>
      </c>
      <c r="L984" t="s">
        <v>857</v>
      </c>
      <c r="M984" t="str">
        <f>VLOOKUP($E984,Customer_Dim!$A$2:$F$501,3,FALSE)</f>
        <v>Female</v>
      </c>
      <c r="N984" t="str">
        <f>VLOOKUP($E984,Customer_Dim!$A$2:$F$501,5,FALSE)</f>
        <v>USA</v>
      </c>
      <c r="O984" t="str">
        <f>VLOOKUP($E984,Customer_Dim!$A$2:$F$501,6,FALSE)</f>
        <v>Gold</v>
      </c>
      <c r="P984" t="str">
        <f>VLOOKUP($A984,Store_Dim!$A$2:$F$21,3,FALSE)</f>
        <v>EastEast Stevechester</v>
      </c>
    </row>
    <row r="985" spans="1:16" x14ac:dyDescent="0.25">
      <c r="A985" t="s">
        <v>838</v>
      </c>
      <c r="B985" t="s">
        <v>937</v>
      </c>
      <c r="C985" t="s">
        <v>610</v>
      </c>
      <c r="D985" s="2">
        <v>45427</v>
      </c>
      <c r="E985" t="s">
        <v>470</v>
      </c>
      <c r="F985" t="str">
        <f>VLOOKUP($C985,Product_Dim!$A$2:$D$101,3,FALSE)</f>
        <v>Ford, Murphy and Wilson</v>
      </c>
      <c r="G985" t="str">
        <f>VLOOKUP($C985,Product_Dim!$A$2:$D$101,2,FALSE)</f>
        <v>Sports</v>
      </c>
      <c r="H985">
        <v>4</v>
      </c>
      <c r="I985">
        <v>34.39</v>
      </c>
      <c r="J985">
        <v>0.03</v>
      </c>
      <c r="K985" s="3">
        <v>133.4332</v>
      </c>
      <c r="L985" t="s">
        <v>854</v>
      </c>
      <c r="M985" t="str">
        <f>VLOOKUP($E985,Customer_Dim!$A$2:$F$501,3,FALSE)</f>
        <v>Male</v>
      </c>
      <c r="N985" t="str">
        <f>VLOOKUP($E985,Customer_Dim!$A$2:$F$501,5,FALSE)</f>
        <v>USA</v>
      </c>
      <c r="O985" t="str">
        <f>VLOOKUP($E985,Customer_Dim!$A$2:$F$501,6,FALSE)</f>
        <v>Bronze</v>
      </c>
      <c r="P985" t="str">
        <f>VLOOKUP($A985,Store_Dim!$A$2:$F$21,3,FALSE)</f>
        <v>EastEast Stevechester</v>
      </c>
    </row>
    <row r="986" spans="1:16" hidden="1" x14ac:dyDescent="0.25">
      <c r="A986" t="s">
        <v>838</v>
      </c>
      <c r="B986" t="s">
        <v>2551</v>
      </c>
      <c r="C986" t="s">
        <v>612</v>
      </c>
      <c r="D986" s="2">
        <v>45322</v>
      </c>
      <c r="E986" t="s">
        <v>77</v>
      </c>
      <c r="F986" t="str">
        <f>VLOOKUP($C986,Product_Dim!$A$2:$D$101,3,FALSE)</f>
        <v>Guerra-Hendrix</v>
      </c>
      <c r="G986" t="str">
        <f>VLOOKUP($C986,Product_Dim!$A$2:$D$101,2,FALSE)</f>
        <v>Clothing</v>
      </c>
      <c r="H986">
        <v>1</v>
      </c>
      <c r="I986">
        <v>235.28</v>
      </c>
      <c r="J986">
        <v>0.05</v>
      </c>
      <c r="K986" s="3">
        <v>223.51599999999999</v>
      </c>
      <c r="L986" t="s">
        <v>854</v>
      </c>
      <c r="M986" t="str">
        <f>VLOOKUP($E986,Customer_Dim!$A$2:$F$501,3,FALSE)</f>
        <v>Female</v>
      </c>
      <c r="N986" t="str">
        <f>VLOOKUP($E986,Customer_Dim!$A$2:$F$501,5,FALSE)</f>
        <v>USA</v>
      </c>
      <c r="O986" t="str">
        <f>VLOOKUP($E986,Customer_Dim!$A$2:$F$501,6,FALSE)</f>
        <v>UNKNOWN</v>
      </c>
      <c r="P986" t="str">
        <f>VLOOKUP($A986,Store_Dim!$A$2:$F$21,3,FALSE)</f>
        <v>EastEast Stevechester</v>
      </c>
    </row>
    <row r="987" spans="1:16" x14ac:dyDescent="0.25">
      <c r="A987" t="s">
        <v>838</v>
      </c>
      <c r="B987" t="s">
        <v>1444</v>
      </c>
      <c r="C987" t="s">
        <v>614</v>
      </c>
      <c r="D987" s="2">
        <v>45702</v>
      </c>
      <c r="E987" t="s">
        <v>202</v>
      </c>
      <c r="F987" t="str">
        <f>VLOOKUP($C987,Product_Dim!$A$2:$D$101,3,FALSE)</f>
        <v>May-Reese</v>
      </c>
      <c r="G987" t="str">
        <f>VLOOKUP($C987,Product_Dim!$A$2:$D$101,2,FALSE)</f>
        <v>Sports</v>
      </c>
      <c r="H987">
        <v>4</v>
      </c>
      <c r="I987">
        <v>573.37</v>
      </c>
      <c r="J987">
        <v>0.04</v>
      </c>
      <c r="K987" s="3">
        <v>2201.7408</v>
      </c>
      <c r="L987" t="s">
        <v>857</v>
      </c>
      <c r="M987" t="str">
        <f>VLOOKUP($E987,Customer_Dim!$A$2:$F$501,3,FALSE)</f>
        <v>Male</v>
      </c>
      <c r="N987" t="str">
        <f>VLOOKUP($E987,Customer_Dim!$A$2:$F$501,5,FALSE)</f>
        <v>USA</v>
      </c>
      <c r="O987" t="str">
        <f>VLOOKUP($E987,Customer_Dim!$A$2:$F$501,6,FALSE)</f>
        <v>Gold</v>
      </c>
      <c r="P987" t="str">
        <f>VLOOKUP($A987,Store_Dim!$A$2:$F$21,3,FALSE)</f>
        <v>EastEast Stevechester</v>
      </c>
    </row>
    <row r="988" spans="1:16" hidden="1" x14ac:dyDescent="0.25">
      <c r="A988" t="s">
        <v>838</v>
      </c>
      <c r="B988" t="s">
        <v>960</v>
      </c>
      <c r="C988" t="s">
        <v>614</v>
      </c>
      <c r="D988" s="2">
        <v>45891</v>
      </c>
      <c r="E988" t="s">
        <v>336</v>
      </c>
      <c r="F988" t="str">
        <f>VLOOKUP($C988,Product_Dim!$A$2:$D$101,3,FALSE)</f>
        <v>May-Reese</v>
      </c>
      <c r="G988" t="str">
        <f>VLOOKUP($C988,Product_Dim!$A$2:$D$101,2,FALSE)</f>
        <v>Sports</v>
      </c>
      <c r="H988">
        <v>3</v>
      </c>
      <c r="I988">
        <v>551.72</v>
      </c>
      <c r="J988">
        <v>0.03</v>
      </c>
      <c r="K988" s="3">
        <v>1605.5052000000001</v>
      </c>
      <c r="L988" t="s">
        <v>857</v>
      </c>
      <c r="M988" t="str">
        <f>VLOOKUP($E988,Customer_Dim!$A$2:$F$501,3,FALSE)</f>
        <v>Female</v>
      </c>
      <c r="N988" t="str">
        <f>VLOOKUP($E988,Customer_Dim!$A$2:$F$501,5,FALSE)</f>
        <v>USA</v>
      </c>
      <c r="O988" t="str">
        <f>VLOOKUP($E988,Customer_Dim!$A$2:$F$501,6,FALSE)</f>
        <v>Silver</v>
      </c>
      <c r="P988" t="str">
        <f>VLOOKUP($A988,Store_Dim!$A$2:$F$21,3,FALSE)</f>
        <v>EastEast Stevechester</v>
      </c>
    </row>
    <row r="989" spans="1:16" hidden="1" x14ac:dyDescent="0.25">
      <c r="A989" t="s">
        <v>838</v>
      </c>
      <c r="B989" t="s">
        <v>2080</v>
      </c>
      <c r="C989" t="s">
        <v>614</v>
      </c>
      <c r="D989" s="2">
        <v>45345</v>
      </c>
      <c r="E989" t="s">
        <v>390</v>
      </c>
      <c r="F989" t="str">
        <f>VLOOKUP($C989,Product_Dim!$A$2:$D$101,3,FALSE)</f>
        <v>May-Reese</v>
      </c>
      <c r="G989" t="str">
        <f>VLOOKUP($C989,Product_Dim!$A$2:$D$101,2,FALSE)</f>
        <v>Sports</v>
      </c>
      <c r="H989">
        <v>3</v>
      </c>
      <c r="I989">
        <v>726.97</v>
      </c>
      <c r="J989">
        <v>0.04</v>
      </c>
      <c r="K989" s="3">
        <v>2093.6736000000001</v>
      </c>
      <c r="L989" t="s">
        <v>854</v>
      </c>
      <c r="M989" t="str">
        <f>VLOOKUP($E989,Customer_Dim!$A$2:$F$501,3,FALSE)</f>
        <v>Female</v>
      </c>
      <c r="N989" t="str">
        <f>VLOOKUP($E989,Customer_Dim!$A$2:$F$501,5,FALSE)</f>
        <v>USA</v>
      </c>
      <c r="O989" t="str">
        <f>VLOOKUP($E989,Customer_Dim!$A$2:$F$501,6,FALSE)</f>
        <v>Platinum</v>
      </c>
      <c r="P989" t="str">
        <f>VLOOKUP($A989,Store_Dim!$A$2:$F$21,3,FALSE)</f>
        <v>EastEast Stevechester</v>
      </c>
    </row>
    <row r="990" spans="1:16" x14ac:dyDescent="0.25">
      <c r="A990" t="s">
        <v>838</v>
      </c>
      <c r="B990" t="s">
        <v>1683</v>
      </c>
      <c r="C990" t="s">
        <v>616</v>
      </c>
      <c r="D990" s="2">
        <v>45760</v>
      </c>
      <c r="E990" t="s">
        <v>148</v>
      </c>
      <c r="F990" t="str">
        <f>VLOOKUP($C990,Product_Dim!$A$2:$D$101,3,FALSE)</f>
        <v>Soto-Ellis</v>
      </c>
      <c r="G990" t="str">
        <f>VLOOKUP($C990,Product_Dim!$A$2:$D$101,2,FALSE)</f>
        <v>Sports</v>
      </c>
      <c r="H990">
        <v>1</v>
      </c>
      <c r="I990">
        <v>27.83</v>
      </c>
      <c r="J990">
        <v>0.3</v>
      </c>
      <c r="K990" s="3">
        <v>19.481000000000002</v>
      </c>
      <c r="L990" t="s">
        <v>854</v>
      </c>
      <c r="M990" t="str">
        <f>VLOOKUP($E990,Customer_Dim!$A$2:$F$501,3,FALSE)</f>
        <v>Male</v>
      </c>
      <c r="N990" t="str">
        <f>VLOOKUP($E990,Customer_Dim!$A$2:$F$501,5,FALSE)</f>
        <v>USA</v>
      </c>
      <c r="O990" t="str">
        <f>VLOOKUP($E990,Customer_Dim!$A$2:$F$501,6,FALSE)</f>
        <v>Platinum</v>
      </c>
      <c r="P990" t="str">
        <f>VLOOKUP($A990,Store_Dim!$A$2:$F$21,3,FALSE)</f>
        <v>EastEast Stevechester</v>
      </c>
    </row>
    <row r="991" spans="1:16" x14ac:dyDescent="0.25">
      <c r="A991" t="s">
        <v>838</v>
      </c>
      <c r="B991" t="s">
        <v>2533</v>
      </c>
      <c r="C991" t="s">
        <v>616</v>
      </c>
      <c r="D991" s="2">
        <v>45237</v>
      </c>
      <c r="E991" t="s">
        <v>313</v>
      </c>
      <c r="F991" t="str">
        <f>VLOOKUP($C991,Product_Dim!$A$2:$D$101,3,FALSE)</f>
        <v>Soto-Ellis</v>
      </c>
      <c r="G991" t="str">
        <f>VLOOKUP($C991,Product_Dim!$A$2:$D$101,2,FALSE)</f>
        <v>Sports</v>
      </c>
      <c r="H991">
        <v>3</v>
      </c>
      <c r="I991">
        <v>94.83</v>
      </c>
      <c r="J991">
        <v>0.16</v>
      </c>
      <c r="K991" s="3">
        <v>238.9716</v>
      </c>
      <c r="L991" t="s">
        <v>857</v>
      </c>
      <c r="M991" t="str">
        <f>VLOOKUP($E991,Customer_Dim!$A$2:$F$501,3,FALSE)</f>
        <v>Male</v>
      </c>
      <c r="N991" t="str">
        <f>VLOOKUP($E991,Customer_Dim!$A$2:$F$501,5,FALSE)</f>
        <v>USA</v>
      </c>
      <c r="O991" t="str">
        <f>VLOOKUP($E991,Customer_Dim!$A$2:$F$501,6,FALSE)</f>
        <v>Platinum</v>
      </c>
      <c r="P991" t="str">
        <f>VLOOKUP($A991,Store_Dim!$A$2:$F$21,3,FALSE)</f>
        <v>EastEast Stevechester</v>
      </c>
    </row>
    <row r="992" spans="1:16" x14ac:dyDescent="0.25">
      <c r="A992" t="s">
        <v>838</v>
      </c>
      <c r="B992" t="s">
        <v>2372</v>
      </c>
      <c r="C992" t="s">
        <v>616</v>
      </c>
      <c r="D992" s="2">
        <v>45658</v>
      </c>
      <c r="E992" t="s">
        <v>361</v>
      </c>
      <c r="F992" t="str">
        <f>VLOOKUP($C992,Product_Dim!$A$2:$D$101,3,FALSE)</f>
        <v>Soto-Ellis</v>
      </c>
      <c r="G992" t="str">
        <f>VLOOKUP($C992,Product_Dim!$A$2:$D$101,2,FALSE)</f>
        <v>Sports</v>
      </c>
      <c r="H992">
        <v>4</v>
      </c>
      <c r="I992">
        <v>558.83000000000004</v>
      </c>
      <c r="J992">
        <v>0.16</v>
      </c>
      <c r="K992" s="3">
        <v>1877.6687999999999</v>
      </c>
      <c r="L992" t="s">
        <v>854</v>
      </c>
      <c r="M992" t="str">
        <f>VLOOKUP($E992,Customer_Dim!$A$2:$F$501,3,FALSE)</f>
        <v>Male</v>
      </c>
      <c r="N992" t="str">
        <f>VLOOKUP($E992,Customer_Dim!$A$2:$F$501,5,FALSE)</f>
        <v>USA</v>
      </c>
      <c r="O992" t="str">
        <f>VLOOKUP($E992,Customer_Dim!$A$2:$F$501,6,FALSE)</f>
        <v>Platinum</v>
      </c>
      <c r="P992" t="str">
        <f>VLOOKUP($A992,Store_Dim!$A$2:$F$21,3,FALSE)</f>
        <v>EastEast Stevechester</v>
      </c>
    </row>
    <row r="993" spans="1:16" x14ac:dyDescent="0.25">
      <c r="A993" t="s">
        <v>838</v>
      </c>
      <c r="B993" t="s">
        <v>2571</v>
      </c>
      <c r="C993" t="s">
        <v>620</v>
      </c>
      <c r="D993" s="2">
        <v>45265</v>
      </c>
      <c r="E993" t="s">
        <v>111</v>
      </c>
      <c r="F993" t="str">
        <f>VLOOKUP($C993,Product_Dim!$A$2:$D$101,3,FALSE)</f>
        <v>Flores, Pineda and Rodriguez</v>
      </c>
      <c r="G993" t="str">
        <f>VLOOKUP($C993,Product_Dim!$A$2:$D$101,2,FALSE)</f>
        <v>Sports</v>
      </c>
      <c r="H993">
        <v>2</v>
      </c>
      <c r="I993">
        <v>761.71</v>
      </c>
      <c r="J993">
        <v>0.02</v>
      </c>
      <c r="K993" s="3">
        <v>1492.9516000000001</v>
      </c>
      <c r="L993" t="s">
        <v>854</v>
      </c>
      <c r="M993" t="str">
        <f>VLOOKUP($E993,Customer_Dim!$A$2:$F$501,3,FALSE)</f>
        <v>Male</v>
      </c>
      <c r="N993" t="str">
        <f>VLOOKUP($E993,Customer_Dim!$A$2:$F$501,5,FALSE)</f>
        <v>USA</v>
      </c>
      <c r="O993" t="str">
        <f>VLOOKUP($E993,Customer_Dim!$A$2:$F$501,6,FALSE)</f>
        <v>Bronze</v>
      </c>
      <c r="P993" t="str">
        <f>VLOOKUP($A993,Store_Dim!$A$2:$F$21,3,FALSE)</f>
        <v>EastEast Stevechester</v>
      </c>
    </row>
    <row r="994" spans="1:16" x14ac:dyDescent="0.25">
      <c r="A994" t="s">
        <v>838</v>
      </c>
      <c r="B994" t="s">
        <v>1224</v>
      </c>
      <c r="C994" t="s">
        <v>620</v>
      </c>
      <c r="D994" s="2">
        <v>45733</v>
      </c>
      <c r="E994" t="s">
        <v>160</v>
      </c>
      <c r="F994" t="str">
        <f>VLOOKUP($C994,Product_Dim!$A$2:$D$101,3,FALSE)</f>
        <v>Flores, Pineda and Rodriguez</v>
      </c>
      <c r="G994" t="str">
        <f>VLOOKUP($C994,Product_Dim!$A$2:$D$101,2,FALSE)</f>
        <v>Sports</v>
      </c>
      <c r="H994">
        <v>1</v>
      </c>
      <c r="I994">
        <v>678.2</v>
      </c>
      <c r="J994">
        <v>0.14000000000000001</v>
      </c>
      <c r="K994" s="3">
        <v>583.25200000000007</v>
      </c>
      <c r="L994" t="s">
        <v>852</v>
      </c>
      <c r="M994" t="str">
        <f>VLOOKUP($E994,Customer_Dim!$A$2:$F$501,3,FALSE)</f>
        <v>Male</v>
      </c>
      <c r="N994" t="str">
        <f>VLOOKUP($E994,Customer_Dim!$A$2:$F$501,5,FALSE)</f>
        <v>USA</v>
      </c>
      <c r="O994" t="str">
        <f>VLOOKUP($E994,Customer_Dim!$A$2:$F$501,6,FALSE)</f>
        <v>Silver</v>
      </c>
      <c r="P994" t="str">
        <f>VLOOKUP($A994,Store_Dim!$A$2:$F$21,3,FALSE)</f>
        <v>EastEast Stevechester</v>
      </c>
    </row>
    <row r="995" spans="1:16" hidden="1" x14ac:dyDescent="0.25">
      <c r="A995" t="s">
        <v>838</v>
      </c>
      <c r="B995" t="s">
        <v>2379</v>
      </c>
      <c r="C995" t="s">
        <v>622</v>
      </c>
      <c r="D995" s="2">
        <v>45296</v>
      </c>
      <c r="E995" t="s">
        <v>363</v>
      </c>
      <c r="F995" t="str">
        <f>VLOOKUP($C995,Product_Dim!$A$2:$D$101,3,FALSE)</f>
        <v>Moon, Mora and Santos</v>
      </c>
      <c r="G995" t="str">
        <f>VLOOKUP($C995,Product_Dim!$A$2:$D$101,2,FALSE)</f>
        <v>Clothing</v>
      </c>
      <c r="H995">
        <v>1</v>
      </c>
      <c r="I995">
        <v>616.82000000000005</v>
      </c>
      <c r="J995">
        <v>0.24</v>
      </c>
      <c r="K995" s="3">
        <v>468.78320000000002</v>
      </c>
      <c r="L995" t="s">
        <v>852</v>
      </c>
      <c r="M995" t="str">
        <f>VLOOKUP($E995,Customer_Dim!$A$2:$F$501,3,FALSE)</f>
        <v>Female</v>
      </c>
      <c r="N995" t="str">
        <f>VLOOKUP($E995,Customer_Dim!$A$2:$F$501,5,FALSE)</f>
        <v>USA</v>
      </c>
      <c r="O995" t="str">
        <f>VLOOKUP($E995,Customer_Dim!$A$2:$F$501,6,FALSE)</f>
        <v>Bronze</v>
      </c>
      <c r="P995" t="str">
        <f>VLOOKUP($A995,Store_Dim!$A$2:$F$21,3,FALSE)</f>
        <v>EastEast Stevechester</v>
      </c>
    </row>
    <row r="996" spans="1:16" hidden="1" x14ac:dyDescent="0.25">
      <c r="A996" t="s">
        <v>838</v>
      </c>
      <c r="B996" t="s">
        <v>2448</v>
      </c>
      <c r="C996" t="s">
        <v>624</v>
      </c>
      <c r="D996" s="2">
        <v>45256</v>
      </c>
      <c r="E996" t="s">
        <v>103</v>
      </c>
      <c r="F996" t="str">
        <f>VLOOKUP($C996,Product_Dim!$A$2:$D$101,3,FALSE)</f>
        <v>Cook Ltd</v>
      </c>
      <c r="G996" t="str">
        <f>VLOOKUP($C996,Product_Dim!$A$2:$D$101,2,FALSE)</f>
        <v>Sports</v>
      </c>
      <c r="H996">
        <v>4</v>
      </c>
      <c r="I996">
        <v>641.45000000000005</v>
      </c>
      <c r="J996">
        <v>0.16</v>
      </c>
      <c r="K996" s="3">
        <v>2155.2719999999999</v>
      </c>
      <c r="L996" t="s">
        <v>857</v>
      </c>
      <c r="M996" t="str">
        <f>VLOOKUP($E996,Customer_Dim!$A$2:$F$501,3,FALSE)</f>
        <v>Female</v>
      </c>
      <c r="N996" t="str">
        <f>VLOOKUP($E996,Customer_Dim!$A$2:$F$501,5,FALSE)</f>
        <v>USA</v>
      </c>
      <c r="O996" t="str">
        <f>VLOOKUP($E996,Customer_Dim!$A$2:$F$501,6,FALSE)</f>
        <v>Bronze</v>
      </c>
      <c r="P996" t="str">
        <f>VLOOKUP($A996,Store_Dim!$A$2:$F$21,3,FALSE)</f>
        <v>EastEast Stevechester</v>
      </c>
    </row>
    <row r="997" spans="1:16" hidden="1" x14ac:dyDescent="0.25">
      <c r="A997" t="s">
        <v>838</v>
      </c>
      <c r="B997" t="s">
        <v>1559</v>
      </c>
      <c r="C997" t="s">
        <v>624</v>
      </c>
      <c r="D997" s="2">
        <v>45803</v>
      </c>
      <c r="E997" t="s">
        <v>215</v>
      </c>
      <c r="F997" t="str">
        <f>VLOOKUP($C997,Product_Dim!$A$2:$D$101,3,FALSE)</f>
        <v>Cook Ltd</v>
      </c>
      <c r="G997" t="str">
        <f>VLOOKUP($C997,Product_Dim!$A$2:$D$101,2,FALSE)</f>
        <v>Sports</v>
      </c>
      <c r="H997">
        <v>4</v>
      </c>
      <c r="I997">
        <v>757.9</v>
      </c>
      <c r="J997">
        <v>0.22</v>
      </c>
      <c r="K997" s="3">
        <v>2364.6480000000001</v>
      </c>
      <c r="L997" t="s">
        <v>854</v>
      </c>
      <c r="M997" t="str">
        <f>VLOOKUP($E997,Customer_Dim!$A$2:$F$501,3,FALSE)</f>
        <v>Female</v>
      </c>
      <c r="N997" t="str">
        <f>VLOOKUP($E997,Customer_Dim!$A$2:$F$501,5,FALSE)</f>
        <v>USA</v>
      </c>
      <c r="O997" t="str">
        <f>VLOOKUP($E997,Customer_Dim!$A$2:$F$501,6,FALSE)</f>
        <v>Gold</v>
      </c>
      <c r="P997" t="str">
        <f>VLOOKUP($A997,Store_Dim!$A$2:$F$21,3,FALSE)</f>
        <v>EastEast Stevechester</v>
      </c>
    </row>
    <row r="998" spans="1:16" x14ac:dyDescent="0.25">
      <c r="A998" t="s">
        <v>838</v>
      </c>
      <c r="B998" t="s">
        <v>2658</v>
      </c>
      <c r="C998" t="s">
        <v>626</v>
      </c>
      <c r="D998" s="2">
        <v>45941</v>
      </c>
      <c r="E998" t="s">
        <v>307</v>
      </c>
      <c r="F998" t="str">
        <f>VLOOKUP($C998,Product_Dim!$A$2:$D$101,3,FALSE)</f>
        <v>Brown and Sons</v>
      </c>
      <c r="G998" t="str">
        <f>VLOOKUP($C998,Product_Dim!$A$2:$D$101,2,FALSE)</f>
        <v>Clothing</v>
      </c>
      <c r="H998">
        <v>1</v>
      </c>
      <c r="I998">
        <v>401.18</v>
      </c>
      <c r="J998">
        <v>0.15</v>
      </c>
      <c r="K998" s="3">
        <v>341.00299999999999</v>
      </c>
      <c r="L998" t="s">
        <v>857</v>
      </c>
      <c r="M998" t="str">
        <f>VLOOKUP($E998,Customer_Dim!$A$2:$F$501,3,FALSE)</f>
        <v>Male</v>
      </c>
      <c r="N998" t="str">
        <f>VLOOKUP($E998,Customer_Dim!$A$2:$F$501,5,FALSE)</f>
        <v>USA</v>
      </c>
      <c r="O998" t="str">
        <f>VLOOKUP($E998,Customer_Dim!$A$2:$F$501,6,FALSE)</f>
        <v>Platinum</v>
      </c>
      <c r="P998" t="str">
        <f>VLOOKUP($A998,Store_Dim!$A$2:$F$21,3,FALSE)</f>
        <v>EastEast Stevechester</v>
      </c>
    </row>
    <row r="999" spans="1:16" x14ac:dyDescent="0.25">
      <c r="A999" t="s">
        <v>838</v>
      </c>
      <c r="B999" t="s">
        <v>2125</v>
      </c>
      <c r="C999" t="s">
        <v>626</v>
      </c>
      <c r="D999" s="2">
        <v>45392</v>
      </c>
      <c r="E999" t="s">
        <v>422</v>
      </c>
      <c r="F999" t="str">
        <f>VLOOKUP($C999,Product_Dim!$A$2:$D$101,3,FALSE)</f>
        <v>Brown and Sons</v>
      </c>
      <c r="G999" t="str">
        <f>VLOOKUP($C999,Product_Dim!$A$2:$D$101,2,FALSE)</f>
        <v>Clothing</v>
      </c>
      <c r="H999">
        <v>3</v>
      </c>
      <c r="I999">
        <v>336.1</v>
      </c>
      <c r="J999">
        <v>0.12</v>
      </c>
      <c r="K999" s="3">
        <v>887.30400000000009</v>
      </c>
      <c r="L999" t="s">
        <v>857</v>
      </c>
      <c r="M999" t="str">
        <f>VLOOKUP($E999,Customer_Dim!$A$2:$F$501,3,FALSE)</f>
        <v>Male</v>
      </c>
      <c r="N999" t="str">
        <f>VLOOKUP($E999,Customer_Dim!$A$2:$F$501,5,FALSE)</f>
        <v>USA</v>
      </c>
      <c r="O999" t="str">
        <f>VLOOKUP($E999,Customer_Dim!$A$2:$F$501,6,FALSE)</f>
        <v>Gold</v>
      </c>
      <c r="P999" t="str">
        <f>VLOOKUP($A999,Store_Dim!$A$2:$F$21,3,FALSE)</f>
        <v>EastEast Stevechester</v>
      </c>
    </row>
    <row r="1000" spans="1:16" hidden="1" x14ac:dyDescent="0.25">
      <c r="A1000" t="s">
        <v>838</v>
      </c>
      <c r="B1000" t="s">
        <v>2167</v>
      </c>
      <c r="C1000" t="s">
        <v>628</v>
      </c>
      <c r="D1000" s="2">
        <v>45906</v>
      </c>
      <c r="E1000" t="s">
        <v>53</v>
      </c>
      <c r="F1000" t="str">
        <f>VLOOKUP($C1000,Product_Dim!$A$2:$D$101,3,FALSE)</f>
        <v>Reed-Schmidt</v>
      </c>
      <c r="G1000" t="str">
        <f>VLOOKUP($C1000,Product_Dim!$A$2:$D$101,2,FALSE)</f>
        <v>Electronics</v>
      </c>
      <c r="H1000">
        <v>1</v>
      </c>
      <c r="I1000">
        <v>179.77</v>
      </c>
      <c r="J1000">
        <v>0.23</v>
      </c>
      <c r="K1000" s="3">
        <v>138.4229</v>
      </c>
      <c r="L1000" t="s">
        <v>857</v>
      </c>
      <c r="M1000" t="str">
        <f>VLOOKUP($E1000,Customer_Dim!$A$2:$F$501,3,FALSE)</f>
        <v>Female</v>
      </c>
      <c r="N1000" t="str">
        <f>VLOOKUP($E1000,Customer_Dim!$A$2:$F$501,5,FALSE)</f>
        <v>USA</v>
      </c>
      <c r="O1000" t="str">
        <f>VLOOKUP($E1000,Customer_Dim!$A$2:$F$501,6,FALSE)</f>
        <v>Gold</v>
      </c>
      <c r="P1000" t="str">
        <f>VLOOKUP($A1000,Store_Dim!$A$2:$F$21,3,FALSE)</f>
        <v>EastEast Stevechester</v>
      </c>
    </row>
    <row r="1001" spans="1:16" hidden="1" x14ac:dyDescent="0.25">
      <c r="A1001" t="s">
        <v>838</v>
      </c>
      <c r="B1001" t="s">
        <v>1324</v>
      </c>
      <c r="C1001" t="s">
        <v>632</v>
      </c>
      <c r="D1001" s="2">
        <v>45912</v>
      </c>
      <c r="E1001" t="s">
        <v>130</v>
      </c>
      <c r="F1001" t="str">
        <f>VLOOKUP($C1001,Product_Dim!$A$2:$D$101,3,FALSE)</f>
        <v>Burns-Hansen</v>
      </c>
      <c r="G1001" t="str">
        <f>VLOOKUP($C1001,Product_Dim!$A$2:$D$101,2,FALSE)</f>
        <v>Sports</v>
      </c>
      <c r="H1001">
        <v>1</v>
      </c>
      <c r="I1001">
        <v>514.19000000000005</v>
      </c>
      <c r="J1001">
        <v>0.2</v>
      </c>
      <c r="K1001" s="3">
        <v>411.35200000000009</v>
      </c>
      <c r="L1001" t="s">
        <v>852</v>
      </c>
      <c r="M1001" t="str">
        <f>VLOOKUP($E1001,Customer_Dim!$A$2:$F$501,3,FALSE)</f>
        <v>Female</v>
      </c>
      <c r="N1001" t="str">
        <f>VLOOKUP($E1001,Customer_Dim!$A$2:$F$501,5,FALSE)</f>
        <v>USA</v>
      </c>
      <c r="O1001" t="str">
        <f>VLOOKUP($E1001,Customer_Dim!$A$2:$F$501,6,FALSE)</f>
        <v>Gold</v>
      </c>
      <c r="P1001" t="str">
        <f>VLOOKUP($A1001,Store_Dim!$A$2:$F$21,3,FALSE)</f>
        <v>EastEast Stevechester</v>
      </c>
    </row>
    <row r="1002" spans="1:16" x14ac:dyDescent="0.25">
      <c r="A1002" t="s">
        <v>838</v>
      </c>
      <c r="B1002" t="s">
        <v>2253</v>
      </c>
      <c r="C1002" t="s">
        <v>634</v>
      </c>
      <c r="D1002" s="2">
        <v>45458</v>
      </c>
      <c r="E1002" t="s">
        <v>177</v>
      </c>
      <c r="F1002" t="str">
        <f>VLOOKUP($C1002,Product_Dim!$A$2:$D$101,3,FALSE)</f>
        <v>Hoffman Group</v>
      </c>
      <c r="G1002" t="str">
        <f>VLOOKUP($C1002,Product_Dim!$A$2:$D$101,2,FALSE)</f>
        <v>Home</v>
      </c>
      <c r="H1002">
        <v>1</v>
      </c>
      <c r="I1002">
        <v>758.54</v>
      </c>
      <c r="J1002">
        <v>0.28999999999999998</v>
      </c>
      <c r="K1002" s="3">
        <v>538.5634</v>
      </c>
      <c r="L1002" t="s">
        <v>854</v>
      </c>
      <c r="M1002" t="str">
        <f>VLOOKUP($E1002,Customer_Dim!$A$2:$F$501,3,FALSE)</f>
        <v>Male</v>
      </c>
      <c r="N1002" t="str">
        <f>VLOOKUP($E1002,Customer_Dim!$A$2:$F$501,5,FALSE)</f>
        <v>USA</v>
      </c>
      <c r="O1002" t="str">
        <f>VLOOKUP($E1002,Customer_Dim!$A$2:$F$501,6,FALSE)</f>
        <v>Bronze</v>
      </c>
      <c r="P1002" t="str">
        <f>VLOOKUP($A1002,Store_Dim!$A$2:$F$21,3,FALSE)</f>
        <v>EastEast Stevechester</v>
      </c>
    </row>
    <row r="1003" spans="1:16" hidden="1" x14ac:dyDescent="0.25">
      <c r="A1003" t="s">
        <v>838</v>
      </c>
      <c r="B1003" t="s">
        <v>2301</v>
      </c>
      <c r="C1003" t="s">
        <v>638</v>
      </c>
      <c r="D1003" s="2">
        <v>45709</v>
      </c>
      <c r="E1003" t="s">
        <v>122</v>
      </c>
      <c r="F1003" t="str">
        <f>VLOOKUP($C1003,Product_Dim!$A$2:$D$101,3,FALSE)</f>
        <v>Nolan-Snow</v>
      </c>
      <c r="G1003" t="str">
        <f>VLOOKUP($C1003,Product_Dim!$A$2:$D$101,2,FALSE)</f>
        <v>Sports</v>
      </c>
      <c r="H1003">
        <v>2</v>
      </c>
      <c r="I1003">
        <v>46.39</v>
      </c>
      <c r="J1003">
        <v>7.0000000000000007E-2</v>
      </c>
      <c r="K1003" s="3">
        <v>86.285399999999996</v>
      </c>
      <c r="L1003" t="s">
        <v>852</v>
      </c>
      <c r="M1003" t="str">
        <f>VLOOKUP($E1003,Customer_Dim!$A$2:$F$501,3,FALSE)</f>
        <v>Female</v>
      </c>
      <c r="N1003" t="str">
        <f>VLOOKUP($E1003,Customer_Dim!$A$2:$F$501,5,FALSE)</f>
        <v>USA</v>
      </c>
      <c r="O1003" t="str">
        <f>VLOOKUP($E1003,Customer_Dim!$A$2:$F$501,6,FALSE)</f>
        <v>Platinum</v>
      </c>
      <c r="P1003" t="str">
        <f>VLOOKUP($A1003,Store_Dim!$A$2:$F$21,3,FALSE)</f>
        <v>EastEast Stevechester</v>
      </c>
    </row>
    <row r="1004" spans="1:16" hidden="1" x14ac:dyDescent="0.25">
      <c r="A1004" t="s">
        <v>838</v>
      </c>
      <c r="B1004" t="s">
        <v>1609</v>
      </c>
      <c r="C1004" t="s">
        <v>638</v>
      </c>
      <c r="D1004" s="2">
        <v>45483</v>
      </c>
      <c r="E1004" t="s">
        <v>390</v>
      </c>
      <c r="F1004" t="str">
        <f>VLOOKUP($C1004,Product_Dim!$A$2:$D$101,3,FALSE)</f>
        <v>Nolan-Snow</v>
      </c>
      <c r="G1004" t="str">
        <f>VLOOKUP($C1004,Product_Dim!$A$2:$D$101,2,FALSE)</f>
        <v>Sports</v>
      </c>
      <c r="H1004">
        <v>2</v>
      </c>
      <c r="I1004">
        <v>671.69</v>
      </c>
      <c r="J1004">
        <v>0.19</v>
      </c>
      <c r="K1004" s="3">
        <v>1088.1378</v>
      </c>
      <c r="L1004" t="s">
        <v>852</v>
      </c>
      <c r="M1004" t="str">
        <f>VLOOKUP($E1004,Customer_Dim!$A$2:$F$501,3,FALSE)</f>
        <v>Female</v>
      </c>
      <c r="N1004" t="str">
        <f>VLOOKUP($E1004,Customer_Dim!$A$2:$F$501,5,FALSE)</f>
        <v>USA</v>
      </c>
      <c r="O1004" t="str">
        <f>VLOOKUP($E1004,Customer_Dim!$A$2:$F$501,6,FALSE)</f>
        <v>Platinum</v>
      </c>
      <c r="P1004" t="str">
        <f>VLOOKUP($A1004,Store_Dim!$A$2:$F$21,3,FALSE)</f>
        <v>EastEast Stevechester</v>
      </c>
    </row>
    <row r="1005" spans="1:16" x14ac:dyDescent="0.25">
      <c r="A1005" t="s">
        <v>838</v>
      </c>
      <c r="B1005" t="s">
        <v>2584</v>
      </c>
      <c r="C1005" t="s">
        <v>638</v>
      </c>
      <c r="D1005" s="2">
        <v>45549</v>
      </c>
      <c r="E1005" t="s">
        <v>545</v>
      </c>
      <c r="F1005" t="str">
        <f>VLOOKUP($C1005,Product_Dim!$A$2:$D$101,3,FALSE)</f>
        <v>Nolan-Snow</v>
      </c>
      <c r="G1005" t="str">
        <f>VLOOKUP($C1005,Product_Dim!$A$2:$D$101,2,FALSE)</f>
        <v>Sports</v>
      </c>
      <c r="H1005">
        <v>2</v>
      </c>
      <c r="I1005">
        <v>695.02</v>
      </c>
      <c r="J1005">
        <v>0.3</v>
      </c>
      <c r="K1005" s="3">
        <v>973.02799999999991</v>
      </c>
      <c r="L1005" t="s">
        <v>857</v>
      </c>
      <c r="M1005" t="str">
        <f>VLOOKUP($E1005,Customer_Dim!$A$2:$F$501,3,FALSE)</f>
        <v>Male</v>
      </c>
      <c r="N1005" t="str">
        <f>VLOOKUP($E1005,Customer_Dim!$A$2:$F$501,5,FALSE)</f>
        <v>USA</v>
      </c>
      <c r="O1005" t="str">
        <f>VLOOKUP($E1005,Customer_Dim!$A$2:$F$501,6,FALSE)</f>
        <v>Gold</v>
      </c>
      <c r="P1005" t="str">
        <f>VLOOKUP($A1005,Store_Dim!$A$2:$F$21,3,FALSE)</f>
        <v>EastEast Stevechester</v>
      </c>
    </row>
    <row r="1006" spans="1:16" x14ac:dyDescent="0.25">
      <c r="A1006" t="s">
        <v>838</v>
      </c>
      <c r="B1006" t="s">
        <v>944</v>
      </c>
      <c r="C1006" t="s">
        <v>642</v>
      </c>
      <c r="D1006" s="2">
        <v>45577</v>
      </c>
      <c r="E1006" t="s">
        <v>34</v>
      </c>
      <c r="F1006" t="str">
        <f>VLOOKUP($C1006,Product_Dim!$A$2:$D$101,3,FALSE)</f>
        <v>Weiss-Watson</v>
      </c>
      <c r="G1006" t="str">
        <f>VLOOKUP($C1006,Product_Dim!$A$2:$D$101,2,FALSE)</f>
        <v>Home</v>
      </c>
      <c r="H1006">
        <v>2</v>
      </c>
      <c r="I1006">
        <v>350.12</v>
      </c>
      <c r="J1006">
        <v>0.12</v>
      </c>
      <c r="K1006" s="3">
        <v>616.21119999999996</v>
      </c>
      <c r="L1006" t="s">
        <v>857</v>
      </c>
      <c r="M1006" t="str">
        <f>VLOOKUP($E1006,Customer_Dim!$A$2:$F$501,3,FALSE)</f>
        <v>Male</v>
      </c>
      <c r="N1006" t="str">
        <f>VLOOKUP($E1006,Customer_Dim!$A$2:$F$501,5,FALSE)</f>
        <v>USA</v>
      </c>
      <c r="O1006" t="str">
        <f>VLOOKUP($E1006,Customer_Dim!$A$2:$F$501,6,FALSE)</f>
        <v>Bronze</v>
      </c>
      <c r="P1006" t="str">
        <f>VLOOKUP($A1006,Store_Dim!$A$2:$F$21,3,FALSE)</f>
        <v>EastEast Stevechester</v>
      </c>
    </row>
    <row r="1007" spans="1:16" x14ac:dyDescent="0.25">
      <c r="A1007" t="s">
        <v>838</v>
      </c>
      <c r="B1007" t="s">
        <v>1779</v>
      </c>
      <c r="C1007" t="s">
        <v>644</v>
      </c>
      <c r="D1007" s="2">
        <v>45770</v>
      </c>
      <c r="E1007" t="s">
        <v>533</v>
      </c>
      <c r="F1007" t="str">
        <f>VLOOKUP($C1007,Product_Dim!$A$2:$D$101,3,FALSE)</f>
        <v>Lucero LLC</v>
      </c>
      <c r="G1007" t="str">
        <f>VLOOKUP($C1007,Product_Dim!$A$2:$D$101,2,FALSE)</f>
        <v>Electronics</v>
      </c>
      <c r="H1007">
        <v>4</v>
      </c>
      <c r="I1007">
        <v>953.98</v>
      </c>
      <c r="J1007">
        <v>0.16</v>
      </c>
      <c r="K1007" s="3">
        <v>3205.3728000000001</v>
      </c>
      <c r="L1007" t="s">
        <v>852</v>
      </c>
      <c r="M1007" t="str">
        <f>VLOOKUP($E1007,Customer_Dim!$A$2:$F$501,3,FALSE)</f>
        <v>Male</v>
      </c>
      <c r="N1007" t="str">
        <f>VLOOKUP($E1007,Customer_Dim!$A$2:$F$501,5,FALSE)</f>
        <v>USA</v>
      </c>
      <c r="O1007" t="str">
        <f>VLOOKUP($E1007,Customer_Dim!$A$2:$F$501,6,FALSE)</f>
        <v>Silver</v>
      </c>
      <c r="P1007" t="str">
        <f>VLOOKUP($A1007,Store_Dim!$A$2:$F$21,3,FALSE)</f>
        <v>EastEast Stevechester</v>
      </c>
    </row>
    <row r="1008" spans="1:16" x14ac:dyDescent="0.25">
      <c r="A1008" t="s">
        <v>838</v>
      </c>
      <c r="B1008" t="s">
        <v>2305</v>
      </c>
      <c r="C1008" t="s">
        <v>646</v>
      </c>
      <c r="D1008" s="2">
        <v>45383</v>
      </c>
      <c r="E1008" t="s">
        <v>24</v>
      </c>
      <c r="F1008" t="str">
        <f>VLOOKUP($C1008,Product_Dim!$A$2:$D$101,3,FALSE)</f>
        <v>Jones LLC</v>
      </c>
      <c r="G1008" t="str">
        <f>VLOOKUP($C1008,Product_Dim!$A$2:$D$101,2,FALSE)</f>
        <v>Home</v>
      </c>
      <c r="H1008">
        <v>3</v>
      </c>
      <c r="I1008">
        <v>341.51</v>
      </c>
      <c r="J1008">
        <v>0.22</v>
      </c>
      <c r="K1008" s="3">
        <v>799.13340000000005</v>
      </c>
      <c r="L1008" t="s">
        <v>857</v>
      </c>
      <c r="M1008" t="str">
        <f>VLOOKUP($E1008,Customer_Dim!$A$2:$F$501,3,FALSE)</f>
        <v>Male</v>
      </c>
      <c r="N1008" t="str">
        <f>VLOOKUP($E1008,Customer_Dim!$A$2:$F$501,5,FALSE)</f>
        <v>USA</v>
      </c>
      <c r="O1008" t="str">
        <f>VLOOKUP($E1008,Customer_Dim!$A$2:$F$501,6,FALSE)</f>
        <v>Bronze</v>
      </c>
      <c r="P1008" t="str">
        <f>VLOOKUP($A1008,Store_Dim!$A$2:$F$21,3,FALSE)</f>
        <v>EastEast Stevechester</v>
      </c>
    </row>
    <row r="1009" spans="1:16" x14ac:dyDescent="0.25">
      <c r="A1009" t="s">
        <v>838</v>
      </c>
      <c r="B1009" t="s">
        <v>1218</v>
      </c>
      <c r="C1009" t="s">
        <v>646</v>
      </c>
      <c r="D1009" s="2">
        <v>45723</v>
      </c>
      <c r="E1009" t="s">
        <v>281</v>
      </c>
      <c r="F1009" t="str">
        <f>VLOOKUP($C1009,Product_Dim!$A$2:$D$101,3,FALSE)</f>
        <v>Jones LLC</v>
      </c>
      <c r="G1009" t="str">
        <f>VLOOKUP($C1009,Product_Dim!$A$2:$D$101,2,FALSE)</f>
        <v>Home</v>
      </c>
      <c r="H1009">
        <v>1</v>
      </c>
      <c r="I1009">
        <v>213.69</v>
      </c>
      <c r="J1009">
        <v>0.28000000000000003</v>
      </c>
      <c r="K1009" s="3">
        <v>153.85679999999999</v>
      </c>
      <c r="L1009" t="s">
        <v>857</v>
      </c>
      <c r="M1009" t="str">
        <f>VLOOKUP($E1009,Customer_Dim!$A$2:$F$501,3,FALSE)</f>
        <v>Male</v>
      </c>
      <c r="N1009" t="str">
        <f>VLOOKUP($E1009,Customer_Dim!$A$2:$F$501,5,FALSE)</f>
        <v>USA</v>
      </c>
      <c r="O1009" t="str">
        <f>VLOOKUP($E1009,Customer_Dim!$A$2:$F$501,6,FALSE)</f>
        <v>Platinum</v>
      </c>
      <c r="P1009" t="str">
        <f>VLOOKUP($A1009,Store_Dim!$A$2:$F$21,3,FALSE)</f>
        <v>EastEast Stevechester</v>
      </c>
    </row>
    <row r="1010" spans="1:16" hidden="1" x14ac:dyDescent="0.25">
      <c r="A1010" t="s">
        <v>838</v>
      </c>
      <c r="B1010" t="s">
        <v>1866</v>
      </c>
      <c r="C1010" t="s">
        <v>650</v>
      </c>
      <c r="D1010" s="2">
        <v>45535</v>
      </c>
      <c r="E1010" t="s">
        <v>125</v>
      </c>
      <c r="F1010" t="str">
        <f>VLOOKUP($C1010,Product_Dim!$A$2:$D$101,3,FALSE)</f>
        <v>Hogan-Lee</v>
      </c>
      <c r="G1010" t="str">
        <f>VLOOKUP($C1010,Product_Dim!$A$2:$D$101,2,FALSE)</f>
        <v>Clothing</v>
      </c>
      <c r="H1010">
        <v>4</v>
      </c>
      <c r="I1010">
        <v>85.62</v>
      </c>
      <c r="J1010">
        <v>0.28000000000000003</v>
      </c>
      <c r="K1010" s="3">
        <v>246.5856</v>
      </c>
      <c r="L1010" t="s">
        <v>857</v>
      </c>
      <c r="M1010" t="str">
        <f>VLOOKUP($E1010,Customer_Dim!$A$2:$F$501,3,FALSE)</f>
        <v>Female</v>
      </c>
      <c r="N1010" t="str">
        <f>VLOOKUP($E1010,Customer_Dim!$A$2:$F$501,5,FALSE)</f>
        <v>USA</v>
      </c>
      <c r="O1010" t="str">
        <f>VLOOKUP($E1010,Customer_Dim!$A$2:$F$501,6,FALSE)</f>
        <v>Gold</v>
      </c>
      <c r="P1010" t="str">
        <f>VLOOKUP($A1010,Store_Dim!$A$2:$F$21,3,FALSE)</f>
        <v>EastEast Stevechester</v>
      </c>
    </row>
    <row r="1011" spans="1:16" hidden="1" x14ac:dyDescent="0.25">
      <c r="A1011" t="s">
        <v>838</v>
      </c>
      <c r="B1011" t="s">
        <v>1506</v>
      </c>
      <c r="C1011" t="s">
        <v>654</v>
      </c>
      <c r="D1011" s="2">
        <v>45531</v>
      </c>
      <c r="E1011" t="s">
        <v>26</v>
      </c>
      <c r="F1011" t="str">
        <f>VLOOKUP($C1011,Product_Dim!$A$2:$D$101,3,FALSE)</f>
        <v>Cummings and Sons</v>
      </c>
      <c r="G1011" t="str">
        <f>VLOOKUP($C1011,Product_Dim!$A$2:$D$101,2,FALSE)</f>
        <v>Electronics</v>
      </c>
      <c r="H1011">
        <v>2</v>
      </c>
      <c r="I1011">
        <v>673.02</v>
      </c>
      <c r="J1011">
        <v>0.11</v>
      </c>
      <c r="K1011" s="3">
        <v>1197.9756</v>
      </c>
      <c r="L1011" t="s">
        <v>854</v>
      </c>
      <c r="M1011" t="str">
        <f>VLOOKUP($E1011,Customer_Dim!$A$2:$F$501,3,FALSE)</f>
        <v>Female</v>
      </c>
      <c r="N1011" t="str">
        <f>VLOOKUP($E1011,Customer_Dim!$A$2:$F$501,5,FALSE)</f>
        <v>USA</v>
      </c>
      <c r="O1011" t="str">
        <f>VLOOKUP($E1011,Customer_Dim!$A$2:$F$501,6,FALSE)</f>
        <v>Platinum</v>
      </c>
      <c r="P1011" t="str">
        <f>VLOOKUP($A1011,Store_Dim!$A$2:$F$21,3,FALSE)</f>
        <v>EastEast Stevechester</v>
      </c>
    </row>
    <row r="1012" spans="1:16" x14ac:dyDescent="0.25">
      <c r="A1012" t="s">
        <v>838</v>
      </c>
      <c r="B1012" t="s">
        <v>1821</v>
      </c>
      <c r="C1012" t="s">
        <v>654</v>
      </c>
      <c r="D1012" s="2">
        <v>45783</v>
      </c>
      <c r="E1012" t="s">
        <v>314</v>
      </c>
      <c r="F1012" t="str">
        <f>VLOOKUP($C1012,Product_Dim!$A$2:$D$101,3,FALSE)</f>
        <v>Cummings and Sons</v>
      </c>
      <c r="G1012" t="str">
        <f>VLOOKUP($C1012,Product_Dim!$A$2:$D$101,2,FALSE)</f>
        <v>Electronics</v>
      </c>
      <c r="H1012">
        <v>3</v>
      </c>
      <c r="I1012">
        <v>529.89</v>
      </c>
      <c r="J1012">
        <v>0.21</v>
      </c>
      <c r="K1012" s="3">
        <v>1255.8393000000001</v>
      </c>
      <c r="L1012" t="s">
        <v>852</v>
      </c>
      <c r="M1012" t="str">
        <f>VLOOKUP($E1012,Customer_Dim!$A$2:$F$501,3,FALSE)</f>
        <v>Male</v>
      </c>
      <c r="N1012" t="str">
        <f>VLOOKUP($E1012,Customer_Dim!$A$2:$F$501,5,FALSE)</f>
        <v>USA</v>
      </c>
      <c r="O1012" t="str">
        <f>VLOOKUP($E1012,Customer_Dim!$A$2:$F$501,6,FALSE)</f>
        <v>Gold</v>
      </c>
      <c r="P1012" t="str">
        <f>VLOOKUP($A1012,Store_Dim!$A$2:$F$21,3,FALSE)</f>
        <v>EastEast Stevechester</v>
      </c>
    </row>
    <row r="1013" spans="1:16" x14ac:dyDescent="0.25">
      <c r="A1013" t="s">
        <v>838</v>
      </c>
      <c r="B1013" t="s">
        <v>1617</v>
      </c>
      <c r="C1013" t="s">
        <v>581</v>
      </c>
      <c r="D1013" s="2">
        <v>45499</v>
      </c>
      <c r="E1013" t="s">
        <v>163</v>
      </c>
      <c r="F1013" t="str">
        <f>VLOOKUP($C1013,Product_Dim!$A$2:$D$101,3,FALSE)</f>
        <v>Gonzales-Davis</v>
      </c>
      <c r="G1013" t="str">
        <f>VLOOKUP($C1013,Product_Dim!$A$2:$D$101,2,FALSE)</f>
        <v>Clothing</v>
      </c>
      <c r="H1013">
        <v>3</v>
      </c>
      <c r="I1013">
        <v>217.22</v>
      </c>
      <c r="J1013">
        <v>0.06</v>
      </c>
      <c r="K1013" s="3">
        <v>612.56039999999996</v>
      </c>
      <c r="L1013" t="s">
        <v>854</v>
      </c>
      <c r="M1013" t="str">
        <f>VLOOKUP($E1013,Customer_Dim!$A$2:$F$501,3,FALSE)</f>
        <v>Male</v>
      </c>
      <c r="N1013" t="str">
        <f>VLOOKUP($E1013,Customer_Dim!$A$2:$F$501,5,FALSE)</f>
        <v>USA</v>
      </c>
      <c r="O1013" t="str">
        <f>VLOOKUP($E1013,Customer_Dim!$A$2:$F$501,6,FALSE)</f>
        <v>Gold</v>
      </c>
      <c r="P1013" t="str">
        <f>VLOOKUP($A1013,Store_Dim!$A$2:$F$21,3,FALSE)</f>
        <v>EastEast Stevechester</v>
      </c>
    </row>
    <row r="1014" spans="1:16" x14ac:dyDescent="0.25">
      <c r="A1014" t="s">
        <v>838</v>
      </c>
      <c r="B1014" t="s">
        <v>2634</v>
      </c>
      <c r="C1014" t="s">
        <v>581</v>
      </c>
      <c r="D1014" s="2">
        <v>45758</v>
      </c>
      <c r="E1014" t="s">
        <v>217</v>
      </c>
      <c r="F1014" t="str">
        <f>VLOOKUP($C1014,Product_Dim!$A$2:$D$101,3,FALSE)</f>
        <v>Gonzales-Davis</v>
      </c>
      <c r="G1014" t="str">
        <f>VLOOKUP($C1014,Product_Dim!$A$2:$D$101,2,FALSE)</f>
        <v>Clothing</v>
      </c>
      <c r="H1014">
        <v>4</v>
      </c>
      <c r="I1014">
        <v>299.45999999999998</v>
      </c>
      <c r="J1014">
        <v>0.18</v>
      </c>
      <c r="K1014" s="3">
        <v>982.22879999999998</v>
      </c>
      <c r="L1014" t="s">
        <v>857</v>
      </c>
      <c r="M1014" t="str">
        <f>VLOOKUP($E1014,Customer_Dim!$A$2:$F$501,3,FALSE)</f>
        <v>Male</v>
      </c>
      <c r="N1014" t="str">
        <f>VLOOKUP($E1014,Customer_Dim!$A$2:$F$501,5,FALSE)</f>
        <v>USA</v>
      </c>
      <c r="O1014" t="str">
        <f>VLOOKUP($E1014,Customer_Dim!$A$2:$F$501,6,FALSE)</f>
        <v>Bronze</v>
      </c>
      <c r="P1014" t="str">
        <f>VLOOKUP($A1014,Store_Dim!$A$2:$F$21,3,FALSE)</f>
        <v>EastEast Stevechester</v>
      </c>
    </row>
    <row r="1015" spans="1:16" hidden="1" x14ac:dyDescent="0.25">
      <c r="A1015" t="s">
        <v>838</v>
      </c>
      <c r="B1015" t="s">
        <v>2743</v>
      </c>
      <c r="C1015" t="s">
        <v>656</v>
      </c>
      <c r="D1015" s="2">
        <v>45824</v>
      </c>
      <c r="E1015" t="s">
        <v>76</v>
      </c>
      <c r="F1015" t="str">
        <f>VLOOKUP($C1015,Product_Dim!$A$2:$D$101,3,FALSE)</f>
        <v>Taylor-Hart</v>
      </c>
      <c r="G1015" t="str">
        <f>VLOOKUP($C1015,Product_Dim!$A$2:$D$101,2,FALSE)</f>
        <v>Electronics</v>
      </c>
      <c r="H1015">
        <v>4</v>
      </c>
      <c r="I1015">
        <v>38.380000000000003</v>
      </c>
      <c r="J1015">
        <v>0.16</v>
      </c>
      <c r="K1015" s="3">
        <v>128.95679999999999</v>
      </c>
      <c r="L1015" t="s">
        <v>857</v>
      </c>
      <c r="M1015" t="str">
        <f>VLOOKUP($E1015,Customer_Dim!$A$2:$F$501,3,FALSE)</f>
        <v>Female</v>
      </c>
      <c r="N1015" t="str">
        <f>VLOOKUP($E1015,Customer_Dim!$A$2:$F$501,5,FALSE)</f>
        <v>USA</v>
      </c>
      <c r="O1015" t="str">
        <f>VLOOKUP($E1015,Customer_Dim!$A$2:$F$501,6,FALSE)</f>
        <v>Gold</v>
      </c>
      <c r="P1015" t="str">
        <f>VLOOKUP($A1015,Store_Dim!$A$2:$F$21,3,FALSE)</f>
        <v>EastEast Stevechester</v>
      </c>
    </row>
    <row r="1016" spans="1:16" hidden="1" x14ac:dyDescent="0.25">
      <c r="A1016" t="s">
        <v>838</v>
      </c>
      <c r="B1016" t="s">
        <v>2192</v>
      </c>
      <c r="C1016" t="s">
        <v>656</v>
      </c>
      <c r="D1016" s="2">
        <v>45936</v>
      </c>
      <c r="E1016" t="s">
        <v>152</v>
      </c>
      <c r="F1016" t="str">
        <f>VLOOKUP($C1016,Product_Dim!$A$2:$D$101,3,FALSE)</f>
        <v>Taylor-Hart</v>
      </c>
      <c r="G1016" t="str">
        <f>VLOOKUP($C1016,Product_Dim!$A$2:$D$101,2,FALSE)</f>
        <v>Electronics</v>
      </c>
      <c r="H1016">
        <v>2</v>
      </c>
      <c r="I1016">
        <v>356.28</v>
      </c>
      <c r="J1016">
        <v>0.11</v>
      </c>
      <c r="K1016" s="3">
        <v>634.17840000000001</v>
      </c>
      <c r="L1016" t="s">
        <v>857</v>
      </c>
      <c r="M1016" t="str">
        <f>VLOOKUP($E1016,Customer_Dim!$A$2:$F$501,3,FALSE)</f>
        <v>Female</v>
      </c>
      <c r="N1016" t="str">
        <f>VLOOKUP($E1016,Customer_Dim!$A$2:$F$501,5,FALSE)</f>
        <v>USA</v>
      </c>
      <c r="O1016" t="str">
        <f>VLOOKUP($E1016,Customer_Dim!$A$2:$F$501,6,FALSE)</f>
        <v>Silver</v>
      </c>
      <c r="P1016" t="str">
        <f>VLOOKUP($A1016,Store_Dim!$A$2:$F$21,3,FALSE)</f>
        <v>EastEast Stevechester</v>
      </c>
    </row>
    <row r="1017" spans="1:16" x14ac:dyDescent="0.25">
      <c r="A1017" t="s">
        <v>838</v>
      </c>
      <c r="B1017" t="s">
        <v>2380</v>
      </c>
      <c r="C1017" t="s">
        <v>656</v>
      </c>
      <c r="D1017" s="2">
        <v>45672</v>
      </c>
      <c r="E1017" t="s">
        <v>248</v>
      </c>
      <c r="F1017" t="str">
        <f>VLOOKUP($C1017,Product_Dim!$A$2:$D$101,3,FALSE)</f>
        <v>Taylor-Hart</v>
      </c>
      <c r="G1017" t="str">
        <f>VLOOKUP($C1017,Product_Dim!$A$2:$D$101,2,FALSE)</f>
        <v>Electronics</v>
      </c>
      <c r="H1017">
        <v>1</v>
      </c>
      <c r="I1017">
        <v>470.34</v>
      </c>
      <c r="J1017">
        <v>0.18</v>
      </c>
      <c r="K1017" s="3">
        <v>385.67880000000002</v>
      </c>
      <c r="L1017" t="s">
        <v>857</v>
      </c>
      <c r="M1017" t="str">
        <f>VLOOKUP($E1017,Customer_Dim!$A$2:$F$501,3,FALSE)</f>
        <v>Male</v>
      </c>
      <c r="N1017" t="str">
        <f>VLOOKUP($E1017,Customer_Dim!$A$2:$F$501,5,FALSE)</f>
        <v>USA</v>
      </c>
      <c r="O1017" t="str">
        <f>VLOOKUP($E1017,Customer_Dim!$A$2:$F$501,6,FALSE)</f>
        <v>Platinum</v>
      </c>
      <c r="P1017" t="str">
        <f>VLOOKUP($A1017,Store_Dim!$A$2:$F$21,3,FALSE)</f>
        <v>EastEast Stevechester</v>
      </c>
    </row>
    <row r="1018" spans="1:16" x14ac:dyDescent="0.25">
      <c r="A1018" t="s">
        <v>838</v>
      </c>
      <c r="B1018" t="s">
        <v>1647</v>
      </c>
      <c r="C1018" t="s">
        <v>658</v>
      </c>
      <c r="D1018" s="2">
        <v>45577</v>
      </c>
      <c r="E1018" t="s">
        <v>273</v>
      </c>
      <c r="F1018" t="str">
        <f>VLOOKUP($C1018,Product_Dim!$A$2:$D$101,3,FALSE)</f>
        <v>Carroll, Long and Mendoza</v>
      </c>
      <c r="G1018" t="str">
        <f>VLOOKUP($C1018,Product_Dim!$A$2:$D$101,2,FALSE)</f>
        <v>Sports</v>
      </c>
      <c r="H1018">
        <v>2</v>
      </c>
      <c r="I1018">
        <v>602.54999999999995</v>
      </c>
      <c r="J1018">
        <v>0.23</v>
      </c>
      <c r="K1018" s="3">
        <v>927.92699999999991</v>
      </c>
      <c r="L1018" t="s">
        <v>857</v>
      </c>
      <c r="M1018" t="str">
        <f>VLOOKUP($E1018,Customer_Dim!$A$2:$F$501,3,FALSE)</f>
        <v>Male</v>
      </c>
      <c r="N1018" t="str">
        <f>VLOOKUP($E1018,Customer_Dim!$A$2:$F$501,5,FALSE)</f>
        <v>USA</v>
      </c>
      <c r="O1018" t="str">
        <f>VLOOKUP($E1018,Customer_Dim!$A$2:$F$501,6,FALSE)</f>
        <v>Platinum</v>
      </c>
      <c r="P1018" t="str">
        <f>VLOOKUP($A1018,Store_Dim!$A$2:$F$21,3,FALSE)</f>
        <v>EastEast Stevechester</v>
      </c>
    </row>
    <row r="1019" spans="1:16" x14ac:dyDescent="0.25">
      <c r="A1019" t="s">
        <v>838</v>
      </c>
      <c r="B1019" t="s">
        <v>1654</v>
      </c>
      <c r="C1019" t="s">
        <v>660</v>
      </c>
      <c r="D1019" s="2">
        <v>45837</v>
      </c>
      <c r="E1019" t="s">
        <v>448</v>
      </c>
      <c r="F1019" t="str">
        <f>VLOOKUP($C1019,Product_Dim!$A$2:$D$101,3,FALSE)</f>
        <v>Holmes LLC</v>
      </c>
      <c r="G1019" t="str">
        <f>VLOOKUP($C1019,Product_Dim!$A$2:$D$101,2,FALSE)</f>
        <v>Electronics</v>
      </c>
      <c r="H1019">
        <v>2</v>
      </c>
      <c r="I1019">
        <v>953.26</v>
      </c>
      <c r="J1019">
        <v>0.1</v>
      </c>
      <c r="K1019" s="3">
        <v>1715.8679999999999</v>
      </c>
      <c r="L1019" t="s">
        <v>857</v>
      </c>
      <c r="M1019" t="str">
        <f>VLOOKUP($E1019,Customer_Dim!$A$2:$F$501,3,FALSE)</f>
        <v>Male</v>
      </c>
      <c r="N1019" t="str">
        <f>VLOOKUP($E1019,Customer_Dim!$A$2:$F$501,5,FALSE)</f>
        <v>USA</v>
      </c>
      <c r="O1019" t="str">
        <f>VLOOKUP($E1019,Customer_Dim!$A$2:$F$501,6,FALSE)</f>
        <v>Silver</v>
      </c>
      <c r="P1019" t="str">
        <f>VLOOKUP($A1019,Store_Dim!$A$2:$F$21,3,FALSE)</f>
        <v>EastEast Stevechester</v>
      </c>
    </row>
    <row r="1020" spans="1:16" x14ac:dyDescent="0.25">
      <c r="A1020" t="s">
        <v>838</v>
      </c>
      <c r="B1020" t="s">
        <v>2311</v>
      </c>
      <c r="C1020" t="s">
        <v>662</v>
      </c>
      <c r="D1020" s="2">
        <v>45943</v>
      </c>
      <c r="E1020" t="s">
        <v>304</v>
      </c>
      <c r="F1020" t="str">
        <f>VLOOKUP($C1020,Product_Dim!$A$2:$D$101,3,FALSE)</f>
        <v>Robinson Inc</v>
      </c>
      <c r="G1020" t="str">
        <f>VLOOKUP($C1020,Product_Dim!$A$2:$D$101,2,FALSE)</f>
        <v>Electronics</v>
      </c>
      <c r="H1020">
        <v>4</v>
      </c>
      <c r="I1020">
        <v>975.47</v>
      </c>
      <c r="J1020">
        <v>0.04</v>
      </c>
      <c r="K1020" s="3">
        <v>3745.8047999999999</v>
      </c>
      <c r="L1020" t="s">
        <v>852</v>
      </c>
      <c r="M1020" t="str">
        <f>VLOOKUP($E1020,Customer_Dim!$A$2:$F$501,3,FALSE)</f>
        <v>Male</v>
      </c>
      <c r="N1020" t="str">
        <f>VLOOKUP($E1020,Customer_Dim!$A$2:$F$501,5,FALSE)</f>
        <v>USA</v>
      </c>
      <c r="O1020" t="str">
        <f>VLOOKUP($E1020,Customer_Dim!$A$2:$F$501,6,FALSE)</f>
        <v>Platinum</v>
      </c>
      <c r="P1020" t="str">
        <f>VLOOKUP($A1020,Store_Dim!$A$2:$F$21,3,FALSE)</f>
        <v>EastEast Stevechester</v>
      </c>
    </row>
    <row r="1021" spans="1:16" x14ac:dyDescent="0.25">
      <c r="A1021" t="s">
        <v>838</v>
      </c>
      <c r="B1021" t="s">
        <v>2559</v>
      </c>
      <c r="C1021" t="s">
        <v>662</v>
      </c>
      <c r="D1021" s="2">
        <v>45734</v>
      </c>
      <c r="E1021" t="s">
        <v>319</v>
      </c>
      <c r="F1021" t="str">
        <f>VLOOKUP($C1021,Product_Dim!$A$2:$D$101,3,FALSE)</f>
        <v>Robinson Inc</v>
      </c>
      <c r="G1021" t="str">
        <f>VLOOKUP($C1021,Product_Dim!$A$2:$D$101,2,FALSE)</f>
        <v>Electronics</v>
      </c>
      <c r="H1021">
        <v>3</v>
      </c>
      <c r="I1021">
        <v>962.98</v>
      </c>
      <c r="J1021">
        <v>0.21</v>
      </c>
      <c r="K1021" s="3">
        <v>2282.2626</v>
      </c>
      <c r="L1021" t="s">
        <v>852</v>
      </c>
      <c r="M1021" t="str">
        <f>VLOOKUP($E1021,Customer_Dim!$A$2:$F$501,3,FALSE)</f>
        <v>Male</v>
      </c>
      <c r="N1021" t="str">
        <f>VLOOKUP($E1021,Customer_Dim!$A$2:$F$501,5,FALSE)</f>
        <v>USA</v>
      </c>
      <c r="O1021" t="str">
        <f>VLOOKUP($E1021,Customer_Dim!$A$2:$F$501,6,FALSE)</f>
        <v>Bronze</v>
      </c>
      <c r="P1021" t="str">
        <f>VLOOKUP($A1021,Store_Dim!$A$2:$F$21,3,FALSE)</f>
        <v>EastEast Stevechester</v>
      </c>
    </row>
    <row r="1022" spans="1:16" hidden="1" x14ac:dyDescent="0.25">
      <c r="A1022" t="s">
        <v>838</v>
      </c>
      <c r="B1022" t="s">
        <v>875</v>
      </c>
      <c r="C1022" t="s">
        <v>662</v>
      </c>
      <c r="D1022" s="2">
        <v>45447</v>
      </c>
      <c r="E1022" t="s">
        <v>463</v>
      </c>
      <c r="F1022" t="str">
        <f>VLOOKUP($C1022,Product_Dim!$A$2:$D$101,3,FALSE)</f>
        <v>Robinson Inc</v>
      </c>
      <c r="G1022" t="str">
        <f>VLOOKUP($C1022,Product_Dim!$A$2:$D$101,2,FALSE)</f>
        <v>Electronics</v>
      </c>
      <c r="H1022">
        <v>1</v>
      </c>
      <c r="I1022">
        <v>589.55999999999995</v>
      </c>
      <c r="J1022">
        <v>0.22</v>
      </c>
      <c r="K1022" s="3">
        <v>459.85680000000002</v>
      </c>
      <c r="L1022" t="s">
        <v>852</v>
      </c>
      <c r="M1022" t="str">
        <f>VLOOKUP($E1022,Customer_Dim!$A$2:$F$501,3,FALSE)</f>
        <v>Female</v>
      </c>
      <c r="N1022" t="str">
        <f>VLOOKUP($E1022,Customer_Dim!$A$2:$F$501,5,FALSE)</f>
        <v>USA</v>
      </c>
      <c r="O1022" t="str">
        <f>VLOOKUP($E1022,Customer_Dim!$A$2:$F$501,6,FALSE)</f>
        <v>Silver</v>
      </c>
      <c r="P1022" t="str">
        <f>VLOOKUP($A1022,Store_Dim!$A$2:$F$21,3,FALSE)</f>
        <v>EastEast Stevechester</v>
      </c>
    </row>
    <row r="1023" spans="1:16" hidden="1" x14ac:dyDescent="0.25">
      <c r="A1023" t="s">
        <v>838</v>
      </c>
      <c r="B1023" t="s">
        <v>1171</v>
      </c>
      <c r="C1023" t="s">
        <v>664</v>
      </c>
      <c r="D1023" s="2">
        <v>45823</v>
      </c>
      <c r="E1023" t="s">
        <v>413</v>
      </c>
      <c r="F1023" t="str">
        <f>VLOOKUP($C1023,Product_Dim!$A$2:$D$101,3,FALSE)</f>
        <v>Cox Inc</v>
      </c>
      <c r="G1023" t="str">
        <f>VLOOKUP($C1023,Product_Dim!$A$2:$D$101,2,FALSE)</f>
        <v>Sports</v>
      </c>
      <c r="H1023">
        <v>1</v>
      </c>
      <c r="I1023">
        <v>459.42</v>
      </c>
      <c r="J1023">
        <v>0.28000000000000003</v>
      </c>
      <c r="K1023" s="3">
        <v>330.7824</v>
      </c>
      <c r="L1023" t="s">
        <v>857</v>
      </c>
      <c r="M1023" t="str">
        <f>VLOOKUP($E1023,Customer_Dim!$A$2:$F$501,3,FALSE)</f>
        <v>Female</v>
      </c>
      <c r="N1023" t="str">
        <f>VLOOKUP($E1023,Customer_Dim!$A$2:$F$501,5,FALSE)</f>
        <v>USA</v>
      </c>
      <c r="O1023" t="str">
        <f>VLOOKUP($E1023,Customer_Dim!$A$2:$F$501,6,FALSE)</f>
        <v>Platinum</v>
      </c>
      <c r="P1023" t="str">
        <f>VLOOKUP($A1023,Store_Dim!$A$2:$F$21,3,FALSE)</f>
        <v>EastEast Stevechester</v>
      </c>
    </row>
    <row r="1024" spans="1:16" hidden="1" x14ac:dyDescent="0.25">
      <c r="A1024" t="s">
        <v>838</v>
      </c>
      <c r="B1024" t="s">
        <v>2214</v>
      </c>
      <c r="C1024" t="s">
        <v>666</v>
      </c>
      <c r="D1024" s="2">
        <v>45858</v>
      </c>
      <c r="E1024" t="s">
        <v>37</v>
      </c>
      <c r="F1024" t="str">
        <f>VLOOKUP($C1024,Product_Dim!$A$2:$D$101,3,FALSE)</f>
        <v>Bridges, Banks and Cummings</v>
      </c>
      <c r="G1024" t="str">
        <f>VLOOKUP($C1024,Product_Dim!$A$2:$D$101,2,FALSE)</f>
        <v>Sports</v>
      </c>
      <c r="H1024">
        <v>1</v>
      </c>
      <c r="I1024">
        <v>459.89</v>
      </c>
      <c r="J1024">
        <v>0.18</v>
      </c>
      <c r="K1024" s="3">
        <v>377.10980000000001</v>
      </c>
      <c r="L1024" t="s">
        <v>857</v>
      </c>
      <c r="M1024" t="str">
        <f>VLOOKUP($E1024,Customer_Dim!$A$2:$F$501,3,FALSE)</f>
        <v>Female</v>
      </c>
      <c r="N1024" t="str">
        <f>VLOOKUP($E1024,Customer_Dim!$A$2:$F$501,5,FALSE)</f>
        <v>USA</v>
      </c>
      <c r="O1024" t="str">
        <f>VLOOKUP($E1024,Customer_Dim!$A$2:$F$501,6,FALSE)</f>
        <v>Platinum</v>
      </c>
      <c r="P1024" t="str">
        <f>VLOOKUP($A1024,Store_Dim!$A$2:$F$21,3,FALSE)</f>
        <v>EastEast Stevechester</v>
      </c>
    </row>
    <row r="1025" spans="1:16" x14ac:dyDescent="0.25">
      <c r="A1025" t="s">
        <v>838</v>
      </c>
      <c r="B1025" t="s">
        <v>1045</v>
      </c>
      <c r="C1025" t="s">
        <v>668</v>
      </c>
      <c r="D1025" s="2">
        <v>45459</v>
      </c>
      <c r="E1025" t="s">
        <v>202</v>
      </c>
      <c r="F1025" t="str">
        <f>VLOOKUP($C1025,Product_Dim!$A$2:$D$101,3,FALSE)</f>
        <v>Kelly, Smith and Perez</v>
      </c>
      <c r="G1025" t="str">
        <f>VLOOKUP($C1025,Product_Dim!$A$2:$D$101,2,FALSE)</f>
        <v>Clothing</v>
      </c>
      <c r="H1025">
        <v>1</v>
      </c>
      <c r="I1025">
        <v>804.9</v>
      </c>
      <c r="J1025">
        <v>0.03</v>
      </c>
      <c r="K1025" s="3">
        <v>780.75299999999993</v>
      </c>
      <c r="L1025" t="s">
        <v>854</v>
      </c>
      <c r="M1025" t="str">
        <f>VLOOKUP($E1025,Customer_Dim!$A$2:$F$501,3,FALSE)</f>
        <v>Male</v>
      </c>
      <c r="N1025" t="str">
        <f>VLOOKUP($E1025,Customer_Dim!$A$2:$F$501,5,FALSE)</f>
        <v>USA</v>
      </c>
      <c r="O1025" t="str">
        <f>VLOOKUP($E1025,Customer_Dim!$A$2:$F$501,6,FALSE)</f>
        <v>Gold</v>
      </c>
      <c r="P1025" t="str">
        <f>VLOOKUP($A1025,Store_Dim!$A$2:$F$21,3,FALSE)</f>
        <v>EastEast Stevechester</v>
      </c>
    </row>
    <row r="1026" spans="1:16" hidden="1" x14ac:dyDescent="0.25">
      <c r="A1026" t="s">
        <v>838</v>
      </c>
      <c r="B1026" t="s">
        <v>1943</v>
      </c>
      <c r="C1026" t="s">
        <v>672</v>
      </c>
      <c r="D1026" s="2">
        <v>45686</v>
      </c>
      <c r="E1026" t="s">
        <v>79</v>
      </c>
      <c r="F1026" t="str">
        <f>VLOOKUP($C1026,Product_Dim!$A$2:$D$101,3,FALSE)</f>
        <v>Byrd, Stewart and Valdez</v>
      </c>
      <c r="G1026" t="str">
        <f>VLOOKUP($C1026,Product_Dim!$A$2:$D$101,2,FALSE)</f>
        <v>Electronics</v>
      </c>
      <c r="H1026">
        <v>4</v>
      </c>
      <c r="I1026">
        <v>106.23</v>
      </c>
      <c r="J1026">
        <v>0.28000000000000003</v>
      </c>
      <c r="K1026" s="3">
        <v>305.94240000000002</v>
      </c>
      <c r="L1026" t="s">
        <v>857</v>
      </c>
      <c r="M1026" t="str">
        <f>VLOOKUP($E1026,Customer_Dim!$A$2:$F$501,3,FALSE)</f>
        <v>Female</v>
      </c>
      <c r="N1026" t="str">
        <f>VLOOKUP($E1026,Customer_Dim!$A$2:$F$501,5,FALSE)</f>
        <v>USA</v>
      </c>
      <c r="O1026" t="str">
        <f>VLOOKUP($E1026,Customer_Dim!$A$2:$F$501,6,FALSE)</f>
        <v>Gold</v>
      </c>
      <c r="P1026" t="str">
        <f>VLOOKUP($A1026,Store_Dim!$A$2:$F$21,3,FALSE)</f>
        <v>EastEast Stevechester</v>
      </c>
    </row>
    <row r="1027" spans="1:16" hidden="1" x14ac:dyDescent="0.25">
      <c r="A1027" t="s">
        <v>838</v>
      </c>
      <c r="B1027" t="s">
        <v>1988</v>
      </c>
      <c r="C1027" t="s">
        <v>678</v>
      </c>
      <c r="D1027" s="2">
        <v>45443</v>
      </c>
      <c r="E1027" t="s">
        <v>228</v>
      </c>
      <c r="F1027" t="str">
        <f>VLOOKUP($C1027,Product_Dim!$A$2:$D$101,3,FALSE)</f>
        <v>Bautista, Green and Hale</v>
      </c>
      <c r="G1027" t="str">
        <f>VLOOKUP($C1027,Product_Dim!$A$2:$D$101,2,FALSE)</f>
        <v>Electronics</v>
      </c>
      <c r="H1027">
        <v>2</v>
      </c>
      <c r="I1027">
        <v>86.72</v>
      </c>
      <c r="J1027">
        <v>0.28000000000000003</v>
      </c>
      <c r="K1027" s="3">
        <v>124.8768</v>
      </c>
      <c r="L1027" t="s">
        <v>857</v>
      </c>
      <c r="M1027" t="str">
        <f>VLOOKUP($E1027,Customer_Dim!$A$2:$F$501,3,FALSE)</f>
        <v>Female</v>
      </c>
      <c r="N1027" t="str">
        <f>VLOOKUP($E1027,Customer_Dim!$A$2:$F$501,5,FALSE)</f>
        <v>USA</v>
      </c>
      <c r="O1027" t="str">
        <f>VLOOKUP($E1027,Customer_Dim!$A$2:$F$501,6,FALSE)</f>
        <v>Silver</v>
      </c>
      <c r="P1027" t="str">
        <f>VLOOKUP($A1027,Store_Dim!$A$2:$F$21,3,FALSE)</f>
        <v>EastEast Stevechester</v>
      </c>
    </row>
    <row r="1028" spans="1:16" hidden="1" x14ac:dyDescent="0.25">
      <c r="A1028" t="s">
        <v>838</v>
      </c>
      <c r="B1028" t="s">
        <v>2370</v>
      </c>
      <c r="C1028" t="s">
        <v>680</v>
      </c>
      <c r="D1028" s="2">
        <v>45862</v>
      </c>
      <c r="E1028" t="s">
        <v>67</v>
      </c>
      <c r="F1028" t="str">
        <f>VLOOKUP($C1028,Product_Dim!$A$2:$D$101,3,FALSE)</f>
        <v>Harris Inc</v>
      </c>
      <c r="G1028" t="str">
        <f>VLOOKUP($C1028,Product_Dim!$A$2:$D$101,2,FALSE)</f>
        <v>Sports</v>
      </c>
      <c r="H1028">
        <v>3</v>
      </c>
      <c r="I1028">
        <v>634.45000000000005</v>
      </c>
      <c r="J1028">
        <v>0.17</v>
      </c>
      <c r="K1028" s="3">
        <v>1579.7805000000001</v>
      </c>
      <c r="L1028" t="s">
        <v>854</v>
      </c>
      <c r="M1028" t="str">
        <f>VLOOKUP($E1028,Customer_Dim!$A$2:$F$501,3,FALSE)</f>
        <v>Female</v>
      </c>
      <c r="N1028" t="str">
        <f>VLOOKUP($E1028,Customer_Dim!$A$2:$F$501,5,FALSE)</f>
        <v>USA</v>
      </c>
      <c r="O1028" t="str">
        <f>VLOOKUP($E1028,Customer_Dim!$A$2:$F$501,6,FALSE)</f>
        <v>Bronze</v>
      </c>
      <c r="P1028" t="str">
        <f>VLOOKUP($A1028,Store_Dim!$A$2:$F$21,3,FALSE)</f>
        <v>EastEast Stevechester</v>
      </c>
    </row>
    <row r="1029" spans="1:16" x14ac:dyDescent="0.25">
      <c r="A1029" t="s">
        <v>838</v>
      </c>
      <c r="B1029" t="s">
        <v>1881</v>
      </c>
      <c r="C1029" t="s">
        <v>680</v>
      </c>
      <c r="D1029" s="2">
        <v>45422</v>
      </c>
      <c r="E1029" t="s">
        <v>503</v>
      </c>
      <c r="F1029" t="str">
        <f>VLOOKUP($C1029,Product_Dim!$A$2:$D$101,3,FALSE)</f>
        <v>Harris Inc</v>
      </c>
      <c r="G1029" t="str">
        <f>VLOOKUP($C1029,Product_Dim!$A$2:$D$101,2,FALSE)</f>
        <v>Sports</v>
      </c>
      <c r="H1029">
        <v>1</v>
      </c>
      <c r="I1029">
        <v>73.88</v>
      </c>
      <c r="J1029">
        <v>0.04</v>
      </c>
      <c r="K1029" s="3">
        <v>70.924799999999991</v>
      </c>
      <c r="L1029" t="s">
        <v>852</v>
      </c>
      <c r="M1029" t="str">
        <f>VLOOKUP($E1029,Customer_Dim!$A$2:$F$501,3,FALSE)</f>
        <v>Male</v>
      </c>
      <c r="N1029" t="str">
        <f>VLOOKUP($E1029,Customer_Dim!$A$2:$F$501,5,FALSE)</f>
        <v>USA</v>
      </c>
      <c r="O1029" t="str">
        <f>VLOOKUP($E1029,Customer_Dim!$A$2:$F$501,6,FALSE)</f>
        <v>Gold</v>
      </c>
      <c r="P1029" t="str">
        <f>VLOOKUP($A1029,Store_Dim!$A$2:$F$21,3,FALSE)</f>
        <v>EastEast Stevechester</v>
      </c>
    </row>
    <row r="1030" spans="1:16" x14ac:dyDescent="0.25">
      <c r="A1030" t="s">
        <v>838</v>
      </c>
      <c r="B1030" t="s">
        <v>1827</v>
      </c>
      <c r="C1030" t="s">
        <v>684</v>
      </c>
      <c r="D1030" s="2">
        <v>45311</v>
      </c>
      <c r="E1030" t="s">
        <v>469</v>
      </c>
      <c r="F1030" t="str">
        <f>VLOOKUP($C1030,Product_Dim!$A$2:$D$101,3,FALSE)</f>
        <v>Thompson-French</v>
      </c>
      <c r="G1030" t="str">
        <f>VLOOKUP($C1030,Product_Dim!$A$2:$D$101,2,FALSE)</f>
        <v>Sports</v>
      </c>
      <c r="H1030">
        <v>2</v>
      </c>
      <c r="I1030">
        <v>528.29999999999995</v>
      </c>
      <c r="J1030">
        <v>0.24</v>
      </c>
      <c r="K1030" s="3">
        <v>803.01599999999996</v>
      </c>
      <c r="L1030" t="s">
        <v>852</v>
      </c>
      <c r="M1030" t="str">
        <f>VLOOKUP($E1030,Customer_Dim!$A$2:$F$501,3,FALSE)</f>
        <v>Male</v>
      </c>
      <c r="N1030" t="str">
        <f>VLOOKUP($E1030,Customer_Dim!$A$2:$F$501,5,FALSE)</f>
        <v>USA</v>
      </c>
      <c r="O1030" t="str">
        <f>VLOOKUP($E1030,Customer_Dim!$A$2:$F$501,6,FALSE)</f>
        <v>Bronze</v>
      </c>
      <c r="P1030" t="str">
        <f>VLOOKUP($A1030,Store_Dim!$A$2:$F$21,3,FALSE)</f>
        <v>EastEast Stevechester</v>
      </c>
    </row>
    <row r="1031" spans="1:16" hidden="1" x14ac:dyDescent="0.25">
      <c r="A1031" t="s">
        <v>838</v>
      </c>
      <c r="B1031" t="s">
        <v>2763</v>
      </c>
      <c r="C1031" t="s">
        <v>684</v>
      </c>
      <c r="D1031" s="2">
        <v>45495</v>
      </c>
      <c r="E1031" t="s">
        <v>512</v>
      </c>
      <c r="F1031" t="str">
        <f>VLOOKUP($C1031,Product_Dim!$A$2:$D$101,3,FALSE)</f>
        <v>Thompson-French</v>
      </c>
      <c r="G1031" t="str">
        <f>VLOOKUP($C1031,Product_Dim!$A$2:$D$101,2,FALSE)</f>
        <v>Sports</v>
      </c>
      <c r="H1031">
        <v>2</v>
      </c>
      <c r="I1031">
        <v>810.81</v>
      </c>
      <c r="J1031">
        <v>0.11</v>
      </c>
      <c r="K1031" s="3">
        <v>1443.2418</v>
      </c>
      <c r="L1031" t="s">
        <v>857</v>
      </c>
      <c r="M1031" t="str">
        <f>VLOOKUP($E1031,Customer_Dim!$A$2:$F$501,3,FALSE)</f>
        <v>Female</v>
      </c>
      <c r="N1031" t="str">
        <f>VLOOKUP($E1031,Customer_Dim!$A$2:$F$501,5,FALSE)</f>
        <v>USA</v>
      </c>
      <c r="O1031" t="str">
        <f>VLOOKUP($E1031,Customer_Dim!$A$2:$F$501,6,FALSE)</f>
        <v>Platinum</v>
      </c>
      <c r="P1031" t="str">
        <f>VLOOKUP($A1031,Store_Dim!$A$2:$F$21,3,FALSE)</f>
        <v>EastEast Stevechester</v>
      </c>
    </row>
    <row r="1032" spans="1:16" x14ac:dyDescent="0.25">
      <c r="A1032" t="s">
        <v>838</v>
      </c>
      <c r="B1032" t="s">
        <v>2336</v>
      </c>
      <c r="C1032" t="s">
        <v>686</v>
      </c>
      <c r="D1032" s="2">
        <v>45733</v>
      </c>
      <c r="E1032" t="s">
        <v>177</v>
      </c>
      <c r="F1032" t="str">
        <f>VLOOKUP($C1032,Product_Dim!$A$2:$D$101,3,FALSE)</f>
        <v>Hatfield, Baird and Torres</v>
      </c>
      <c r="G1032" t="str">
        <f>VLOOKUP($C1032,Product_Dim!$A$2:$D$101,2,FALSE)</f>
        <v>Home</v>
      </c>
      <c r="H1032">
        <v>3</v>
      </c>
      <c r="I1032">
        <v>471.27</v>
      </c>
      <c r="J1032">
        <v>0.27</v>
      </c>
      <c r="K1032" s="3">
        <v>1032.0813000000001</v>
      </c>
      <c r="L1032" t="s">
        <v>857</v>
      </c>
      <c r="M1032" t="str">
        <f>VLOOKUP($E1032,Customer_Dim!$A$2:$F$501,3,FALSE)</f>
        <v>Male</v>
      </c>
      <c r="N1032" t="str">
        <f>VLOOKUP($E1032,Customer_Dim!$A$2:$F$501,5,FALSE)</f>
        <v>USA</v>
      </c>
      <c r="O1032" t="str">
        <f>VLOOKUP($E1032,Customer_Dim!$A$2:$F$501,6,FALSE)</f>
        <v>Bronze</v>
      </c>
      <c r="P1032" t="str">
        <f>VLOOKUP($A1032,Store_Dim!$A$2:$F$21,3,FALSE)</f>
        <v>EastEast Stevechester</v>
      </c>
    </row>
    <row r="1033" spans="1:16" hidden="1" x14ac:dyDescent="0.25">
      <c r="A1033" t="s">
        <v>838</v>
      </c>
      <c r="B1033" t="s">
        <v>2542</v>
      </c>
      <c r="C1033" t="s">
        <v>688</v>
      </c>
      <c r="D1033" s="2">
        <v>45420</v>
      </c>
      <c r="E1033" t="s">
        <v>271</v>
      </c>
      <c r="F1033" t="str">
        <f>VLOOKUP($C1033,Product_Dim!$A$2:$D$101,3,FALSE)</f>
        <v>Hernandez, Kennedy and Porter</v>
      </c>
      <c r="G1033" t="str">
        <f>VLOOKUP($C1033,Product_Dim!$A$2:$D$101,2,FALSE)</f>
        <v>Home</v>
      </c>
      <c r="H1033">
        <v>1</v>
      </c>
      <c r="I1033">
        <v>75.8</v>
      </c>
      <c r="J1033">
        <v>0.28999999999999998</v>
      </c>
      <c r="K1033" s="3">
        <v>53.817999999999998</v>
      </c>
      <c r="L1033" t="s">
        <v>854</v>
      </c>
      <c r="M1033" t="str">
        <f>VLOOKUP($E1033,Customer_Dim!$A$2:$F$501,3,FALSE)</f>
        <v>Female</v>
      </c>
      <c r="N1033" t="str">
        <f>VLOOKUP($E1033,Customer_Dim!$A$2:$F$501,5,FALSE)</f>
        <v>USA</v>
      </c>
      <c r="O1033" t="str">
        <f>VLOOKUP($E1033,Customer_Dim!$A$2:$F$501,6,FALSE)</f>
        <v>Silver</v>
      </c>
      <c r="P1033" t="str">
        <f>VLOOKUP($A1033,Store_Dim!$A$2:$F$21,3,FALSE)</f>
        <v>EastEast Stevechester</v>
      </c>
    </row>
    <row r="1034" spans="1:16" x14ac:dyDescent="0.25">
      <c r="A1034" t="s">
        <v>838</v>
      </c>
      <c r="B1034" t="s">
        <v>2715</v>
      </c>
      <c r="C1034" t="s">
        <v>688</v>
      </c>
      <c r="D1034" s="2">
        <v>45573</v>
      </c>
      <c r="E1034" t="s">
        <v>275</v>
      </c>
      <c r="F1034" t="str">
        <f>VLOOKUP($C1034,Product_Dim!$A$2:$D$101,3,FALSE)</f>
        <v>Hernandez, Kennedy and Porter</v>
      </c>
      <c r="G1034" t="str">
        <f>VLOOKUP($C1034,Product_Dim!$A$2:$D$101,2,FALSE)</f>
        <v>Home</v>
      </c>
      <c r="H1034">
        <v>3</v>
      </c>
      <c r="I1034">
        <v>439.21</v>
      </c>
      <c r="J1034">
        <v>0.28000000000000003</v>
      </c>
      <c r="K1034" s="3">
        <v>948.69359999999983</v>
      </c>
      <c r="L1034" t="s">
        <v>857</v>
      </c>
      <c r="M1034" t="str">
        <f>VLOOKUP($E1034,Customer_Dim!$A$2:$F$501,3,FALSE)</f>
        <v>Male</v>
      </c>
      <c r="N1034" t="str">
        <f>VLOOKUP($E1034,Customer_Dim!$A$2:$F$501,5,FALSE)</f>
        <v>USA</v>
      </c>
      <c r="O1034" t="str">
        <f>VLOOKUP($E1034,Customer_Dim!$A$2:$F$501,6,FALSE)</f>
        <v>Silver</v>
      </c>
      <c r="P1034" t="str">
        <f>VLOOKUP($A1034,Store_Dim!$A$2:$F$21,3,FALSE)</f>
        <v>EastEast Stevechester</v>
      </c>
    </row>
    <row r="1035" spans="1:16" x14ac:dyDescent="0.25">
      <c r="A1035" t="s">
        <v>838</v>
      </c>
      <c r="B1035" t="s">
        <v>2563</v>
      </c>
      <c r="C1035" t="s">
        <v>688</v>
      </c>
      <c r="D1035" s="2">
        <v>45492</v>
      </c>
      <c r="E1035" t="s">
        <v>289</v>
      </c>
      <c r="F1035" t="str">
        <f>VLOOKUP($C1035,Product_Dim!$A$2:$D$101,3,FALSE)</f>
        <v>Hernandez, Kennedy and Porter</v>
      </c>
      <c r="G1035" t="str">
        <f>VLOOKUP($C1035,Product_Dim!$A$2:$D$101,2,FALSE)</f>
        <v>Home</v>
      </c>
      <c r="H1035">
        <v>1</v>
      </c>
      <c r="I1035">
        <v>772.07</v>
      </c>
      <c r="J1035">
        <v>0.26</v>
      </c>
      <c r="K1035" s="3">
        <v>571.33180000000004</v>
      </c>
      <c r="L1035" t="s">
        <v>854</v>
      </c>
      <c r="M1035" t="str">
        <f>VLOOKUP($E1035,Customer_Dim!$A$2:$F$501,3,FALSE)</f>
        <v>Male</v>
      </c>
      <c r="N1035" t="str">
        <f>VLOOKUP($E1035,Customer_Dim!$A$2:$F$501,5,FALSE)</f>
        <v>USA</v>
      </c>
      <c r="O1035" t="str">
        <f>VLOOKUP($E1035,Customer_Dim!$A$2:$F$501,6,FALSE)</f>
        <v>Platinum</v>
      </c>
      <c r="P1035" t="str">
        <f>VLOOKUP($A1035,Store_Dim!$A$2:$F$21,3,FALSE)</f>
        <v>EastEast Stevechester</v>
      </c>
    </row>
    <row r="1036" spans="1:16" hidden="1" x14ac:dyDescent="0.25">
      <c r="A1036" t="s">
        <v>838</v>
      </c>
      <c r="B1036" t="s">
        <v>2659</v>
      </c>
      <c r="C1036" t="s">
        <v>692</v>
      </c>
      <c r="D1036" s="2">
        <v>45486</v>
      </c>
      <c r="E1036" t="s">
        <v>433</v>
      </c>
      <c r="F1036" t="str">
        <f>VLOOKUP($C1036,Product_Dim!$A$2:$D$101,3,FALSE)</f>
        <v>Shepherd-Gould</v>
      </c>
      <c r="G1036" t="str">
        <f>VLOOKUP($C1036,Product_Dim!$A$2:$D$101,2,FALSE)</f>
        <v>Clothing</v>
      </c>
      <c r="H1036">
        <v>3</v>
      </c>
      <c r="I1036">
        <v>658.33</v>
      </c>
      <c r="J1036">
        <v>0.12</v>
      </c>
      <c r="K1036" s="3">
        <v>1737.9911999999999</v>
      </c>
      <c r="L1036" t="s">
        <v>857</v>
      </c>
      <c r="M1036" t="str">
        <f>VLOOKUP($E1036,Customer_Dim!$A$2:$F$501,3,FALSE)</f>
        <v>Female</v>
      </c>
      <c r="N1036" t="str">
        <f>VLOOKUP($E1036,Customer_Dim!$A$2:$F$501,5,FALSE)</f>
        <v>USA</v>
      </c>
      <c r="O1036" t="str">
        <f>VLOOKUP($E1036,Customer_Dim!$A$2:$F$501,6,FALSE)</f>
        <v>Platinum</v>
      </c>
      <c r="P1036" t="str">
        <f>VLOOKUP($A1036,Store_Dim!$A$2:$F$21,3,FALSE)</f>
        <v>EastEast Stevechester</v>
      </c>
    </row>
    <row r="1037" spans="1:16" hidden="1" x14ac:dyDescent="0.25">
      <c r="A1037" t="s">
        <v>838</v>
      </c>
      <c r="B1037" t="s">
        <v>1398</v>
      </c>
      <c r="C1037" t="s">
        <v>694</v>
      </c>
      <c r="D1037" s="2">
        <v>45842</v>
      </c>
      <c r="E1037" t="s">
        <v>230</v>
      </c>
      <c r="F1037" t="str">
        <f>VLOOKUP($C1037,Product_Dim!$A$2:$D$101,3,FALSE)</f>
        <v>Cline-Mccarthy</v>
      </c>
      <c r="G1037" t="str">
        <f>VLOOKUP($C1037,Product_Dim!$A$2:$D$101,2,FALSE)</f>
        <v>Beauty</v>
      </c>
      <c r="H1037">
        <v>3</v>
      </c>
      <c r="I1037">
        <v>178.22</v>
      </c>
      <c r="J1037">
        <v>0.15</v>
      </c>
      <c r="K1037" s="3">
        <v>454.46100000000001</v>
      </c>
      <c r="L1037" t="s">
        <v>857</v>
      </c>
      <c r="M1037" t="str">
        <f>VLOOKUP($E1037,Customer_Dim!$A$2:$F$501,3,FALSE)</f>
        <v>Female</v>
      </c>
      <c r="N1037" t="str">
        <f>VLOOKUP($E1037,Customer_Dim!$A$2:$F$501,5,FALSE)</f>
        <v>USA</v>
      </c>
      <c r="O1037" t="str">
        <f>VLOOKUP($E1037,Customer_Dim!$A$2:$F$501,6,FALSE)</f>
        <v>Silver</v>
      </c>
      <c r="P1037" t="str">
        <f>VLOOKUP($A1037,Store_Dim!$A$2:$F$21,3,FALSE)</f>
        <v>EastEast Stevechester</v>
      </c>
    </row>
    <row r="1038" spans="1:16" hidden="1" x14ac:dyDescent="0.25">
      <c r="A1038" t="s">
        <v>838</v>
      </c>
      <c r="B1038" t="s">
        <v>2387</v>
      </c>
      <c r="C1038" t="s">
        <v>694</v>
      </c>
      <c r="D1038" s="2">
        <v>45619</v>
      </c>
      <c r="E1038" t="s">
        <v>440</v>
      </c>
      <c r="F1038" t="str">
        <f>VLOOKUP($C1038,Product_Dim!$A$2:$D$101,3,FALSE)</f>
        <v>Cline-Mccarthy</v>
      </c>
      <c r="G1038" t="str">
        <f>VLOOKUP($C1038,Product_Dim!$A$2:$D$101,2,FALSE)</f>
        <v>Beauty</v>
      </c>
      <c r="H1038">
        <v>4</v>
      </c>
      <c r="I1038">
        <v>790.38</v>
      </c>
      <c r="J1038">
        <v>0.22</v>
      </c>
      <c r="K1038" s="3">
        <v>2465.9856</v>
      </c>
      <c r="L1038" t="s">
        <v>857</v>
      </c>
      <c r="M1038" t="str">
        <f>VLOOKUP($E1038,Customer_Dim!$A$2:$F$501,3,FALSE)</f>
        <v>Female</v>
      </c>
      <c r="N1038" t="str">
        <f>VLOOKUP($E1038,Customer_Dim!$A$2:$F$501,5,FALSE)</f>
        <v>USA</v>
      </c>
      <c r="O1038" t="str">
        <f>VLOOKUP($E1038,Customer_Dim!$A$2:$F$501,6,FALSE)</f>
        <v>Gold</v>
      </c>
      <c r="P1038" t="str">
        <f>VLOOKUP($A1038,Store_Dim!$A$2:$F$21,3,FALSE)</f>
        <v>EastEast Stevechester</v>
      </c>
    </row>
    <row r="1039" spans="1:16" x14ac:dyDescent="0.25">
      <c r="A1039" t="s">
        <v>838</v>
      </c>
      <c r="B1039" t="s">
        <v>2342</v>
      </c>
      <c r="C1039" t="s">
        <v>585</v>
      </c>
      <c r="D1039" s="2">
        <v>45449</v>
      </c>
      <c r="E1039" t="s">
        <v>299</v>
      </c>
      <c r="F1039" t="str">
        <f>VLOOKUP($C1039,Product_Dim!$A$2:$D$101,3,FALSE)</f>
        <v>Davidson PLC</v>
      </c>
      <c r="G1039" t="str">
        <f>VLOOKUP($C1039,Product_Dim!$A$2:$D$101,2,FALSE)</f>
        <v>Beauty</v>
      </c>
      <c r="H1039">
        <v>4</v>
      </c>
      <c r="I1039">
        <v>96.78</v>
      </c>
      <c r="J1039">
        <v>0.11</v>
      </c>
      <c r="K1039" s="3">
        <v>344.53680000000003</v>
      </c>
      <c r="L1039" t="s">
        <v>854</v>
      </c>
      <c r="M1039" t="str">
        <f>VLOOKUP($E1039,Customer_Dim!$A$2:$F$501,3,FALSE)</f>
        <v>Male</v>
      </c>
      <c r="N1039" t="str">
        <f>VLOOKUP($E1039,Customer_Dim!$A$2:$F$501,5,FALSE)</f>
        <v>USA</v>
      </c>
      <c r="O1039" t="str">
        <f>VLOOKUP($E1039,Customer_Dim!$A$2:$F$501,6,FALSE)</f>
        <v>Silver</v>
      </c>
      <c r="P1039" t="str">
        <f>VLOOKUP($A1039,Store_Dim!$A$2:$F$21,3,FALSE)</f>
        <v>EastEast Stevechester</v>
      </c>
    </row>
    <row r="1040" spans="1:16" hidden="1" x14ac:dyDescent="0.25">
      <c r="A1040" t="s">
        <v>838</v>
      </c>
      <c r="B1040" t="s">
        <v>2159</v>
      </c>
      <c r="C1040" t="s">
        <v>696</v>
      </c>
      <c r="D1040" s="2">
        <v>45616</v>
      </c>
      <c r="E1040" t="s">
        <v>18</v>
      </c>
      <c r="F1040" t="str">
        <f>VLOOKUP($C1040,Product_Dim!$A$2:$D$101,3,FALSE)</f>
        <v>Gibson, Green and Lopez</v>
      </c>
      <c r="G1040" t="str">
        <f>VLOOKUP($C1040,Product_Dim!$A$2:$D$101,2,FALSE)</f>
        <v>Beauty</v>
      </c>
      <c r="H1040">
        <v>1</v>
      </c>
      <c r="I1040">
        <v>146.49</v>
      </c>
      <c r="J1040">
        <v>0.28000000000000003</v>
      </c>
      <c r="K1040" s="3">
        <v>105.47280000000001</v>
      </c>
      <c r="L1040" t="s">
        <v>852</v>
      </c>
      <c r="M1040" t="str">
        <f>VLOOKUP($E1040,Customer_Dim!$A$2:$F$501,3,FALSE)</f>
        <v>Female</v>
      </c>
      <c r="N1040" t="str">
        <f>VLOOKUP($E1040,Customer_Dim!$A$2:$F$501,5,FALSE)</f>
        <v>USA</v>
      </c>
      <c r="O1040" t="str">
        <f>VLOOKUP($E1040,Customer_Dim!$A$2:$F$501,6,FALSE)</f>
        <v>Bronze</v>
      </c>
      <c r="P1040" t="str">
        <f>VLOOKUP($A1040,Store_Dim!$A$2:$F$21,3,FALSE)</f>
        <v>EastEast Stevechester</v>
      </c>
    </row>
    <row r="1041" spans="1:16" x14ac:dyDescent="0.25">
      <c r="A1041" t="s">
        <v>838</v>
      </c>
      <c r="B1041" t="s">
        <v>2839</v>
      </c>
      <c r="C1041" t="s">
        <v>696</v>
      </c>
      <c r="D1041" s="2">
        <v>45229</v>
      </c>
      <c r="E1041" t="s">
        <v>521</v>
      </c>
      <c r="F1041" t="str">
        <f>VLOOKUP($C1041,Product_Dim!$A$2:$D$101,3,FALSE)</f>
        <v>Gibson, Green and Lopez</v>
      </c>
      <c r="G1041" t="str">
        <f>VLOOKUP($C1041,Product_Dim!$A$2:$D$101,2,FALSE)</f>
        <v>Beauty</v>
      </c>
      <c r="H1041">
        <v>3</v>
      </c>
      <c r="I1041">
        <v>345.43</v>
      </c>
      <c r="J1041">
        <v>0.08</v>
      </c>
      <c r="K1041" s="3">
        <v>953.38679999999999</v>
      </c>
      <c r="L1041" t="s">
        <v>857</v>
      </c>
      <c r="M1041" t="str">
        <f>VLOOKUP($E1041,Customer_Dim!$A$2:$F$501,3,FALSE)</f>
        <v>Male</v>
      </c>
      <c r="N1041" t="str">
        <f>VLOOKUP($E1041,Customer_Dim!$A$2:$F$501,5,FALSE)</f>
        <v>USA</v>
      </c>
      <c r="O1041" t="str">
        <f>VLOOKUP($E1041,Customer_Dim!$A$2:$F$501,6,FALSE)</f>
        <v>Gold</v>
      </c>
      <c r="P1041" t="str">
        <f>VLOOKUP($A1041,Store_Dim!$A$2:$F$21,3,FALSE)</f>
        <v>EastEast Stevechester</v>
      </c>
    </row>
    <row r="1042" spans="1:16" hidden="1" x14ac:dyDescent="0.25">
      <c r="A1042" t="s">
        <v>838</v>
      </c>
      <c r="B1042" t="s">
        <v>2529</v>
      </c>
      <c r="C1042" t="s">
        <v>704</v>
      </c>
      <c r="D1042" s="2">
        <v>45851</v>
      </c>
      <c r="E1042" t="s">
        <v>45</v>
      </c>
      <c r="F1042" t="str">
        <f>VLOOKUP($C1042,Product_Dim!$A$2:$D$101,3,FALSE)</f>
        <v>Zhang Inc</v>
      </c>
      <c r="G1042" t="str">
        <f>VLOOKUP($C1042,Product_Dim!$A$2:$D$101,2,FALSE)</f>
        <v>Beauty</v>
      </c>
      <c r="H1042">
        <v>1</v>
      </c>
      <c r="I1042">
        <v>711.08</v>
      </c>
      <c r="J1042">
        <v>0.24</v>
      </c>
      <c r="K1042" s="3">
        <v>540.42079999999999</v>
      </c>
      <c r="L1042" t="s">
        <v>854</v>
      </c>
      <c r="M1042" t="str">
        <f>VLOOKUP($E1042,Customer_Dim!$A$2:$F$501,3,FALSE)</f>
        <v>Female</v>
      </c>
      <c r="N1042" t="str">
        <f>VLOOKUP($E1042,Customer_Dim!$A$2:$F$501,5,FALSE)</f>
        <v>USA</v>
      </c>
      <c r="O1042" t="str">
        <f>VLOOKUP($E1042,Customer_Dim!$A$2:$F$501,6,FALSE)</f>
        <v>Bronze</v>
      </c>
      <c r="P1042" t="str">
        <f>VLOOKUP($A1042,Store_Dim!$A$2:$F$21,3,FALSE)</f>
        <v>EastEast Stevechester</v>
      </c>
    </row>
    <row r="1043" spans="1:16" x14ac:dyDescent="0.25">
      <c r="A1043" t="s">
        <v>838</v>
      </c>
      <c r="B1043" t="s">
        <v>2586</v>
      </c>
      <c r="C1043" t="s">
        <v>708</v>
      </c>
      <c r="D1043" s="2">
        <v>45628</v>
      </c>
      <c r="E1043" t="s">
        <v>101</v>
      </c>
      <c r="F1043" t="str">
        <f>VLOOKUP($C1043,Product_Dim!$A$2:$D$101,3,FALSE)</f>
        <v>Torres, Spencer and Potter</v>
      </c>
      <c r="G1043" t="str">
        <f>VLOOKUP($C1043,Product_Dim!$A$2:$D$101,2,FALSE)</f>
        <v>Beauty</v>
      </c>
      <c r="H1043">
        <v>2</v>
      </c>
      <c r="I1043">
        <v>864.09</v>
      </c>
      <c r="J1043">
        <v>0.06</v>
      </c>
      <c r="K1043" s="3">
        <v>1624.4892</v>
      </c>
      <c r="L1043" t="s">
        <v>857</v>
      </c>
      <c r="M1043" t="str">
        <f>VLOOKUP($E1043,Customer_Dim!$A$2:$F$501,3,FALSE)</f>
        <v>Male</v>
      </c>
      <c r="N1043" t="str">
        <f>VLOOKUP($E1043,Customer_Dim!$A$2:$F$501,5,FALSE)</f>
        <v>USA</v>
      </c>
      <c r="O1043" t="str">
        <f>VLOOKUP($E1043,Customer_Dim!$A$2:$F$501,6,FALSE)</f>
        <v>Platinum</v>
      </c>
      <c r="P1043" t="str">
        <f>VLOOKUP($A1043,Store_Dim!$A$2:$F$21,3,FALSE)</f>
        <v>EastEast Stevechester</v>
      </c>
    </row>
    <row r="1044" spans="1:16" hidden="1" x14ac:dyDescent="0.25">
      <c r="A1044" t="s">
        <v>838</v>
      </c>
      <c r="B1044" t="s">
        <v>1910</v>
      </c>
      <c r="C1044" t="s">
        <v>708</v>
      </c>
      <c r="D1044" s="2">
        <v>45431</v>
      </c>
      <c r="E1044" t="s">
        <v>130</v>
      </c>
      <c r="F1044" t="str">
        <f>VLOOKUP($C1044,Product_Dim!$A$2:$D$101,3,FALSE)</f>
        <v>Torres, Spencer and Potter</v>
      </c>
      <c r="G1044" t="str">
        <f>VLOOKUP($C1044,Product_Dim!$A$2:$D$101,2,FALSE)</f>
        <v>Beauty</v>
      </c>
      <c r="H1044">
        <v>4</v>
      </c>
      <c r="I1044">
        <v>99.92</v>
      </c>
      <c r="J1044">
        <v>0.11</v>
      </c>
      <c r="K1044" s="3">
        <v>355.71519999999998</v>
      </c>
      <c r="L1044" t="s">
        <v>857</v>
      </c>
      <c r="M1044" t="str">
        <f>VLOOKUP($E1044,Customer_Dim!$A$2:$F$501,3,FALSE)</f>
        <v>Female</v>
      </c>
      <c r="N1044" t="str">
        <f>VLOOKUP($E1044,Customer_Dim!$A$2:$F$501,5,FALSE)</f>
        <v>USA</v>
      </c>
      <c r="O1044" t="str">
        <f>VLOOKUP($E1044,Customer_Dim!$A$2:$F$501,6,FALSE)</f>
        <v>Gold</v>
      </c>
      <c r="P1044" t="str">
        <f>VLOOKUP($A1044,Store_Dim!$A$2:$F$21,3,FALSE)</f>
        <v>EastEast Stevechester</v>
      </c>
    </row>
    <row r="1045" spans="1:16" hidden="1" x14ac:dyDescent="0.25">
      <c r="A1045" t="s">
        <v>838</v>
      </c>
      <c r="B1045" t="s">
        <v>2310</v>
      </c>
      <c r="C1045" t="s">
        <v>710</v>
      </c>
      <c r="D1045" s="2">
        <v>45900</v>
      </c>
      <c r="E1045" t="s">
        <v>244</v>
      </c>
      <c r="F1045" t="str">
        <f>VLOOKUP($C1045,Product_Dim!$A$2:$D$101,3,FALSE)</f>
        <v>Flores-Davis</v>
      </c>
      <c r="G1045" t="str">
        <f>VLOOKUP($C1045,Product_Dim!$A$2:$D$101,2,FALSE)</f>
        <v>Electronics</v>
      </c>
      <c r="H1045">
        <v>2</v>
      </c>
      <c r="I1045">
        <v>947.56</v>
      </c>
      <c r="J1045">
        <v>0.02</v>
      </c>
      <c r="K1045" s="3">
        <v>1857.2175999999999</v>
      </c>
      <c r="L1045" t="s">
        <v>857</v>
      </c>
      <c r="M1045" t="str">
        <f>VLOOKUP($E1045,Customer_Dim!$A$2:$F$501,3,FALSE)</f>
        <v>Female</v>
      </c>
      <c r="N1045" t="str">
        <f>VLOOKUP($E1045,Customer_Dim!$A$2:$F$501,5,FALSE)</f>
        <v>USA</v>
      </c>
      <c r="O1045" t="str">
        <f>VLOOKUP($E1045,Customer_Dim!$A$2:$F$501,6,FALSE)</f>
        <v>Silver</v>
      </c>
      <c r="P1045" t="str">
        <f>VLOOKUP($A1045,Store_Dim!$A$2:$F$21,3,FALSE)</f>
        <v>EastEast Stevechester</v>
      </c>
    </row>
    <row r="1046" spans="1:16" hidden="1" x14ac:dyDescent="0.25">
      <c r="A1046" t="s">
        <v>838</v>
      </c>
      <c r="B1046" t="s">
        <v>2550</v>
      </c>
      <c r="C1046" t="s">
        <v>710</v>
      </c>
      <c r="D1046" s="2">
        <v>45515</v>
      </c>
      <c r="E1046" t="s">
        <v>484</v>
      </c>
      <c r="F1046" t="str">
        <f>VLOOKUP($C1046,Product_Dim!$A$2:$D$101,3,FALSE)</f>
        <v>Flores-Davis</v>
      </c>
      <c r="G1046" t="str">
        <f>VLOOKUP($C1046,Product_Dim!$A$2:$D$101,2,FALSE)</f>
        <v>Electronics</v>
      </c>
      <c r="H1046">
        <v>1</v>
      </c>
      <c r="I1046">
        <v>980.26</v>
      </c>
      <c r="J1046">
        <v>0.14000000000000001</v>
      </c>
      <c r="K1046" s="3">
        <v>843.02359999999999</v>
      </c>
      <c r="L1046" t="s">
        <v>854</v>
      </c>
      <c r="M1046" t="str">
        <f>VLOOKUP($E1046,Customer_Dim!$A$2:$F$501,3,FALSE)</f>
        <v>Female</v>
      </c>
      <c r="N1046" t="str">
        <f>VLOOKUP($E1046,Customer_Dim!$A$2:$F$501,5,FALSE)</f>
        <v>USA</v>
      </c>
      <c r="O1046" t="str">
        <f>VLOOKUP($E1046,Customer_Dim!$A$2:$F$501,6,FALSE)</f>
        <v>Bronze</v>
      </c>
      <c r="P1046" t="str">
        <f>VLOOKUP($A1046,Store_Dim!$A$2:$F$21,3,FALSE)</f>
        <v>EastEast Stevechester</v>
      </c>
    </row>
    <row r="1047" spans="1:16" hidden="1" x14ac:dyDescent="0.25">
      <c r="A1047" t="s">
        <v>838</v>
      </c>
      <c r="B1047" t="s">
        <v>1232</v>
      </c>
      <c r="C1047" t="s">
        <v>588</v>
      </c>
      <c r="D1047" s="2">
        <v>45535</v>
      </c>
      <c r="E1047" t="s">
        <v>188</v>
      </c>
      <c r="F1047" t="str">
        <f>VLOOKUP($C1047,Product_Dim!$A$2:$D$101,3,FALSE)</f>
        <v>Harrell LLC</v>
      </c>
      <c r="G1047" t="str">
        <f>VLOOKUP($C1047,Product_Dim!$A$2:$D$101,2,FALSE)</f>
        <v>Home</v>
      </c>
      <c r="H1047">
        <v>4</v>
      </c>
      <c r="I1047">
        <v>241.32</v>
      </c>
      <c r="J1047">
        <v>0.28999999999999998</v>
      </c>
      <c r="K1047" s="3">
        <v>685.34879999999998</v>
      </c>
      <c r="L1047" t="s">
        <v>857</v>
      </c>
      <c r="M1047" t="str">
        <f>VLOOKUP($E1047,Customer_Dim!$A$2:$F$501,3,FALSE)</f>
        <v>Female</v>
      </c>
      <c r="N1047" t="str">
        <f>VLOOKUP($E1047,Customer_Dim!$A$2:$F$501,5,FALSE)</f>
        <v>USA</v>
      </c>
      <c r="O1047" t="str">
        <f>VLOOKUP($E1047,Customer_Dim!$A$2:$F$501,6,FALSE)</f>
        <v>Platinum</v>
      </c>
      <c r="P1047" t="str">
        <f>VLOOKUP($A1047,Store_Dim!$A$2:$F$21,3,FALSE)</f>
        <v>EastEast Stevechester</v>
      </c>
    </row>
    <row r="1048" spans="1:16" x14ac:dyDescent="0.25">
      <c r="A1048" t="s">
        <v>838</v>
      </c>
      <c r="B1048" t="s">
        <v>1014</v>
      </c>
      <c r="C1048" t="s">
        <v>716</v>
      </c>
      <c r="D1048" s="2">
        <v>45918</v>
      </c>
      <c r="E1048" t="s">
        <v>51</v>
      </c>
      <c r="F1048" t="str">
        <f>VLOOKUP($C1048,Product_Dim!$A$2:$D$101,3,FALSE)</f>
        <v>Duran Group</v>
      </c>
      <c r="G1048" t="str">
        <f>VLOOKUP($C1048,Product_Dim!$A$2:$D$101,2,FALSE)</f>
        <v>Home</v>
      </c>
      <c r="H1048">
        <v>2</v>
      </c>
      <c r="I1048">
        <v>623.38</v>
      </c>
      <c r="J1048">
        <v>0.13</v>
      </c>
      <c r="K1048" s="3">
        <v>1084.6812</v>
      </c>
      <c r="L1048" t="s">
        <v>852</v>
      </c>
      <c r="M1048" t="str">
        <f>VLOOKUP($E1048,Customer_Dim!$A$2:$F$501,3,FALSE)</f>
        <v>Male</v>
      </c>
      <c r="N1048" t="str">
        <f>VLOOKUP($E1048,Customer_Dim!$A$2:$F$501,5,FALSE)</f>
        <v>USA</v>
      </c>
      <c r="O1048" t="str">
        <f>VLOOKUP($E1048,Customer_Dim!$A$2:$F$501,6,FALSE)</f>
        <v>Silver</v>
      </c>
      <c r="P1048" t="str">
        <f>VLOOKUP($A1048,Store_Dim!$A$2:$F$21,3,FALSE)</f>
        <v>EastEast Stevechester</v>
      </c>
    </row>
    <row r="1049" spans="1:16" hidden="1" x14ac:dyDescent="0.25">
      <c r="A1049" t="s">
        <v>838</v>
      </c>
      <c r="B1049" t="s">
        <v>1638</v>
      </c>
      <c r="C1049" t="s">
        <v>716</v>
      </c>
      <c r="D1049" s="2">
        <v>45764</v>
      </c>
      <c r="E1049" t="s">
        <v>444</v>
      </c>
      <c r="F1049" t="str">
        <f>VLOOKUP($C1049,Product_Dim!$A$2:$D$101,3,FALSE)</f>
        <v>Duran Group</v>
      </c>
      <c r="G1049" t="str">
        <f>VLOOKUP($C1049,Product_Dim!$A$2:$D$101,2,FALSE)</f>
        <v>Home</v>
      </c>
      <c r="H1049">
        <v>1</v>
      </c>
      <c r="I1049">
        <v>914.75</v>
      </c>
      <c r="J1049">
        <v>0.1</v>
      </c>
      <c r="K1049" s="3">
        <v>823.27499999999998</v>
      </c>
      <c r="L1049" t="s">
        <v>857</v>
      </c>
      <c r="M1049" t="str">
        <f>VLOOKUP($E1049,Customer_Dim!$A$2:$F$501,3,FALSE)</f>
        <v>Female</v>
      </c>
      <c r="N1049" t="str">
        <f>VLOOKUP($E1049,Customer_Dim!$A$2:$F$501,5,FALSE)</f>
        <v>USA</v>
      </c>
      <c r="O1049" t="str">
        <f>VLOOKUP($E1049,Customer_Dim!$A$2:$F$501,6,FALSE)</f>
        <v>Gold</v>
      </c>
      <c r="P1049" t="str">
        <f>VLOOKUP($A1049,Store_Dim!$A$2:$F$21,3,FALSE)</f>
        <v>EastEast Stevechester</v>
      </c>
    </row>
    <row r="1050" spans="1:16" hidden="1" x14ac:dyDescent="0.25">
      <c r="A1050" t="s">
        <v>838</v>
      </c>
      <c r="B1050" t="s">
        <v>1702</v>
      </c>
      <c r="C1050" t="s">
        <v>716</v>
      </c>
      <c r="D1050" s="2">
        <v>45437</v>
      </c>
      <c r="E1050" t="s">
        <v>564</v>
      </c>
      <c r="F1050" t="str">
        <f>VLOOKUP($C1050,Product_Dim!$A$2:$D$101,3,FALSE)</f>
        <v>Duran Group</v>
      </c>
      <c r="G1050" t="str">
        <f>VLOOKUP($C1050,Product_Dim!$A$2:$D$101,2,FALSE)</f>
        <v>Home</v>
      </c>
      <c r="H1050">
        <v>4</v>
      </c>
      <c r="I1050">
        <v>883.31</v>
      </c>
      <c r="J1050">
        <v>0.27</v>
      </c>
      <c r="K1050" s="3">
        <v>2579.2651999999998</v>
      </c>
      <c r="L1050" t="s">
        <v>852</v>
      </c>
      <c r="M1050" t="str">
        <f>VLOOKUP($E1050,Customer_Dim!$A$2:$F$501,3,FALSE)</f>
        <v>Female</v>
      </c>
      <c r="N1050" t="str">
        <f>VLOOKUP($E1050,Customer_Dim!$A$2:$F$501,5,FALSE)</f>
        <v>USA</v>
      </c>
      <c r="O1050" t="str">
        <f>VLOOKUP($E1050,Customer_Dim!$A$2:$F$501,6,FALSE)</f>
        <v>Gold</v>
      </c>
      <c r="P1050" t="str">
        <f>VLOOKUP($A1050,Store_Dim!$A$2:$F$21,3,FALSE)</f>
        <v>EastEast Stevechester</v>
      </c>
    </row>
    <row r="1051" spans="1:16" x14ac:dyDescent="0.25">
      <c r="A1051" t="s">
        <v>838</v>
      </c>
      <c r="B1051" t="s">
        <v>1442</v>
      </c>
      <c r="C1051" t="s">
        <v>718</v>
      </c>
      <c r="D1051" s="2">
        <v>45357</v>
      </c>
      <c r="E1051" t="s">
        <v>279</v>
      </c>
      <c r="F1051" t="str">
        <f>VLOOKUP($C1051,Product_Dim!$A$2:$D$101,3,FALSE)</f>
        <v>Hopkins Ltd</v>
      </c>
      <c r="G1051" t="str">
        <f>VLOOKUP($C1051,Product_Dim!$A$2:$D$101,2,FALSE)</f>
        <v>Beauty</v>
      </c>
      <c r="H1051">
        <v>1</v>
      </c>
      <c r="I1051">
        <v>250.95</v>
      </c>
      <c r="J1051">
        <v>0.03</v>
      </c>
      <c r="K1051" s="3">
        <v>243.42150000000001</v>
      </c>
      <c r="L1051" t="s">
        <v>854</v>
      </c>
      <c r="M1051" t="str">
        <f>VLOOKUP($E1051,Customer_Dim!$A$2:$F$501,3,FALSE)</f>
        <v>Male</v>
      </c>
      <c r="N1051" t="str">
        <f>VLOOKUP($E1051,Customer_Dim!$A$2:$F$501,5,FALSE)</f>
        <v>USA</v>
      </c>
      <c r="O1051" t="str">
        <f>VLOOKUP($E1051,Customer_Dim!$A$2:$F$501,6,FALSE)</f>
        <v>Gold</v>
      </c>
      <c r="P1051" t="str">
        <f>VLOOKUP($A1051,Store_Dim!$A$2:$F$21,3,FALSE)</f>
        <v>EastEast Stevechester</v>
      </c>
    </row>
    <row r="1052" spans="1:16" hidden="1" x14ac:dyDescent="0.25">
      <c r="A1052" t="s">
        <v>838</v>
      </c>
      <c r="B1052" t="s">
        <v>2536</v>
      </c>
      <c r="C1052" t="s">
        <v>718</v>
      </c>
      <c r="D1052" s="2">
        <v>45664</v>
      </c>
      <c r="E1052" t="s">
        <v>302</v>
      </c>
      <c r="F1052" t="str">
        <f>VLOOKUP($C1052,Product_Dim!$A$2:$D$101,3,FALSE)</f>
        <v>Hopkins Ltd</v>
      </c>
      <c r="G1052" t="str">
        <f>VLOOKUP($C1052,Product_Dim!$A$2:$D$101,2,FALSE)</f>
        <v>Beauty</v>
      </c>
      <c r="H1052">
        <v>4</v>
      </c>
      <c r="I1052">
        <v>622.27</v>
      </c>
      <c r="J1052">
        <v>0.02</v>
      </c>
      <c r="K1052" s="3">
        <v>2439.2984000000001</v>
      </c>
      <c r="L1052" t="s">
        <v>854</v>
      </c>
      <c r="M1052" t="str">
        <f>VLOOKUP($E1052,Customer_Dim!$A$2:$F$501,3,FALSE)</f>
        <v>Female</v>
      </c>
      <c r="N1052" t="str">
        <f>VLOOKUP($E1052,Customer_Dim!$A$2:$F$501,5,FALSE)</f>
        <v>USA</v>
      </c>
      <c r="O1052" t="str">
        <f>VLOOKUP($E1052,Customer_Dim!$A$2:$F$501,6,FALSE)</f>
        <v>Bronze</v>
      </c>
      <c r="P1052" t="str">
        <f>VLOOKUP($A1052,Store_Dim!$A$2:$F$21,3,FALSE)</f>
        <v>EastEast Stevechester</v>
      </c>
    </row>
    <row r="1053" spans="1:16" x14ac:dyDescent="0.25">
      <c r="A1053" t="s">
        <v>838</v>
      </c>
      <c r="B1053" t="s">
        <v>1796</v>
      </c>
      <c r="C1053" t="s">
        <v>718</v>
      </c>
      <c r="D1053" s="2">
        <v>45841</v>
      </c>
      <c r="E1053" t="s">
        <v>540</v>
      </c>
      <c r="F1053" t="str">
        <f>VLOOKUP($C1053,Product_Dim!$A$2:$D$101,3,FALSE)</f>
        <v>Hopkins Ltd</v>
      </c>
      <c r="G1053" t="str">
        <f>VLOOKUP($C1053,Product_Dim!$A$2:$D$101,2,FALSE)</f>
        <v>Beauty</v>
      </c>
      <c r="H1053">
        <v>3</v>
      </c>
      <c r="I1053">
        <v>385.74</v>
      </c>
      <c r="J1053">
        <v>0.27</v>
      </c>
      <c r="K1053" s="3">
        <v>844.77059999999994</v>
      </c>
      <c r="L1053" t="s">
        <v>852</v>
      </c>
      <c r="M1053" t="str">
        <f>VLOOKUP($E1053,Customer_Dim!$A$2:$F$501,3,FALSE)</f>
        <v>Male</v>
      </c>
      <c r="N1053" t="str">
        <f>VLOOKUP($E1053,Customer_Dim!$A$2:$F$501,5,FALSE)</f>
        <v>USA</v>
      </c>
      <c r="O1053" t="str">
        <f>VLOOKUP($E1053,Customer_Dim!$A$2:$F$501,6,FALSE)</f>
        <v>Bronze</v>
      </c>
      <c r="P1053" t="str">
        <f>VLOOKUP($A1053,Store_Dim!$A$2:$F$21,3,FALSE)</f>
        <v>EastEast Stevechester</v>
      </c>
    </row>
    <row r="1054" spans="1:16" x14ac:dyDescent="0.25">
      <c r="A1054" t="s">
        <v>838</v>
      </c>
      <c r="B1054" t="s">
        <v>2351</v>
      </c>
      <c r="C1054" t="s">
        <v>724</v>
      </c>
      <c r="D1054" s="2">
        <v>45787</v>
      </c>
      <c r="E1054" t="s">
        <v>377</v>
      </c>
      <c r="F1054" t="str">
        <f>VLOOKUP($C1054,Product_Dim!$A$2:$D$101,3,FALSE)</f>
        <v>Bruce-Bowen</v>
      </c>
      <c r="G1054" t="str">
        <f>VLOOKUP($C1054,Product_Dim!$A$2:$D$101,2,FALSE)</f>
        <v>Electronics</v>
      </c>
      <c r="H1054">
        <v>1</v>
      </c>
      <c r="I1054">
        <v>478.08</v>
      </c>
      <c r="J1054">
        <v>7.0000000000000007E-2</v>
      </c>
      <c r="K1054" s="3">
        <v>444.61439999999988</v>
      </c>
      <c r="L1054" t="s">
        <v>857</v>
      </c>
      <c r="M1054" t="str">
        <f>VLOOKUP($E1054,Customer_Dim!$A$2:$F$501,3,FALSE)</f>
        <v>Male</v>
      </c>
      <c r="N1054" t="str">
        <f>VLOOKUP($E1054,Customer_Dim!$A$2:$F$501,5,FALSE)</f>
        <v>USA</v>
      </c>
      <c r="O1054" t="str">
        <f>VLOOKUP($E1054,Customer_Dim!$A$2:$F$501,6,FALSE)</f>
        <v>Silver</v>
      </c>
      <c r="P1054" t="str">
        <f>VLOOKUP($A1054,Store_Dim!$A$2:$F$21,3,FALSE)</f>
        <v>EastEast Stevechester</v>
      </c>
    </row>
    <row r="1055" spans="1:16" x14ac:dyDescent="0.25">
      <c r="A1055" t="s">
        <v>838</v>
      </c>
      <c r="B1055" t="s">
        <v>2528</v>
      </c>
      <c r="C1055" t="s">
        <v>724</v>
      </c>
      <c r="D1055" s="2">
        <v>45839</v>
      </c>
      <c r="E1055" t="s">
        <v>410</v>
      </c>
      <c r="F1055" t="str">
        <f>VLOOKUP($C1055,Product_Dim!$A$2:$D$101,3,FALSE)</f>
        <v>Bruce-Bowen</v>
      </c>
      <c r="G1055" t="str">
        <f>VLOOKUP($C1055,Product_Dim!$A$2:$D$101,2,FALSE)</f>
        <v>Electronics</v>
      </c>
      <c r="H1055">
        <v>2</v>
      </c>
      <c r="I1055">
        <v>464.43</v>
      </c>
      <c r="J1055">
        <v>0.24</v>
      </c>
      <c r="K1055" s="3">
        <v>705.93360000000007</v>
      </c>
      <c r="L1055" t="s">
        <v>857</v>
      </c>
      <c r="M1055" t="str">
        <f>VLOOKUP($E1055,Customer_Dim!$A$2:$F$501,3,FALSE)</f>
        <v>Male</v>
      </c>
      <c r="N1055" t="str">
        <f>VLOOKUP($E1055,Customer_Dim!$A$2:$F$501,5,FALSE)</f>
        <v>USA</v>
      </c>
      <c r="O1055" t="str">
        <f>VLOOKUP($E1055,Customer_Dim!$A$2:$F$501,6,FALSE)</f>
        <v>Bronze</v>
      </c>
      <c r="P1055" t="str">
        <f>VLOOKUP($A1055,Store_Dim!$A$2:$F$21,3,FALSE)</f>
        <v>EastEast Stevechester</v>
      </c>
    </row>
    <row r="1056" spans="1:16" x14ac:dyDescent="0.25">
      <c r="A1056" t="s">
        <v>838</v>
      </c>
      <c r="B1056" t="s">
        <v>1906</v>
      </c>
      <c r="C1056" t="s">
        <v>724</v>
      </c>
      <c r="D1056" s="2">
        <v>45503</v>
      </c>
      <c r="E1056" t="s">
        <v>437</v>
      </c>
      <c r="F1056" t="str">
        <f>VLOOKUP($C1056,Product_Dim!$A$2:$D$101,3,FALSE)</f>
        <v>Bruce-Bowen</v>
      </c>
      <c r="G1056" t="str">
        <f>VLOOKUP($C1056,Product_Dim!$A$2:$D$101,2,FALSE)</f>
        <v>Electronics</v>
      </c>
      <c r="H1056">
        <v>4</v>
      </c>
      <c r="I1056">
        <v>475.98</v>
      </c>
      <c r="J1056">
        <v>0.19</v>
      </c>
      <c r="K1056" s="3">
        <v>1542.1751999999999</v>
      </c>
      <c r="L1056" t="s">
        <v>854</v>
      </c>
      <c r="M1056" t="str">
        <f>VLOOKUP($E1056,Customer_Dim!$A$2:$F$501,3,FALSE)</f>
        <v>Male</v>
      </c>
      <c r="N1056" t="str">
        <f>VLOOKUP($E1056,Customer_Dim!$A$2:$F$501,5,FALSE)</f>
        <v>USA</v>
      </c>
      <c r="O1056" t="str">
        <f>VLOOKUP($E1056,Customer_Dim!$A$2:$F$501,6,FALSE)</f>
        <v>Silver</v>
      </c>
      <c r="P1056" t="str">
        <f>VLOOKUP($A1056,Store_Dim!$A$2:$F$21,3,FALSE)</f>
        <v>EastEast Stevechester</v>
      </c>
    </row>
    <row r="1057" spans="1:16" x14ac:dyDescent="0.25">
      <c r="A1057" t="s">
        <v>838</v>
      </c>
      <c r="B1057" t="s">
        <v>2667</v>
      </c>
      <c r="C1057" t="s">
        <v>726</v>
      </c>
      <c r="D1057" s="2">
        <v>45289</v>
      </c>
      <c r="E1057" t="s">
        <v>518</v>
      </c>
      <c r="F1057" t="str">
        <f>VLOOKUP($C1057,Product_Dim!$A$2:$D$101,3,FALSE)</f>
        <v>Poole PLC</v>
      </c>
      <c r="G1057" t="str">
        <f>VLOOKUP($C1057,Product_Dim!$A$2:$D$101,2,FALSE)</f>
        <v>Clothing</v>
      </c>
      <c r="H1057">
        <v>3</v>
      </c>
      <c r="I1057">
        <v>717.22</v>
      </c>
      <c r="J1057">
        <v>0.24</v>
      </c>
      <c r="K1057" s="3">
        <v>1635.2616</v>
      </c>
      <c r="L1057" t="s">
        <v>854</v>
      </c>
      <c r="M1057" t="str">
        <f>VLOOKUP($E1057,Customer_Dim!$A$2:$F$501,3,FALSE)</f>
        <v>Male</v>
      </c>
      <c r="N1057" t="str">
        <f>VLOOKUP($E1057,Customer_Dim!$A$2:$F$501,5,FALSE)</f>
        <v>USA</v>
      </c>
      <c r="O1057" t="str">
        <f>VLOOKUP($E1057,Customer_Dim!$A$2:$F$501,6,FALSE)</f>
        <v>Gold</v>
      </c>
      <c r="P1057" t="str">
        <f>VLOOKUP($A1057,Store_Dim!$A$2:$F$21,3,FALSE)</f>
        <v>EastEast Stevechester</v>
      </c>
    </row>
    <row r="1058" spans="1:16" hidden="1" x14ac:dyDescent="0.25">
      <c r="A1058" t="s">
        <v>838</v>
      </c>
      <c r="B1058" t="s">
        <v>1781</v>
      </c>
      <c r="C1058" t="s">
        <v>728</v>
      </c>
      <c r="D1058" s="2">
        <v>45910</v>
      </c>
      <c r="E1058" t="s">
        <v>252</v>
      </c>
      <c r="F1058" t="str">
        <f>VLOOKUP($C1058,Product_Dim!$A$2:$D$101,3,FALSE)</f>
        <v>Larson Ltd</v>
      </c>
      <c r="G1058" t="str">
        <f>VLOOKUP($C1058,Product_Dim!$A$2:$D$101,2,FALSE)</f>
        <v>Electronics</v>
      </c>
      <c r="H1058">
        <v>1</v>
      </c>
      <c r="I1058">
        <v>533.04999999999995</v>
      </c>
      <c r="J1058">
        <v>0.11</v>
      </c>
      <c r="K1058" s="3">
        <v>474.41449999999998</v>
      </c>
      <c r="L1058" t="s">
        <v>854</v>
      </c>
      <c r="M1058" t="str">
        <f>VLOOKUP($E1058,Customer_Dim!$A$2:$F$501,3,FALSE)</f>
        <v>Female</v>
      </c>
      <c r="N1058" t="str">
        <f>VLOOKUP($E1058,Customer_Dim!$A$2:$F$501,5,FALSE)</f>
        <v>USA</v>
      </c>
      <c r="O1058" t="str">
        <f>VLOOKUP($E1058,Customer_Dim!$A$2:$F$501,6,FALSE)</f>
        <v>Platinum</v>
      </c>
      <c r="P1058" t="str">
        <f>VLOOKUP($A1058,Store_Dim!$A$2:$F$21,3,FALSE)</f>
        <v>EastEast Stevechester</v>
      </c>
    </row>
    <row r="1059" spans="1:16" x14ac:dyDescent="0.25">
      <c r="A1059" t="s">
        <v>838</v>
      </c>
      <c r="B1059" t="s">
        <v>2570</v>
      </c>
      <c r="C1059" t="s">
        <v>730</v>
      </c>
      <c r="D1059" s="2">
        <v>45394</v>
      </c>
      <c r="E1059" t="s">
        <v>466</v>
      </c>
      <c r="F1059" t="str">
        <f>VLOOKUP($C1059,Product_Dim!$A$2:$D$101,3,FALSE)</f>
        <v>White, Reeves and Woods</v>
      </c>
      <c r="G1059" t="str">
        <f>VLOOKUP($C1059,Product_Dim!$A$2:$D$101,2,FALSE)</f>
        <v>Electronics</v>
      </c>
      <c r="H1059">
        <v>2</v>
      </c>
      <c r="I1059">
        <v>68.31</v>
      </c>
      <c r="J1059">
        <v>0.28999999999999998</v>
      </c>
      <c r="K1059" s="3">
        <v>97.000199999999992</v>
      </c>
      <c r="L1059" t="s">
        <v>857</v>
      </c>
      <c r="M1059" t="str">
        <f>VLOOKUP($E1059,Customer_Dim!$A$2:$F$501,3,FALSE)</f>
        <v>Male</v>
      </c>
      <c r="N1059" t="str">
        <f>VLOOKUP($E1059,Customer_Dim!$A$2:$F$501,5,FALSE)</f>
        <v>USA</v>
      </c>
      <c r="O1059" t="str">
        <f>VLOOKUP($E1059,Customer_Dim!$A$2:$F$501,6,FALSE)</f>
        <v>Bronze</v>
      </c>
      <c r="P1059" t="str">
        <f>VLOOKUP($A1059,Store_Dim!$A$2:$F$21,3,FALSE)</f>
        <v>EastEast Stevechester</v>
      </c>
    </row>
    <row r="1060" spans="1:16" x14ac:dyDescent="0.25">
      <c r="A1060" t="s">
        <v>838</v>
      </c>
      <c r="B1060" t="s">
        <v>1131</v>
      </c>
      <c r="C1060" t="s">
        <v>730</v>
      </c>
      <c r="D1060" s="2">
        <v>45661</v>
      </c>
      <c r="E1060" t="s">
        <v>551</v>
      </c>
      <c r="F1060" t="str">
        <f>VLOOKUP($C1060,Product_Dim!$A$2:$D$101,3,FALSE)</f>
        <v>White, Reeves and Woods</v>
      </c>
      <c r="G1060" t="str">
        <f>VLOOKUP($C1060,Product_Dim!$A$2:$D$101,2,FALSE)</f>
        <v>Electronics</v>
      </c>
      <c r="H1060">
        <v>4</v>
      </c>
      <c r="I1060">
        <v>463.17</v>
      </c>
      <c r="J1060">
        <v>0.06</v>
      </c>
      <c r="K1060" s="3">
        <v>1741.5192</v>
      </c>
      <c r="L1060" t="s">
        <v>854</v>
      </c>
      <c r="M1060" t="str">
        <f>VLOOKUP($E1060,Customer_Dim!$A$2:$F$501,3,FALSE)</f>
        <v>Male</v>
      </c>
      <c r="N1060" t="str">
        <f>VLOOKUP($E1060,Customer_Dim!$A$2:$F$501,5,FALSE)</f>
        <v>USA</v>
      </c>
      <c r="O1060" t="str">
        <f>VLOOKUP($E1060,Customer_Dim!$A$2:$F$501,6,FALSE)</f>
        <v>Bronze</v>
      </c>
      <c r="P1060" t="str">
        <f>VLOOKUP($A1060,Store_Dim!$A$2:$F$21,3,FALSE)</f>
        <v>EastEast Stevechester</v>
      </c>
    </row>
    <row r="1061" spans="1:16" hidden="1" x14ac:dyDescent="0.25">
      <c r="A1061" t="s">
        <v>838</v>
      </c>
      <c r="B1061" t="s">
        <v>1040</v>
      </c>
      <c r="C1061" t="s">
        <v>734</v>
      </c>
      <c r="D1061" s="2">
        <v>45600</v>
      </c>
      <c r="E1061" t="s">
        <v>520</v>
      </c>
      <c r="F1061" t="str">
        <f>VLOOKUP($C1061,Product_Dim!$A$2:$D$101,3,FALSE)</f>
        <v>Ramirez-Hanson</v>
      </c>
      <c r="G1061" t="str">
        <f>VLOOKUP($C1061,Product_Dim!$A$2:$D$101,2,FALSE)</f>
        <v>Home</v>
      </c>
      <c r="H1061">
        <v>2</v>
      </c>
      <c r="I1061">
        <v>504.26</v>
      </c>
      <c r="J1061">
        <v>0.04</v>
      </c>
      <c r="K1061" s="3">
        <v>968.17919999999992</v>
      </c>
      <c r="L1061" t="s">
        <v>854</v>
      </c>
      <c r="M1061" t="str">
        <f>VLOOKUP($E1061,Customer_Dim!$A$2:$F$501,3,FALSE)</f>
        <v>Female</v>
      </c>
      <c r="N1061" t="str">
        <f>VLOOKUP($E1061,Customer_Dim!$A$2:$F$501,5,FALSE)</f>
        <v>USA</v>
      </c>
      <c r="O1061" t="str">
        <f>VLOOKUP($E1061,Customer_Dim!$A$2:$F$501,6,FALSE)</f>
        <v>Platinum</v>
      </c>
      <c r="P1061" t="str">
        <f>VLOOKUP($A1061,Store_Dim!$A$2:$F$21,3,FALSE)</f>
        <v>EastEast Stevechester</v>
      </c>
    </row>
    <row r="1062" spans="1:16" x14ac:dyDescent="0.25">
      <c r="A1062" t="s">
        <v>838</v>
      </c>
      <c r="B1062" t="s">
        <v>1204</v>
      </c>
      <c r="C1062" t="s">
        <v>736</v>
      </c>
      <c r="D1062" s="2">
        <v>45309</v>
      </c>
      <c r="E1062" t="s">
        <v>72</v>
      </c>
      <c r="F1062" t="str">
        <f>VLOOKUP($C1062,Product_Dim!$A$2:$D$101,3,FALSE)</f>
        <v>Allison Ltd</v>
      </c>
      <c r="G1062" t="str">
        <f>VLOOKUP($C1062,Product_Dim!$A$2:$D$101,2,FALSE)</f>
        <v>Home</v>
      </c>
      <c r="H1062">
        <v>2</v>
      </c>
      <c r="I1062">
        <v>827.81</v>
      </c>
      <c r="J1062">
        <v>0.04</v>
      </c>
      <c r="K1062" s="3">
        <v>1589.3951999999999</v>
      </c>
      <c r="L1062" t="s">
        <v>854</v>
      </c>
      <c r="M1062" t="str">
        <f>VLOOKUP($E1062,Customer_Dim!$A$2:$F$501,3,FALSE)</f>
        <v>Male</v>
      </c>
      <c r="N1062" t="str">
        <f>VLOOKUP($E1062,Customer_Dim!$A$2:$F$501,5,FALSE)</f>
        <v>USA</v>
      </c>
      <c r="O1062" t="str">
        <f>VLOOKUP($E1062,Customer_Dim!$A$2:$F$501,6,FALSE)</f>
        <v>Platinum</v>
      </c>
      <c r="P1062" t="str">
        <f>VLOOKUP($A1062,Store_Dim!$A$2:$F$21,3,FALSE)</f>
        <v>EastEast Stevechester</v>
      </c>
    </row>
    <row r="1063" spans="1:16" x14ac:dyDescent="0.25">
      <c r="A1063" t="s">
        <v>838</v>
      </c>
      <c r="B1063" t="s">
        <v>1665</v>
      </c>
      <c r="C1063" t="s">
        <v>736</v>
      </c>
      <c r="D1063" s="2">
        <v>45513</v>
      </c>
      <c r="E1063" t="s">
        <v>536</v>
      </c>
      <c r="F1063" t="str">
        <f>VLOOKUP($C1063,Product_Dim!$A$2:$D$101,3,FALSE)</f>
        <v>Allison Ltd</v>
      </c>
      <c r="G1063" t="str">
        <f>VLOOKUP($C1063,Product_Dim!$A$2:$D$101,2,FALSE)</f>
        <v>Home</v>
      </c>
      <c r="H1063">
        <v>1</v>
      </c>
      <c r="I1063">
        <v>450.11</v>
      </c>
      <c r="J1063">
        <v>0.17</v>
      </c>
      <c r="K1063" s="3">
        <v>373.59129999999999</v>
      </c>
      <c r="L1063" t="s">
        <v>852</v>
      </c>
      <c r="M1063" t="str">
        <f>VLOOKUP($E1063,Customer_Dim!$A$2:$F$501,3,FALSE)</f>
        <v>Male</v>
      </c>
      <c r="N1063" t="str">
        <f>VLOOKUP($E1063,Customer_Dim!$A$2:$F$501,5,FALSE)</f>
        <v>USA</v>
      </c>
      <c r="O1063" t="str">
        <f>VLOOKUP($E1063,Customer_Dim!$A$2:$F$501,6,FALSE)</f>
        <v>Gold</v>
      </c>
      <c r="P1063" t="str">
        <f>VLOOKUP($A1063,Store_Dim!$A$2:$F$21,3,FALSE)</f>
        <v>EastEast Stevechester</v>
      </c>
    </row>
    <row r="1064" spans="1:16" hidden="1" x14ac:dyDescent="0.25">
      <c r="A1064" t="s">
        <v>838</v>
      </c>
      <c r="B1064" t="s">
        <v>1797</v>
      </c>
      <c r="C1064" t="s">
        <v>738</v>
      </c>
      <c r="D1064" s="2">
        <v>45380</v>
      </c>
      <c r="E1064" t="s">
        <v>520</v>
      </c>
      <c r="F1064" t="str">
        <f>VLOOKUP($C1064,Product_Dim!$A$2:$D$101,3,FALSE)</f>
        <v>Robinson-Brown</v>
      </c>
      <c r="G1064" t="str">
        <f>VLOOKUP($C1064,Product_Dim!$A$2:$D$101,2,FALSE)</f>
        <v>Sports</v>
      </c>
      <c r="H1064">
        <v>2</v>
      </c>
      <c r="I1064">
        <v>830.94</v>
      </c>
      <c r="J1064">
        <v>0.28000000000000003</v>
      </c>
      <c r="K1064" s="3">
        <v>1196.5536</v>
      </c>
      <c r="L1064" t="s">
        <v>854</v>
      </c>
      <c r="M1064" t="str">
        <f>VLOOKUP($E1064,Customer_Dim!$A$2:$F$501,3,FALSE)</f>
        <v>Female</v>
      </c>
      <c r="N1064" t="str">
        <f>VLOOKUP($E1064,Customer_Dim!$A$2:$F$501,5,FALSE)</f>
        <v>USA</v>
      </c>
      <c r="O1064" t="str">
        <f>VLOOKUP($E1064,Customer_Dim!$A$2:$F$501,6,FALSE)</f>
        <v>Platinum</v>
      </c>
      <c r="P1064" t="str">
        <f>VLOOKUP($A1064,Store_Dim!$A$2:$F$21,3,FALSE)</f>
        <v>EastEast Stevechester</v>
      </c>
    </row>
    <row r="1065" spans="1:16" hidden="1" x14ac:dyDescent="0.25">
      <c r="A1065" t="s">
        <v>838</v>
      </c>
      <c r="B1065" t="s">
        <v>2748</v>
      </c>
      <c r="C1065" t="s">
        <v>740</v>
      </c>
      <c r="D1065" s="2">
        <v>45558</v>
      </c>
      <c r="E1065" t="s">
        <v>525</v>
      </c>
      <c r="F1065" t="str">
        <f>VLOOKUP($C1065,Product_Dim!$A$2:$D$101,3,FALSE)</f>
        <v>Reese-Watson</v>
      </c>
      <c r="G1065" t="str">
        <f>VLOOKUP($C1065,Product_Dim!$A$2:$D$101,2,FALSE)</f>
        <v>Sports</v>
      </c>
      <c r="H1065">
        <v>3</v>
      </c>
      <c r="I1065">
        <v>543.83000000000004</v>
      </c>
      <c r="J1065">
        <v>0.05</v>
      </c>
      <c r="K1065" s="3">
        <v>1549.9155000000001</v>
      </c>
      <c r="L1065" t="s">
        <v>852</v>
      </c>
      <c r="M1065" t="str">
        <f>VLOOKUP($E1065,Customer_Dim!$A$2:$F$501,3,FALSE)</f>
        <v>Female</v>
      </c>
      <c r="N1065" t="str">
        <f>VLOOKUP($E1065,Customer_Dim!$A$2:$F$501,5,FALSE)</f>
        <v>USA</v>
      </c>
      <c r="O1065" t="str">
        <f>VLOOKUP($E1065,Customer_Dim!$A$2:$F$501,6,FALSE)</f>
        <v>Silver</v>
      </c>
      <c r="P1065" t="str">
        <f>VLOOKUP($A1065,Store_Dim!$A$2:$F$21,3,FALSE)</f>
        <v>EastEast Stevechester</v>
      </c>
    </row>
    <row r="1066" spans="1:16" x14ac:dyDescent="0.25">
      <c r="A1066" t="s">
        <v>838</v>
      </c>
      <c r="B1066" t="s">
        <v>1583</v>
      </c>
      <c r="C1066" t="s">
        <v>742</v>
      </c>
      <c r="D1066" s="2">
        <v>45263</v>
      </c>
      <c r="E1066" t="s">
        <v>220</v>
      </c>
      <c r="F1066" t="str">
        <f>VLOOKUP($C1066,Product_Dim!$A$2:$D$101,3,FALSE)</f>
        <v>Butler Group</v>
      </c>
      <c r="G1066" t="str">
        <f>VLOOKUP($C1066,Product_Dim!$A$2:$D$101,2,FALSE)</f>
        <v>Beauty</v>
      </c>
      <c r="H1066">
        <v>2</v>
      </c>
      <c r="I1066">
        <v>354.26</v>
      </c>
      <c r="J1066">
        <v>0.01</v>
      </c>
      <c r="K1066" s="3">
        <v>701.4348</v>
      </c>
      <c r="L1066" t="s">
        <v>857</v>
      </c>
      <c r="M1066" t="str">
        <f>VLOOKUP($E1066,Customer_Dim!$A$2:$F$501,3,FALSE)</f>
        <v>Male</v>
      </c>
      <c r="N1066" t="str">
        <f>VLOOKUP($E1066,Customer_Dim!$A$2:$F$501,5,FALSE)</f>
        <v>USA</v>
      </c>
      <c r="O1066" t="str">
        <f>VLOOKUP($E1066,Customer_Dim!$A$2:$F$501,6,FALSE)</f>
        <v>Bronze</v>
      </c>
      <c r="P1066" t="str">
        <f>VLOOKUP($A1066,Store_Dim!$A$2:$F$21,3,FALSE)</f>
        <v>EastEast Stevechester</v>
      </c>
    </row>
    <row r="1067" spans="1:16" hidden="1" x14ac:dyDescent="0.25">
      <c r="A1067" t="s">
        <v>838</v>
      </c>
      <c r="B1067" t="s">
        <v>2327</v>
      </c>
      <c r="C1067" t="s">
        <v>746</v>
      </c>
      <c r="D1067" s="2">
        <v>45605</v>
      </c>
      <c r="E1067" t="s">
        <v>472</v>
      </c>
      <c r="F1067" t="str">
        <f>VLOOKUP($C1067,Product_Dim!$A$2:$D$101,3,FALSE)</f>
        <v>Richardson-Carrillo</v>
      </c>
      <c r="G1067" t="str">
        <f>VLOOKUP($C1067,Product_Dim!$A$2:$D$101,2,FALSE)</f>
        <v>Clothing</v>
      </c>
      <c r="H1067">
        <v>2</v>
      </c>
      <c r="I1067">
        <v>227.97</v>
      </c>
      <c r="J1067">
        <v>0.08</v>
      </c>
      <c r="K1067" s="3">
        <v>419.46480000000003</v>
      </c>
      <c r="L1067" t="s">
        <v>857</v>
      </c>
      <c r="M1067" t="str">
        <f>VLOOKUP($E1067,Customer_Dim!$A$2:$F$501,3,FALSE)</f>
        <v>Female</v>
      </c>
      <c r="N1067" t="str">
        <f>VLOOKUP($E1067,Customer_Dim!$A$2:$F$501,5,FALSE)</f>
        <v>USA</v>
      </c>
      <c r="O1067" t="str">
        <f>VLOOKUP($E1067,Customer_Dim!$A$2:$F$501,6,FALSE)</f>
        <v>Gold</v>
      </c>
      <c r="P1067" t="str">
        <f>VLOOKUP($A1067,Store_Dim!$A$2:$F$21,3,FALSE)</f>
        <v>EastEast Stevechester</v>
      </c>
    </row>
    <row r="1068" spans="1:16" x14ac:dyDescent="0.25">
      <c r="A1068" t="s">
        <v>838</v>
      </c>
      <c r="B1068" t="s">
        <v>1882</v>
      </c>
      <c r="C1068" t="s">
        <v>748</v>
      </c>
      <c r="D1068" s="2">
        <v>45337</v>
      </c>
      <c r="E1068" t="s">
        <v>24</v>
      </c>
      <c r="F1068" t="str">
        <f>VLOOKUP($C1068,Product_Dim!$A$2:$D$101,3,FALSE)</f>
        <v>Taylor, Dodson and Johnston</v>
      </c>
      <c r="G1068" t="str">
        <f>VLOOKUP($C1068,Product_Dim!$A$2:$D$101,2,FALSE)</f>
        <v>Home</v>
      </c>
      <c r="H1068">
        <v>1</v>
      </c>
      <c r="I1068">
        <v>859.3</v>
      </c>
      <c r="J1068">
        <v>0.16</v>
      </c>
      <c r="K1068" s="3">
        <v>721.8119999999999</v>
      </c>
      <c r="L1068" t="s">
        <v>854</v>
      </c>
      <c r="M1068" t="str">
        <f>VLOOKUP($E1068,Customer_Dim!$A$2:$F$501,3,FALSE)</f>
        <v>Male</v>
      </c>
      <c r="N1068" t="str">
        <f>VLOOKUP($E1068,Customer_Dim!$A$2:$F$501,5,FALSE)</f>
        <v>USA</v>
      </c>
      <c r="O1068" t="str">
        <f>VLOOKUP($E1068,Customer_Dim!$A$2:$F$501,6,FALSE)</f>
        <v>Bronze</v>
      </c>
      <c r="P1068" t="str">
        <f>VLOOKUP($A1068,Store_Dim!$A$2:$F$21,3,FALSE)</f>
        <v>EastEast Stevechester</v>
      </c>
    </row>
    <row r="1069" spans="1:16" hidden="1" x14ac:dyDescent="0.25">
      <c r="A1069" t="s">
        <v>838</v>
      </c>
      <c r="B1069" t="s">
        <v>1344</v>
      </c>
      <c r="C1069" t="s">
        <v>754</v>
      </c>
      <c r="D1069" s="2">
        <v>45371</v>
      </c>
      <c r="E1069" t="s">
        <v>485</v>
      </c>
      <c r="F1069" t="str">
        <f>VLOOKUP($C1069,Product_Dim!$A$2:$D$101,3,FALSE)</f>
        <v>Taylor-Elliott</v>
      </c>
      <c r="G1069" t="str">
        <f>VLOOKUP($C1069,Product_Dim!$A$2:$D$101,2,FALSE)</f>
        <v>Beauty</v>
      </c>
      <c r="H1069">
        <v>1</v>
      </c>
      <c r="I1069">
        <v>170.43</v>
      </c>
      <c r="J1069">
        <v>0.03</v>
      </c>
      <c r="K1069" s="3">
        <v>165.31710000000001</v>
      </c>
      <c r="L1069" t="s">
        <v>852</v>
      </c>
      <c r="M1069" t="str">
        <f>VLOOKUP($E1069,Customer_Dim!$A$2:$F$501,3,FALSE)</f>
        <v>Female</v>
      </c>
      <c r="N1069" t="str">
        <f>VLOOKUP($E1069,Customer_Dim!$A$2:$F$501,5,FALSE)</f>
        <v>USA</v>
      </c>
      <c r="O1069" t="str">
        <f>VLOOKUP($E1069,Customer_Dim!$A$2:$F$501,6,FALSE)</f>
        <v>Silver</v>
      </c>
      <c r="P1069" t="str">
        <f>VLOOKUP($A1069,Store_Dim!$A$2:$F$21,3,FALSE)</f>
        <v>EastEast Stevechester</v>
      </c>
    </row>
    <row r="1070" spans="1:16" x14ac:dyDescent="0.25">
      <c r="A1070" t="s">
        <v>838</v>
      </c>
      <c r="B1070" t="s">
        <v>1514</v>
      </c>
      <c r="C1070" t="s">
        <v>756</v>
      </c>
      <c r="D1070" s="2">
        <v>45914</v>
      </c>
      <c r="E1070" t="s">
        <v>245</v>
      </c>
      <c r="F1070" t="str">
        <f>VLOOKUP($C1070,Product_Dim!$A$2:$D$101,3,FALSE)</f>
        <v>Sharp, Taylor and Rodriguez</v>
      </c>
      <c r="G1070" t="str">
        <f>VLOOKUP($C1070,Product_Dim!$A$2:$D$101,2,FALSE)</f>
        <v>Electronics</v>
      </c>
      <c r="H1070">
        <v>3</v>
      </c>
      <c r="I1070">
        <v>107.44</v>
      </c>
      <c r="J1070">
        <v>0.27</v>
      </c>
      <c r="K1070" s="3">
        <v>235.2936</v>
      </c>
      <c r="L1070" t="s">
        <v>854</v>
      </c>
      <c r="M1070" t="str">
        <f>VLOOKUP($E1070,Customer_Dim!$A$2:$F$501,3,FALSE)</f>
        <v>Male</v>
      </c>
      <c r="N1070" t="str">
        <f>VLOOKUP($E1070,Customer_Dim!$A$2:$F$501,5,FALSE)</f>
        <v>USA</v>
      </c>
      <c r="O1070" t="str">
        <f>VLOOKUP($E1070,Customer_Dim!$A$2:$F$501,6,FALSE)</f>
        <v>Bronze</v>
      </c>
      <c r="P1070" t="str">
        <f>VLOOKUP($A1070,Store_Dim!$A$2:$F$21,3,FALSE)</f>
        <v>EastEast Stevechester</v>
      </c>
    </row>
    <row r="1071" spans="1:16" hidden="1" x14ac:dyDescent="0.25">
      <c r="A1071" t="s">
        <v>838</v>
      </c>
      <c r="B1071" t="s">
        <v>1122</v>
      </c>
      <c r="C1071" t="s">
        <v>756</v>
      </c>
      <c r="D1071" s="2">
        <v>45555</v>
      </c>
      <c r="E1071" t="s">
        <v>473</v>
      </c>
      <c r="F1071" t="str">
        <f>VLOOKUP($C1071,Product_Dim!$A$2:$D$101,3,FALSE)</f>
        <v>Sharp, Taylor and Rodriguez</v>
      </c>
      <c r="G1071" t="str">
        <f>VLOOKUP($C1071,Product_Dim!$A$2:$D$101,2,FALSE)</f>
        <v>Electronics</v>
      </c>
      <c r="H1071">
        <v>3</v>
      </c>
      <c r="I1071" s="3">
        <f>K1071/H1071-J1071</f>
        <v>105.0226</v>
      </c>
      <c r="J1071">
        <v>0.06</v>
      </c>
      <c r="K1071" s="3">
        <v>315.24779999999998</v>
      </c>
      <c r="L1071" t="s">
        <v>852</v>
      </c>
      <c r="M1071" t="str">
        <f>VLOOKUP($E1071,Customer_Dim!$A$2:$F$501,3,FALSE)</f>
        <v>Female</v>
      </c>
      <c r="N1071" t="str">
        <f>VLOOKUP($E1071,Customer_Dim!$A$2:$F$501,5,FALSE)</f>
        <v>USA</v>
      </c>
      <c r="O1071" t="str">
        <f>VLOOKUP($E1071,Customer_Dim!$A$2:$F$501,6,FALSE)</f>
        <v>Gold</v>
      </c>
      <c r="P1071" t="str">
        <f>VLOOKUP($A1071,Store_Dim!$A$2:$F$21,3,FALSE)</f>
        <v>EastEast Stevechester</v>
      </c>
    </row>
    <row r="1072" spans="1:16" x14ac:dyDescent="0.25">
      <c r="A1072" t="s">
        <v>838</v>
      </c>
      <c r="B1072" t="s">
        <v>2579</v>
      </c>
      <c r="C1072" t="s">
        <v>758</v>
      </c>
      <c r="D1072" s="2">
        <v>45701</v>
      </c>
      <c r="E1072" t="s">
        <v>32</v>
      </c>
      <c r="F1072" t="str">
        <f>VLOOKUP($C1072,Product_Dim!$A$2:$D$101,3,FALSE)</f>
        <v>Smith-Charles</v>
      </c>
      <c r="G1072" t="str">
        <f>VLOOKUP($C1072,Product_Dim!$A$2:$D$101,2,FALSE)</f>
        <v>Clothing</v>
      </c>
      <c r="H1072">
        <v>3</v>
      </c>
      <c r="I1072">
        <v>482.2</v>
      </c>
      <c r="J1072">
        <v>0.23</v>
      </c>
      <c r="K1072" s="3">
        <v>1113.8820000000001</v>
      </c>
      <c r="L1072" t="s">
        <v>857</v>
      </c>
      <c r="M1072" t="str">
        <f>VLOOKUP($E1072,Customer_Dim!$A$2:$F$501,3,FALSE)</f>
        <v>Male</v>
      </c>
      <c r="N1072" t="str">
        <f>VLOOKUP($E1072,Customer_Dim!$A$2:$F$501,5,FALSE)</f>
        <v>USA</v>
      </c>
      <c r="O1072" t="str">
        <f>VLOOKUP($E1072,Customer_Dim!$A$2:$F$501,6,FALSE)</f>
        <v>Platinum</v>
      </c>
      <c r="P1072" t="str">
        <f>VLOOKUP($A1072,Store_Dim!$A$2:$F$21,3,FALSE)</f>
        <v>EastEast Stevechester</v>
      </c>
    </row>
    <row r="1073" spans="1:16" hidden="1" x14ac:dyDescent="0.25">
      <c r="A1073" t="s">
        <v>838</v>
      </c>
      <c r="B1073" t="s">
        <v>2185</v>
      </c>
      <c r="C1073" t="s">
        <v>760</v>
      </c>
      <c r="D1073" s="2">
        <v>45233</v>
      </c>
      <c r="E1073" t="s">
        <v>21</v>
      </c>
      <c r="F1073" t="str">
        <f>VLOOKUP($C1073,Product_Dim!$A$2:$D$101,3,FALSE)</f>
        <v>Green, Powell and Palmer</v>
      </c>
      <c r="G1073" t="str">
        <f>VLOOKUP($C1073,Product_Dim!$A$2:$D$101,2,FALSE)</f>
        <v>Home</v>
      </c>
      <c r="H1073">
        <v>2</v>
      </c>
      <c r="I1073">
        <v>177.4</v>
      </c>
      <c r="J1073">
        <v>0.19</v>
      </c>
      <c r="K1073" s="3">
        <v>287.38799999999998</v>
      </c>
      <c r="L1073" t="s">
        <v>854</v>
      </c>
      <c r="M1073" t="str">
        <f>VLOOKUP($E1073,Customer_Dim!$A$2:$F$501,3,FALSE)</f>
        <v>Female</v>
      </c>
      <c r="N1073" t="str">
        <f>VLOOKUP($E1073,Customer_Dim!$A$2:$F$501,5,FALSE)</f>
        <v>USA</v>
      </c>
      <c r="O1073" t="str">
        <f>VLOOKUP($E1073,Customer_Dim!$A$2:$F$501,6,FALSE)</f>
        <v>Silver</v>
      </c>
      <c r="P1073" t="str">
        <f>VLOOKUP($A1073,Store_Dim!$A$2:$F$21,3,FALSE)</f>
        <v>EastEast Stevechester</v>
      </c>
    </row>
    <row r="1074" spans="1:16" x14ac:dyDescent="0.25">
      <c r="A1074" t="s">
        <v>838</v>
      </c>
      <c r="B1074" t="s">
        <v>2079</v>
      </c>
      <c r="C1074" t="s">
        <v>760</v>
      </c>
      <c r="D1074" s="2">
        <v>45933</v>
      </c>
      <c r="E1074" t="s">
        <v>283</v>
      </c>
      <c r="F1074" t="str">
        <f>VLOOKUP($C1074,Product_Dim!$A$2:$D$101,3,FALSE)</f>
        <v>Green, Powell and Palmer</v>
      </c>
      <c r="G1074" t="str">
        <f>VLOOKUP($C1074,Product_Dim!$A$2:$D$101,2,FALSE)</f>
        <v>Home</v>
      </c>
      <c r="H1074">
        <v>2</v>
      </c>
      <c r="I1074">
        <v>682.7</v>
      </c>
      <c r="J1074">
        <v>0.13</v>
      </c>
      <c r="K1074" s="3">
        <v>1187.8979999999999</v>
      </c>
      <c r="L1074" t="s">
        <v>852</v>
      </c>
      <c r="M1074" t="str">
        <f>VLOOKUP($E1074,Customer_Dim!$A$2:$F$501,3,FALSE)</f>
        <v>Male</v>
      </c>
      <c r="N1074" t="str">
        <f>VLOOKUP($E1074,Customer_Dim!$A$2:$F$501,5,FALSE)</f>
        <v>USA</v>
      </c>
      <c r="O1074" t="str">
        <f>VLOOKUP($E1074,Customer_Dim!$A$2:$F$501,6,FALSE)</f>
        <v>Platinum</v>
      </c>
      <c r="P1074" t="str">
        <f>VLOOKUP($A1074,Store_Dim!$A$2:$F$21,3,FALSE)</f>
        <v>EastEast Stevechester</v>
      </c>
    </row>
    <row r="1075" spans="1:16" hidden="1" x14ac:dyDescent="0.25">
      <c r="A1075" t="s">
        <v>838</v>
      </c>
      <c r="B1075" t="s">
        <v>1107</v>
      </c>
      <c r="C1075" t="s">
        <v>760</v>
      </c>
      <c r="D1075" s="2">
        <v>45876</v>
      </c>
      <c r="E1075" t="s">
        <v>306</v>
      </c>
      <c r="F1075" t="str">
        <f>VLOOKUP($C1075,Product_Dim!$A$2:$D$101,3,FALSE)</f>
        <v>Green, Powell and Palmer</v>
      </c>
      <c r="G1075" t="str">
        <f>VLOOKUP($C1075,Product_Dim!$A$2:$D$101,2,FALSE)</f>
        <v>Home</v>
      </c>
      <c r="H1075">
        <v>2</v>
      </c>
      <c r="I1075">
        <v>239.92</v>
      </c>
      <c r="J1075">
        <v>0.16</v>
      </c>
      <c r="K1075" s="3">
        <v>403.06560000000002</v>
      </c>
      <c r="L1075" t="s">
        <v>852</v>
      </c>
      <c r="M1075" t="str">
        <f>VLOOKUP($E1075,Customer_Dim!$A$2:$F$501,3,FALSE)</f>
        <v>Female</v>
      </c>
      <c r="N1075" t="str">
        <f>VLOOKUP($E1075,Customer_Dim!$A$2:$F$501,5,FALSE)</f>
        <v>USA</v>
      </c>
      <c r="O1075" t="str">
        <f>VLOOKUP($E1075,Customer_Dim!$A$2:$F$501,6,FALSE)</f>
        <v>Platinum</v>
      </c>
      <c r="P1075" t="str">
        <f>VLOOKUP($A1075,Store_Dim!$A$2:$F$21,3,FALSE)</f>
        <v>EastEast Stevechester</v>
      </c>
    </row>
    <row r="1076" spans="1:16" hidden="1" x14ac:dyDescent="0.25">
      <c r="A1076" t="s">
        <v>838</v>
      </c>
      <c r="B1076" t="s">
        <v>1920</v>
      </c>
      <c r="C1076" t="s">
        <v>760</v>
      </c>
      <c r="D1076" s="2">
        <v>45608</v>
      </c>
      <c r="E1076" t="s">
        <v>488</v>
      </c>
      <c r="F1076" t="str">
        <f>VLOOKUP($C1076,Product_Dim!$A$2:$D$101,3,FALSE)</f>
        <v>Green, Powell and Palmer</v>
      </c>
      <c r="G1076" t="str">
        <f>VLOOKUP($C1076,Product_Dim!$A$2:$D$101,2,FALSE)</f>
        <v>Home</v>
      </c>
      <c r="H1076">
        <v>1</v>
      </c>
      <c r="I1076">
        <v>909.04</v>
      </c>
      <c r="J1076">
        <v>0.11</v>
      </c>
      <c r="K1076" s="3">
        <v>809.04560000000004</v>
      </c>
      <c r="L1076" t="s">
        <v>852</v>
      </c>
      <c r="M1076" t="str">
        <f>VLOOKUP($E1076,Customer_Dim!$A$2:$F$501,3,FALSE)</f>
        <v>Female</v>
      </c>
      <c r="N1076" t="str">
        <f>VLOOKUP($E1076,Customer_Dim!$A$2:$F$501,5,FALSE)</f>
        <v>USA</v>
      </c>
      <c r="O1076" t="str">
        <f>VLOOKUP($E1076,Customer_Dim!$A$2:$F$501,6,FALSE)</f>
        <v>Platinum</v>
      </c>
      <c r="P1076" t="str">
        <f>VLOOKUP($A1076,Store_Dim!$A$2:$F$21,3,FALSE)</f>
        <v>EastEast Stevechester</v>
      </c>
    </row>
    <row r="1077" spans="1:16" hidden="1" x14ac:dyDescent="0.25">
      <c r="A1077" t="s">
        <v>838</v>
      </c>
      <c r="B1077" t="s">
        <v>1731</v>
      </c>
      <c r="C1077" t="s">
        <v>768</v>
      </c>
      <c r="D1077" s="2">
        <v>45411</v>
      </c>
      <c r="E1077" t="s">
        <v>284</v>
      </c>
      <c r="F1077" t="str">
        <f>VLOOKUP($C1077,Product_Dim!$A$2:$D$101,3,FALSE)</f>
        <v>Phillips and Sons</v>
      </c>
      <c r="G1077" t="str">
        <f>VLOOKUP($C1077,Product_Dim!$A$2:$D$101,2,FALSE)</f>
        <v>Clothing</v>
      </c>
      <c r="H1077">
        <v>2</v>
      </c>
      <c r="I1077">
        <v>891.13</v>
      </c>
      <c r="J1077">
        <v>0.13</v>
      </c>
      <c r="K1077" s="3">
        <v>1550.5662</v>
      </c>
      <c r="L1077" t="s">
        <v>852</v>
      </c>
      <c r="M1077" t="str">
        <f>VLOOKUP($E1077,Customer_Dim!$A$2:$F$501,3,FALSE)</f>
        <v>Female</v>
      </c>
      <c r="N1077" t="str">
        <f>VLOOKUP($E1077,Customer_Dim!$A$2:$F$501,5,FALSE)</f>
        <v>USA</v>
      </c>
      <c r="O1077" t="str">
        <f>VLOOKUP($E1077,Customer_Dim!$A$2:$F$501,6,FALSE)</f>
        <v>Gold</v>
      </c>
      <c r="P1077" t="str">
        <f>VLOOKUP($A1077,Store_Dim!$A$2:$F$21,3,FALSE)</f>
        <v>EastEast Stevechester</v>
      </c>
    </row>
    <row r="1078" spans="1:16" hidden="1" x14ac:dyDescent="0.25">
      <c r="A1078" t="s">
        <v>838</v>
      </c>
      <c r="B1078" t="s">
        <v>2513</v>
      </c>
      <c r="C1078" t="s">
        <v>772</v>
      </c>
      <c r="D1078" s="2">
        <v>45337</v>
      </c>
      <c r="E1078" t="s">
        <v>95</v>
      </c>
      <c r="F1078" t="str">
        <f>VLOOKUP($C1078,Product_Dim!$A$2:$D$101,3,FALSE)</f>
        <v>Flores-King</v>
      </c>
      <c r="G1078" t="str">
        <f>VLOOKUP($C1078,Product_Dim!$A$2:$D$101,2,FALSE)</f>
        <v>Electronics</v>
      </c>
      <c r="H1078">
        <v>3</v>
      </c>
      <c r="I1078">
        <v>981.69</v>
      </c>
      <c r="J1078">
        <v>0.05</v>
      </c>
      <c r="K1078" s="3">
        <v>2797.8164999999999</v>
      </c>
      <c r="L1078" t="s">
        <v>857</v>
      </c>
      <c r="M1078" t="str">
        <f>VLOOKUP($E1078,Customer_Dim!$A$2:$F$501,3,FALSE)</f>
        <v>Female</v>
      </c>
      <c r="N1078" t="str">
        <f>VLOOKUP($E1078,Customer_Dim!$A$2:$F$501,5,FALSE)</f>
        <v>USA</v>
      </c>
      <c r="O1078" t="str">
        <f>VLOOKUP($E1078,Customer_Dim!$A$2:$F$501,6,FALSE)</f>
        <v>Gold</v>
      </c>
      <c r="P1078" t="str">
        <f>VLOOKUP($A1078,Store_Dim!$A$2:$F$21,3,FALSE)</f>
        <v>EastEast Stevechester</v>
      </c>
    </row>
    <row r="1079" spans="1:16" hidden="1" x14ac:dyDescent="0.25">
      <c r="A1079" t="s">
        <v>838</v>
      </c>
      <c r="B1079" t="s">
        <v>1637</v>
      </c>
      <c r="C1079" t="s">
        <v>774</v>
      </c>
      <c r="D1079" s="2">
        <v>45794</v>
      </c>
      <c r="E1079" t="s">
        <v>541</v>
      </c>
      <c r="F1079" t="str">
        <f>VLOOKUP($C1079,Product_Dim!$A$2:$D$101,3,FALSE)</f>
        <v>Campbell Ltd</v>
      </c>
      <c r="G1079" t="str">
        <f>VLOOKUP($C1079,Product_Dim!$A$2:$D$101,2,FALSE)</f>
        <v>Home</v>
      </c>
      <c r="H1079">
        <v>1</v>
      </c>
      <c r="I1079">
        <v>873.18</v>
      </c>
      <c r="J1079">
        <v>0.03</v>
      </c>
      <c r="K1079" s="3">
        <v>846.98459999999989</v>
      </c>
      <c r="L1079" t="s">
        <v>857</v>
      </c>
      <c r="M1079" t="str">
        <f>VLOOKUP($E1079,Customer_Dim!$A$2:$F$501,3,FALSE)</f>
        <v>Female</v>
      </c>
      <c r="N1079" t="str">
        <f>VLOOKUP($E1079,Customer_Dim!$A$2:$F$501,5,FALSE)</f>
        <v>USA</v>
      </c>
      <c r="O1079" t="str">
        <f>VLOOKUP($E1079,Customer_Dim!$A$2:$F$501,6,FALSE)</f>
        <v>Platinum</v>
      </c>
      <c r="P1079" t="str">
        <f>VLOOKUP($A1079,Store_Dim!$A$2:$F$21,3,FALSE)</f>
        <v>EastEast Stevechester</v>
      </c>
    </row>
    <row r="1080" spans="1:16" x14ac:dyDescent="0.25">
      <c r="A1080" t="s">
        <v>841</v>
      </c>
      <c r="B1080" t="s">
        <v>2574</v>
      </c>
      <c r="C1080" t="s">
        <v>571</v>
      </c>
      <c r="D1080" s="2">
        <v>45624</v>
      </c>
      <c r="E1080" t="s">
        <v>499</v>
      </c>
      <c r="F1080" t="str">
        <f>VLOOKUP($C1080,Product_Dim!$A$2:$D$101,3,FALSE)</f>
        <v>Hunt Inc</v>
      </c>
      <c r="G1080" t="str">
        <f>VLOOKUP($C1080,Product_Dim!$A$2:$D$101,2,FALSE)</f>
        <v>Electronics</v>
      </c>
      <c r="H1080">
        <v>1</v>
      </c>
      <c r="I1080">
        <v>458.97</v>
      </c>
      <c r="J1080">
        <v>0.1</v>
      </c>
      <c r="K1080" s="3">
        <v>413.07299999999998</v>
      </c>
      <c r="L1080" t="s">
        <v>854</v>
      </c>
      <c r="M1080" t="str">
        <f>VLOOKUP($E1080,Customer_Dim!$A$2:$F$501,3,FALSE)</f>
        <v>Male</v>
      </c>
      <c r="N1080" t="str">
        <f>VLOOKUP($E1080,Customer_Dim!$A$2:$F$501,5,FALSE)</f>
        <v>USA</v>
      </c>
      <c r="O1080" t="str">
        <f>VLOOKUP($E1080,Customer_Dim!$A$2:$F$501,6,FALSE)</f>
        <v>Bronze</v>
      </c>
      <c r="P1080" t="str">
        <f>VLOOKUP($A1080,Store_Dim!$A$2:$F$21,3,FALSE)</f>
        <v>EastVasquezborough</v>
      </c>
    </row>
    <row r="1081" spans="1:16" hidden="1" x14ac:dyDescent="0.25">
      <c r="A1081" t="s">
        <v>841</v>
      </c>
      <c r="B1081" t="s">
        <v>1007</v>
      </c>
      <c r="C1081" t="s">
        <v>598</v>
      </c>
      <c r="D1081" s="2">
        <v>45579</v>
      </c>
      <c r="E1081" t="s">
        <v>381</v>
      </c>
      <c r="F1081" t="str">
        <f>VLOOKUP($C1081,Product_Dim!$A$2:$D$101,3,FALSE)</f>
        <v>Gibson, Hobbs and Weaver</v>
      </c>
      <c r="G1081" t="str">
        <f>VLOOKUP($C1081,Product_Dim!$A$2:$D$101,2,FALSE)</f>
        <v>Electronics</v>
      </c>
      <c r="H1081">
        <v>3</v>
      </c>
      <c r="I1081">
        <v>591.98</v>
      </c>
      <c r="J1081">
        <v>0.16</v>
      </c>
      <c r="K1081" s="3">
        <v>1491.7896000000001</v>
      </c>
      <c r="L1081" t="s">
        <v>852</v>
      </c>
      <c r="M1081" t="str">
        <f>VLOOKUP($E1081,Customer_Dim!$A$2:$F$501,3,FALSE)</f>
        <v>Female</v>
      </c>
      <c r="N1081" t="str">
        <f>VLOOKUP($E1081,Customer_Dim!$A$2:$F$501,5,FALSE)</f>
        <v>USA</v>
      </c>
      <c r="O1081" t="str">
        <f>VLOOKUP($E1081,Customer_Dim!$A$2:$F$501,6,FALSE)</f>
        <v>Silver</v>
      </c>
      <c r="P1081" t="str">
        <f>VLOOKUP($A1081,Store_Dim!$A$2:$F$21,3,FALSE)</f>
        <v>EastVasquezborough</v>
      </c>
    </row>
    <row r="1082" spans="1:16" hidden="1" x14ac:dyDescent="0.25">
      <c r="A1082" t="s">
        <v>841</v>
      </c>
      <c r="B1082" t="s">
        <v>2070</v>
      </c>
      <c r="C1082" t="s">
        <v>602</v>
      </c>
      <c r="D1082" s="2">
        <v>45281</v>
      </c>
      <c r="E1082" t="s">
        <v>161</v>
      </c>
      <c r="F1082" t="str">
        <f>VLOOKUP($C1082,Product_Dim!$A$2:$D$101,3,FALSE)</f>
        <v>Dawson-Perkins</v>
      </c>
      <c r="G1082" t="str">
        <f>VLOOKUP($C1082,Product_Dim!$A$2:$D$101,2,FALSE)</f>
        <v>Electronics</v>
      </c>
      <c r="H1082">
        <v>2</v>
      </c>
      <c r="I1082">
        <v>889.04</v>
      </c>
      <c r="J1082">
        <v>0.23</v>
      </c>
      <c r="K1082" s="3">
        <v>1369.1215999999999</v>
      </c>
      <c r="L1082" t="s">
        <v>852</v>
      </c>
      <c r="M1082" t="str">
        <f>VLOOKUP($E1082,Customer_Dim!$A$2:$F$501,3,FALSE)</f>
        <v>Female</v>
      </c>
      <c r="N1082" t="str">
        <f>VLOOKUP($E1082,Customer_Dim!$A$2:$F$501,5,FALSE)</f>
        <v>USA</v>
      </c>
      <c r="O1082" t="str">
        <f>VLOOKUP($E1082,Customer_Dim!$A$2:$F$501,6,FALSE)</f>
        <v>Platinum</v>
      </c>
      <c r="P1082" t="str">
        <f>VLOOKUP($A1082,Store_Dim!$A$2:$F$21,3,FALSE)</f>
        <v>EastVasquezborough</v>
      </c>
    </row>
    <row r="1083" spans="1:16" hidden="1" x14ac:dyDescent="0.25">
      <c r="A1083" t="s">
        <v>841</v>
      </c>
      <c r="B1083" t="s">
        <v>1768</v>
      </c>
      <c r="C1083" t="s">
        <v>606</v>
      </c>
      <c r="D1083" s="2">
        <v>45308</v>
      </c>
      <c r="E1083" t="s">
        <v>79</v>
      </c>
      <c r="F1083" t="str">
        <f>VLOOKUP($C1083,Product_Dim!$A$2:$D$101,3,FALSE)</f>
        <v>Thomas LLC</v>
      </c>
      <c r="G1083" t="str">
        <f>VLOOKUP($C1083,Product_Dim!$A$2:$D$101,2,FALSE)</f>
        <v>Electronics</v>
      </c>
      <c r="H1083">
        <v>3</v>
      </c>
      <c r="I1083">
        <v>620.12</v>
      </c>
      <c r="J1083">
        <v>0.06</v>
      </c>
      <c r="K1083" s="3">
        <v>1748.7384</v>
      </c>
      <c r="L1083" t="s">
        <v>852</v>
      </c>
      <c r="M1083" t="str">
        <f>VLOOKUP($E1083,Customer_Dim!$A$2:$F$501,3,FALSE)</f>
        <v>Female</v>
      </c>
      <c r="N1083" t="str">
        <f>VLOOKUP($E1083,Customer_Dim!$A$2:$F$501,5,FALSE)</f>
        <v>USA</v>
      </c>
      <c r="O1083" t="str">
        <f>VLOOKUP($E1083,Customer_Dim!$A$2:$F$501,6,FALSE)</f>
        <v>Gold</v>
      </c>
      <c r="P1083" t="str">
        <f>VLOOKUP($A1083,Store_Dim!$A$2:$F$21,3,FALSE)</f>
        <v>EastVasquezborough</v>
      </c>
    </row>
    <row r="1084" spans="1:16" x14ac:dyDescent="0.25">
      <c r="A1084" t="s">
        <v>841</v>
      </c>
      <c r="B1084" t="s">
        <v>2455</v>
      </c>
      <c r="C1084" t="s">
        <v>606</v>
      </c>
      <c r="D1084" s="2">
        <v>45664</v>
      </c>
      <c r="E1084" t="s">
        <v>118</v>
      </c>
      <c r="F1084" t="str">
        <f>VLOOKUP($C1084,Product_Dim!$A$2:$D$101,3,FALSE)</f>
        <v>Thomas LLC</v>
      </c>
      <c r="G1084" t="str">
        <f>VLOOKUP($C1084,Product_Dim!$A$2:$D$101,2,FALSE)</f>
        <v>Electronics</v>
      </c>
      <c r="H1084">
        <v>1</v>
      </c>
      <c r="I1084">
        <v>336.51</v>
      </c>
      <c r="J1084">
        <v>0.11</v>
      </c>
      <c r="K1084" s="3">
        <v>299.4939</v>
      </c>
      <c r="L1084" t="s">
        <v>854</v>
      </c>
      <c r="M1084" t="str">
        <f>VLOOKUP($E1084,Customer_Dim!$A$2:$F$501,3,FALSE)</f>
        <v>Male</v>
      </c>
      <c r="N1084" t="str">
        <f>VLOOKUP($E1084,Customer_Dim!$A$2:$F$501,5,FALSE)</f>
        <v>USA</v>
      </c>
      <c r="O1084" t="str">
        <f>VLOOKUP($E1084,Customer_Dim!$A$2:$F$501,6,FALSE)</f>
        <v>Silver</v>
      </c>
      <c r="P1084" t="str">
        <f>VLOOKUP($A1084,Store_Dim!$A$2:$F$21,3,FALSE)</f>
        <v>EastVasquezborough</v>
      </c>
    </row>
    <row r="1085" spans="1:16" hidden="1" x14ac:dyDescent="0.25">
      <c r="A1085" t="s">
        <v>841</v>
      </c>
      <c r="B1085" t="s">
        <v>1904</v>
      </c>
      <c r="C1085" t="s">
        <v>606</v>
      </c>
      <c r="D1085" s="2">
        <v>45878</v>
      </c>
      <c r="E1085" t="s">
        <v>183</v>
      </c>
      <c r="F1085" t="str">
        <f>VLOOKUP($C1085,Product_Dim!$A$2:$D$101,3,FALSE)</f>
        <v>Thomas LLC</v>
      </c>
      <c r="G1085" t="str">
        <f>VLOOKUP($C1085,Product_Dim!$A$2:$D$101,2,FALSE)</f>
        <v>Electronics</v>
      </c>
      <c r="H1085">
        <v>1</v>
      </c>
      <c r="I1085">
        <v>151.66</v>
      </c>
      <c r="J1085">
        <v>0.16</v>
      </c>
      <c r="K1085" s="3">
        <v>127.3944</v>
      </c>
      <c r="L1085" t="s">
        <v>857</v>
      </c>
      <c r="M1085" t="str">
        <f>VLOOKUP($E1085,Customer_Dim!$A$2:$F$501,3,FALSE)</f>
        <v>Female</v>
      </c>
      <c r="N1085" t="str">
        <f>VLOOKUP($E1085,Customer_Dim!$A$2:$F$501,5,FALSE)</f>
        <v>USA</v>
      </c>
      <c r="O1085" t="str">
        <f>VLOOKUP($E1085,Customer_Dim!$A$2:$F$501,6,FALSE)</f>
        <v>Platinum</v>
      </c>
      <c r="P1085" t="str">
        <f>VLOOKUP($A1085,Store_Dim!$A$2:$F$21,3,FALSE)</f>
        <v>EastVasquezborough</v>
      </c>
    </row>
    <row r="1086" spans="1:16" hidden="1" x14ac:dyDescent="0.25">
      <c r="A1086" t="s">
        <v>841</v>
      </c>
      <c r="B1086" t="s">
        <v>1071</v>
      </c>
      <c r="C1086" t="s">
        <v>606</v>
      </c>
      <c r="D1086" s="2">
        <v>45219</v>
      </c>
      <c r="E1086" t="s">
        <v>333</v>
      </c>
      <c r="F1086" t="str">
        <f>VLOOKUP($C1086,Product_Dim!$A$2:$D$101,3,FALSE)</f>
        <v>Thomas LLC</v>
      </c>
      <c r="G1086" t="str">
        <f>VLOOKUP($C1086,Product_Dim!$A$2:$D$101,2,FALSE)</f>
        <v>Electronics</v>
      </c>
      <c r="H1086">
        <v>1</v>
      </c>
      <c r="I1086">
        <v>332.82</v>
      </c>
      <c r="J1086">
        <v>0.14000000000000001</v>
      </c>
      <c r="K1086" s="3">
        <v>286.22519999999997</v>
      </c>
      <c r="L1086" t="s">
        <v>854</v>
      </c>
      <c r="M1086" t="str">
        <f>VLOOKUP($E1086,Customer_Dim!$A$2:$F$501,3,FALSE)</f>
        <v>Female</v>
      </c>
      <c r="N1086" t="str">
        <f>VLOOKUP($E1086,Customer_Dim!$A$2:$F$501,5,FALSE)</f>
        <v>USA</v>
      </c>
      <c r="O1086" t="str">
        <f>VLOOKUP($E1086,Customer_Dim!$A$2:$F$501,6,FALSE)</f>
        <v>Bronze</v>
      </c>
      <c r="P1086" t="str">
        <f>VLOOKUP($A1086,Store_Dim!$A$2:$F$21,3,FALSE)</f>
        <v>EastVasquezborough</v>
      </c>
    </row>
    <row r="1087" spans="1:16" hidden="1" x14ac:dyDescent="0.25">
      <c r="A1087" t="s">
        <v>841</v>
      </c>
      <c r="B1087" t="s">
        <v>2689</v>
      </c>
      <c r="C1087" t="s">
        <v>606</v>
      </c>
      <c r="D1087" s="2">
        <v>45862</v>
      </c>
      <c r="E1087" t="s">
        <v>333</v>
      </c>
      <c r="F1087" t="str">
        <f>VLOOKUP($C1087,Product_Dim!$A$2:$D$101,3,FALSE)</f>
        <v>Thomas LLC</v>
      </c>
      <c r="G1087" t="str">
        <f>VLOOKUP($C1087,Product_Dim!$A$2:$D$101,2,FALSE)</f>
        <v>Electronics</v>
      </c>
      <c r="H1087">
        <v>1</v>
      </c>
      <c r="I1087">
        <v>582.29</v>
      </c>
      <c r="J1087">
        <v>0.2</v>
      </c>
      <c r="K1087" s="3">
        <v>465.83199999999999</v>
      </c>
      <c r="L1087" t="s">
        <v>852</v>
      </c>
      <c r="M1087" t="str">
        <f>VLOOKUP($E1087,Customer_Dim!$A$2:$F$501,3,FALSE)</f>
        <v>Female</v>
      </c>
      <c r="N1087" t="str">
        <f>VLOOKUP($E1087,Customer_Dim!$A$2:$F$501,5,FALSE)</f>
        <v>USA</v>
      </c>
      <c r="O1087" t="str">
        <f>VLOOKUP($E1087,Customer_Dim!$A$2:$F$501,6,FALSE)</f>
        <v>Bronze</v>
      </c>
      <c r="P1087" t="str">
        <f>VLOOKUP($A1087,Store_Dim!$A$2:$F$21,3,FALSE)</f>
        <v>EastVasquezborough</v>
      </c>
    </row>
    <row r="1088" spans="1:16" hidden="1" x14ac:dyDescent="0.25">
      <c r="A1088" t="s">
        <v>841</v>
      </c>
      <c r="B1088" t="s">
        <v>2376</v>
      </c>
      <c r="C1088" t="s">
        <v>608</v>
      </c>
      <c r="D1088" s="2">
        <v>45329</v>
      </c>
      <c r="E1088" t="s">
        <v>45</v>
      </c>
      <c r="F1088" t="str">
        <f>VLOOKUP($C1088,Product_Dim!$A$2:$D$101,3,FALSE)</f>
        <v>Erickson-Green</v>
      </c>
      <c r="G1088" t="str">
        <f>VLOOKUP($C1088,Product_Dim!$A$2:$D$101,2,FALSE)</f>
        <v>Beauty</v>
      </c>
      <c r="H1088">
        <v>2</v>
      </c>
      <c r="I1088">
        <v>303.67</v>
      </c>
      <c r="J1088">
        <v>0.05</v>
      </c>
      <c r="K1088" s="3">
        <v>576.97299999999996</v>
      </c>
      <c r="L1088" t="s">
        <v>854</v>
      </c>
      <c r="M1088" t="str">
        <f>VLOOKUP($E1088,Customer_Dim!$A$2:$F$501,3,FALSE)</f>
        <v>Female</v>
      </c>
      <c r="N1088" t="str">
        <f>VLOOKUP($E1088,Customer_Dim!$A$2:$F$501,5,FALSE)</f>
        <v>USA</v>
      </c>
      <c r="O1088" t="str">
        <f>VLOOKUP($E1088,Customer_Dim!$A$2:$F$501,6,FALSE)</f>
        <v>Bronze</v>
      </c>
      <c r="P1088" t="str">
        <f>VLOOKUP($A1088,Store_Dim!$A$2:$F$21,3,FALSE)</f>
        <v>EastVasquezborough</v>
      </c>
    </row>
    <row r="1089" spans="1:16" hidden="1" x14ac:dyDescent="0.25">
      <c r="A1089" t="s">
        <v>841</v>
      </c>
      <c r="B1089" t="s">
        <v>2119</v>
      </c>
      <c r="C1089" t="s">
        <v>608</v>
      </c>
      <c r="D1089" s="2">
        <v>45628</v>
      </c>
      <c r="E1089" t="s">
        <v>379</v>
      </c>
      <c r="F1089" t="str">
        <f>VLOOKUP($C1089,Product_Dim!$A$2:$D$101,3,FALSE)</f>
        <v>Erickson-Green</v>
      </c>
      <c r="G1089" t="str">
        <f>VLOOKUP($C1089,Product_Dim!$A$2:$D$101,2,FALSE)</f>
        <v>Beauty</v>
      </c>
      <c r="H1089">
        <v>4</v>
      </c>
      <c r="I1089">
        <v>295.39999999999998</v>
      </c>
      <c r="J1089">
        <v>0.23</v>
      </c>
      <c r="K1089" s="3">
        <v>909.83199999999999</v>
      </c>
      <c r="L1089" t="s">
        <v>854</v>
      </c>
      <c r="M1089" t="str">
        <f>VLOOKUP($E1089,Customer_Dim!$A$2:$F$501,3,FALSE)</f>
        <v>Female</v>
      </c>
      <c r="N1089" t="str">
        <f>VLOOKUP($E1089,Customer_Dim!$A$2:$F$501,5,FALSE)</f>
        <v>USA</v>
      </c>
      <c r="O1089" t="str">
        <f>VLOOKUP($E1089,Customer_Dim!$A$2:$F$501,6,FALSE)</f>
        <v>Silver</v>
      </c>
      <c r="P1089" t="str">
        <f>VLOOKUP($A1089,Store_Dim!$A$2:$F$21,3,FALSE)</f>
        <v>EastVasquezborough</v>
      </c>
    </row>
    <row r="1090" spans="1:16" hidden="1" x14ac:dyDescent="0.25">
      <c r="A1090" t="s">
        <v>841</v>
      </c>
      <c r="B1090" t="s">
        <v>1095</v>
      </c>
      <c r="C1090" t="s">
        <v>608</v>
      </c>
      <c r="D1090" s="2">
        <v>45754</v>
      </c>
      <c r="E1090" t="s">
        <v>543</v>
      </c>
      <c r="F1090" t="str">
        <f>VLOOKUP($C1090,Product_Dim!$A$2:$D$101,3,FALSE)</f>
        <v>Erickson-Green</v>
      </c>
      <c r="G1090" t="str">
        <f>VLOOKUP($C1090,Product_Dim!$A$2:$D$101,2,FALSE)</f>
        <v>Beauty</v>
      </c>
      <c r="H1090">
        <v>1</v>
      </c>
      <c r="I1090">
        <v>922.78</v>
      </c>
      <c r="J1090">
        <v>0.28999999999999998</v>
      </c>
      <c r="K1090" s="3">
        <v>655.17379999999991</v>
      </c>
      <c r="L1090" t="s">
        <v>857</v>
      </c>
      <c r="M1090" t="str">
        <f>VLOOKUP($E1090,Customer_Dim!$A$2:$F$501,3,FALSE)</f>
        <v>Female</v>
      </c>
      <c r="N1090" t="str">
        <f>VLOOKUP($E1090,Customer_Dim!$A$2:$F$501,5,FALSE)</f>
        <v>USA</v>
      </c>
      <c r="O1090" t="str">
        <f>VLOOKUP($E1090,Customer_Dim!$A$2:$F$501,6,FALSE)</f>
        <v>Gold</v>
      </c>
      <c r="P1090" t="str">
        <f>VLOOKUP($A1090,Store_Dim!$A$2:$F$21,3,FALSE)</f>
        <v>EastVasquezborough</v>
      </c>
    </row>
    <row r="1091" spans="1:16" hidden="1" x14ac:dyDescent="0.25">
      <c r="A1091" t="s">
        <v>841</v>
      </c>
      <c r="B1091" t="s">
        <v>1194</v>
      </c>
      <c r="C1091" t="s">
        <v>610</v>
      </c>
      <c r="D1091" s="2">
        <v>45218</v>
      </c>
      <c r="E1091" t="s">
        <v>91</v>
      </c>
      <c r="F1091" t="str">
        <f>VLOOKUP($C1091,Product_Dim!$A$2:$D$101,3,FALSE)</f>
        <v>Ford, Murphy and Wilson</v>
      </c>
      <c r="G1091" t="str">
        <f>VLOOKUP($C1091,Product_Dim!$A$2:$D$101,2,FALSE)</f>
        <v>Sports</v>
      </c>
      <c r="H1091">
        <v>3</v>
      </c>
      <c r="I1091">
        <v>997.95</v>
      </c>
      <c r="J1091">
        <v>0.09</v>
      </c>
      <c r="K1091" s="3">
        <v>2724.4034999999999</v>
      </c>
      <c r="L1091" t="s">
        <v>857</v>
      </c>
      <c r="M1091" t="str">
        <f>VLOOKUP($E1091,Customer_Dim!$A$2:$F$501,3,FALSE)</f>
        <v>Female</v>
      </c>
      <c r="N1091" t="str">
        <f>VLOOKUP($E1091,Customer_Dim!$A$2:$F$501,5,FALSE)</f>
        <v>USA</v>
      </c>
      <c r="O1091" t="str">
        <f>VLOOKUP($E1091,Customer_Dim!$A$2:$F$501,6,FALSE)</f>
        <v>Silver</v>
      </c>
      <c r="P1091" t="str">
        <f>VLOOKUP($A1091,Store_Dim!$A$2:$F$21,3,FALSE)</f>
        <v>EastVasquezborough</v>
      </c>
    </row>
    <row r="1092" spans="1:16" x14ac:dyDescent="0.25">
      <c r="A1092" t="s">
        <v>841</v>
      </c>
      <c r="B1092" t="s">
        <v>2358</v>
      </c>
      <c r="C1092" t="s">
        <v>610</v>
      </c>
      <c r="D1092" s="2">
        <v>45361</v>
      </c>
      <c r="E1092" t="s">
        <v>287</v>
      </c>
      <c r="F1092" t="str">
        <f>VLOOKUP($C1092,Product_Dim!$A$2:$D$101,3,FALSE)</f>
        <v>Ford, Murphy and Wilson</v>
      </c>
      <c r="G1092" t="str">
        <f>VLOOKUP($C1092,Product_Dim!$A$2:$D$101,2,FALSE)</f>
        <v>Sports</v>
      </c>
      <c r="H1092">
        <v>1</v>
      </c>
      <c r="I1092">
        <v>259.2</v>
      </c>
      <c r="J1092">
        <v>0.27</v>
      </c>
      <c r="K1092" s="3">
        <v>189.21600000000001</v>
      </c>
      <c r="L1092" t="s">
        <v>857</v>
      </c>
      <c r="M1092" t="str">
        <f>VLOOKUP($E1092,Customer_Dim!$A$2:$F$501,3,FALSE)</f>
        <v>Male</v>
      </c>
      <c r="N1092" t="str">
        <f>VLOOKUP($E1092,Customer_Dim!$A$2:$F$501,5,FALSE)</f>
        <v>USA</v>
      </c>
      <c r="O1092" t="str">
        <f>VLOOKUP($E1092,Customer_Dim!$A$2:$F$501,6,FALSE)</f>
        <v>Platinum</v>
      </c>
      <c r="P1092" t="str">
        <f>VLOOKUP($A1092,Store_Dim!$A$2:$F$21,3,FALSE)</f>
        <v>EastVasquezborough</v>
      </c>
    </row>
    <row r="1093" spans="1:16" hidden="1" x14ac:dyDescent="0.25">
      <c r="A1093" t="s">
        <v>841</v>
      </c>
      <c r="B1093" t="s">
        <v>1961</v>
      </c>
      <c r="C1093" t="s">
        <v>610</v>
      </c>
      <c r="D1093" s="2">
        <v>45701</v>
      </c>
      <c r="E1093" t="s">
        <v>525</v>
      </c>
      <c r="F1093" t="str">
        <f>VLOOKUP($C1093,Product_Dim!$A$2:$D$101,3,FALSE)</f>
        <v>Ford, Murphy and Wilson</v>
      </c>
      <c r="G1093" t="str">
        <f>VLOOKUP($C1093,Product_Dim!$A$2:$D$101,2,FALSE)</f>
        <v>Sports</v>
      </c>
      <c r="H1093">
        <v>1</v>
      </c>
      <c r="I1093">
        <v>244.25</v>
      </c>
      <c r="J1093">
        <v>0.09</v>
      </c>
      <c r="K1093" s="3">
        <v>222.26750000000001</v>
      </c>
      <c r="L1093" t="s">
        <v>854</v>
      </c>
      <c r="M1093" t="str">
        <f>VLOOKUP($E1093,Customer_Dim!$A$2:$F$501,3,FALSE)</f>
        <v>Female</v>
      </c>
      <c r="N1093" t="str">
        <f>VLOOKUP($E1093,Customer_Dim!$A$2:$F$501,5,FALSE)</f>
        <v>USA</v>
      </c>
      <c r="O1093" t="str">
        <f>VLOOKUP($E1093,Customer_Dim!$A$2:$F$501,6,FALSE)</f>
        <v>Silver</v>
      </c>
      <c r="P1093" t="str">
        <f>VLOOKUP($A1093,Store_Dim!$A$2:$F$21,3,FALSE)</f>
        <v>EastVasquezborough</v>
      </c>
    </row>
    <row r="1094" spans="1:16" x14ac:dyDescent="0.25">
      <c r="A1094" t="s">
        <v>841</v>
      </c>
      <c r="B1094" t="s">
        <v>2015</v>
      </c>
      <c r="C1094" t="s">
        <v>614</v>
      </c>
      <c r="D1094" s="2">
        <v>45832</v>
      </c>
      <c r="E1094" t="s">
        <v>348</v>
      </c>
      <c r="F1094" t="str">
        <f>VLOOKUP($C1094,Product_Dim!$A$2:$D$101,3,FALSE)</f>
        <v>May-Reese</v>
      </c>
      <c r="G1094" t="str">
        <f>VLOOKUP($C1094,Product_Dim!$A$2:$D$101,2,FALSE)</f>
        <v>Sports</v>
      </c>
      <c r="H1094">
        <v>4</v>
      </c>
      <c r="I1094">
        <v>58.92</v>
      </c>
      <c r="J1094">
        <v>0.18</v>
      </c>
      <c r="K1094" s="3">
        <v>193.2576</v>
      </c>
      <c r="L1094" t="s">
        <v>852</v>
      </c>
      <c r="M1094" t="str">
        <f>VLOOKUP($E1094,Customer_Dim!$A$2:$F$501,3,FALSE)</f>
        <v>Male</v>
      </c>
      <c r="N1094" t="str">
        <f>VLOOKUP($E1094,Customer_Dim!$A$2:$F$501,5,FALSE)</f>
        <v>USA</v>
      </c>
      <c r="O1094" t="str">
        <f>VLOOKUP($E1094,Customer_Dim!$A$2:$F$501,6,FALSE)</f>
        <v>Platinum</v>
      </c>
      <c r="P1094" t="str">
        <f>VLOOKUP($A1094,Store_Dim!$A$2:$F$21,3,FALSE)</f>
        <v>EastVasquezborough</v>
      </c>
    </row>
    <row r="1095" spans="1:16" x14ac:dyDescent="0.25">
      <c r="A1095" t="s">
        <v>841</v>
      </c>
      <c r="B1095" t="s">
        <v>1366</v>
      </c>
      <c r="C1095" t="s">
        <v>577</v>
      </c>
      <c r="D1095" s="2">
        <v>45495</v>
      </c>
      <c r="E1095" t="s">
        <v>365</v>
      </c>
      <c r="F1095" t="str">
        <f>VLOOKUP($C1095,Product_Dim!$A$2:$D$101,3,FALSE)</f>
        <v>Sims Inc</v>
      </c>
      <c r="G1095" t="str">
        <f>VLOOKUP($C1095,Product_Dim!$A$2:$D$101,2,FALSE)</f>
        <v>Clothing</v>
      </c>
      <c r="H1095">
        <v>1</v>
      </c>
      <c r="I1095">
        <v>505.23</v>
      </c>
      <c r="J1095">
        <v>0.11</v>
      </c>
      <c r="K1095" s="3">
        <v>449.65469999999999</v>
      </c>
      <c r="L1095" t="s">
        <v>852</v>
      </c>
      <c r="M1095" t="str">
        <f>VLOOKUP($E1095,Customer_Dim!$A$2:$F$501,3,FALSE)</f>
        <v>Male</v>
      </c>
      <c r="N1095" t="str">
        <f>VLOOKUP($E1095,Customer_Dim!$A$2:$F$501,5,FALSE)</f>
        <v>USA</v>
      </c>
      <c r="O1095" t="str">
        <f>VLOOKUP($E1095,Customer_Dim!$A$2:$F$501,6,FALSE)</f>
        <v>Platinum</v>
      </c>
      <c r="P1095" t="str">
        <f>VLOOKUP($A1095,Store_Dim!$A$2:$F$21,3,FALSE)</f>
        <v>EastVasquezborough</v>
      </c>
    </row>
    <row r="1096" spans="1:16" x14ac:dyDescent="0.25">
      <c r="A1096" t="s">
        <v>841</v>
      </c>
      <c r="B1096" t="s">
        <v>1219</v>
      </c>
      <c r="C1096" t="s">
        <v>618</v>
      </c>
      <c r="D1096" s="2">
        <v>45706</v>
      </c>
      <c r="E1096" t="s">
        <v>132</v>
      </c>
      <c r="F1096" t="str">
        <f>VLOOKUP($C1096,Product_Dim!$A$2:$D$101,3,FALSE)</f>
        <v>Gardner-Montes</v>
      </c>
      <c r="G1096" t="str">
        <f>VLOOKUP($C1096,Product_Dim!$A$2:$D$101,2,FALSE)</f>
        <v>Home</v>
      </c>
      <c r="H1096">
        <v>2</v>
      </c>
      <c r="I1096">
        <v>99.1</v>
      </c>
      <c r="J1096">
        <v>0.2</v>
      </c>
      <c r="K1096" s="3">
        <v>158.56</v>
      </c>
      <c r="L1096" t="s">
        <v>854</v>
      </c>
      <c r="M1096" t="str">
        <f>VLOOKUP($E1096,Customer_Dim!$A$2:$F$501,3,FALSE)</f>
        <v>Male</v>
      </c>
      <c r="N1096" t="str">
        <f>VLOOKUP($E1096,Customer_Dim!$A$2:$F$501,5,FALSE)</f>
        <v>USA</v>
      </c>
      <c r="O1096" t="str">
        <f>VLOOKUP($E1096,Customer_Dim!$A$2:$F$501,6,FALSE)</f>
        <v>Gold</v>
      </c>
      <c r="P1096" t="str">
        <f>VLOOKUP($A1096,Store_Dim!$A$2:$F$21,3,FALSE)</f>
        <v>EastVasquezborough</v>
      </c>
    </row>
    <row r="1097" spans="1:16" x14ac:dyDescent="0.25">
      <c r="A1097" t="s">
        <v>841</v>
      </c>
      <c r="B1097" t="s">
        <v>1153</v>
      </c>
      <c r="C1097" t="s">
        <v>620</v>
      </c>
      <c r="D1097" s="2">
        <v>45348</v>
      </c>
      <c r="E1097" t="s">
        <v>281</v>
      </c>
      <c r="F1097" t="str">
        <f>VLOOKUP($C1097,Product_Dim!$A$2:$D$101,3,FALSE)</f>
        <v>Flores, Pineda and Rodriguez</v>
      </c>
      <c r="G1097" t="str">
        <f>VLOOKUP($C1097,Product_Dim!$A$2:$D$101,2,FALSE)</f>
        <v>Sports</v>
      </c>
      <c r="H1097">
        <v>2</v>
      </c>
      <c r="I1097">
        <v>873.1</v>
      </c>
      <c r="J1097">
        <v>0.12</v>
      </c>
      <c r="K1097" s="3">
        <v>1536.6559999999999</v>
      </c>
      <c r="L1097" t="s">
        <v>854</v>
      </c>
      <c r="M1097" t="str">
        <f>VLOOKUP($E1097,Customer_Dim!$A$2:$F$501,3,FALSE)</f>
        <v>Male</v>
      </c>
      <c r="N1097" t="str">
        <f>VLOOKUP($E1097,Customer_Dim!$A$2:$F$501,5,FALSE)</f>
        <v>USA</v>
      </c>
      <c r="O1097" t="str">
        <f>VLOOKUP($E1097,Customer_Dim!$A$2:$F$501,6,FALSE)</f>
        <v>Platinum</v>
      </c>
      <c r="P1097" t="str">
        <f>VLOOKUP($A1097,Store_Dim!$A$2:$F$21,3,FALSE)</f>
        <v>EastVasquezborough</v>
      </c>
    </row>
    <row r="1098" spans="1:16" x14ac:dyDescent="0.25">
      <c r="A1098" t="s">
        <v>841</v>
      </c>
      <c r="B1098" t="s">
        <v>1553</v>
      </c>
      <c r="C1098" t="s">
        <v>622</v>
      </c>
      <c r="D1098" s="2">
        <v>45939</v>
      </c>
      <c r="E1098" t="s">
        <v>108</v>
      </c>
      <c r="F1098" t="str">
        <f>VLOOKUP($C1098,Product_Dim!$A$2:$D$101,3,FALSE)</f>
        <v>Moon, Mora and Santos</v>
      </c>
      <c r="G1098" t="str">
        <f>VLOOKUP($C1098,Product_Dim!$A$2:$D$101,2,FALSE)</f>
        <v>Clothing</v>
      </c>
      <c r="H1098">
        <v>3</v>
      </c>
      <c r="I1098">
        <v>648.33000000000004</v>
      </c>
      <c r="J1098">
        <v>0.2</v>
      </c>
      <c r="K1098" s="3">
        <v>1555.992</v>
      </c>
      <c r="L1098" t="s">
        <v>857</v>
      </c>
      <c r="M1098" t="str">
        <f>VLOOKUP($E1098,Customer_Dim!$A$2:$F$501,3,FALSE)</f>
        <v>Male</v>
      </c>
      <c r="N1098" t="str">
        <f>VLOOKUP($E1098,Customer_Dim!$A$2:$F$501,5,FALSE)</f>
        <v>USA</v>
      </c>
      <c r="O1098" t="str">
        <f>VLOOKUP($E1098,Customer_Dim!$A$2:$F$501,6,FALSE)</f>
        <v>Platinum</v>
      </c>
      <c r="P1098" t="str">
        <f>VLOOKUP($A1098,Store_Dim!$A$2:$F$21,3,FALSE)</f>
        <v>EastVasquezborough</v>
      </c>
    </row>
    <row r="1099" spans="1:16" x14ac:dyDescent="0.25">
      <c r="A1099" t="s">
        <v>841</v>
      </c>
      <c r="B1099" t="s">
        <v>1197</v>
      </c>
      <c r="C1099" t="s">
        <v>624</v>
      </c>
      <c r="D1099" s="2">
        <v>45623</v>
      </c>
      <c r="E1099" t="s">
        <v>63</v>
      </c>
      <c r="F1099" t="str">
        <f>VLOOKUP($C1099,Product_Dim!$A$2:$D$101,3,FALSE)</f>
        <v>Cook Ltd</v>
      </c>
      <c r="G1099" t="str">
        <f>VLOOKUP($C1099,Product_Dim!$A$2:$D$101,2,FALSE)</f>
        <v>Sports</v>
      </c>
      <c r="H1099">
        <v>3</v>
      </c>
      <c r="I1099">
        <v>794.59</v>
      </c>
      <c r="J1099">
        <v>0.03</v>
      </c>
      <c r="K1099" s="3">
        <v>2312.2568999999999</v>
      </c>
      <c r="L1099" t="s">
        <v>854</v>
      </c>
      <c r="M1099" t="str">
        <f>VLOOKUP($E1099,Customer_Dim!$A$2:$F$501,3,FALSE)</f>
        <v>Male</v>
      </c>
      <c r="N1099" t="str">
        <f>VLOOKUP($E1099,Customer_Dim!$A$2:$F$501,5,FALSE)</f>
        <v>USA</v>
      </c>
      <c r="O1099" t="str">
        <f>VLOOKUP($E1099,Customer_Dim!$A$2:$F$501,6,FALSE)</f>
        <v>UNKNOWN</v>
      </c>
      <c r="P1099" t="str">
        <f>VLOOKUP($A1099,Store_Dim!$A$2:$F$21,3,FALSE)</f>
        <v>EastVasquezborough</v>
      </c>
    </row>
    <row r="1100" spans="1:16" hidden="1" x14ac:dyDescent="0.25">
      <c r="A1100" t="s">
        <v>841</v>
      </c>
      <c r="B1100" t="s">
        <v>1964</v>
      </c>
      <c r="C1100" t="s">
        <v>624</v>
      </c>
      <c r="D1100" s="2">
        <v>45652</v>
      </c>
      <c r="E1100" t="s">
        <v>252</v>
      </c>
      <c r="F1100" t="str">
        <f>VLOOKUP($C1100,Product_Dim!$A$2:$D$101,3,FALSE)</f>
        <v>Cook Ltd</v>
      </c>
      <c r="G1100" t="str">
        <f>VLOOKUP($C1100,Product_Dim!$A$2:$D$101,2,FALSE)</f>
        <v>Sports</v>
      </c>
      <c r="H1100">
        <v>3</v>
      </c>
      <c r="I1100">
        <v>631.20000000000005</v>
      </c>
      <c r="J1100">
        <v>0.24</v>
      </c>
      <c r="K1100" s="3">
        <v>1439.136</v>
      </c>
      <c r="L1100" t="s">
        <v>852</v>
      </c>
      <c r="M1100" t="str">
        <f>VLOOKUP($E1100,Customer_Dim!$A$2:$F$501,3,FALSE)</f>
        <v>Female</v>
      </c>
      <c r="N1100" t="str">
        <f>VLOOKUP($E1100,Customer_Dim!$A$2:$F$501,5,FALSE)</f>
        <v>USA</v>
      </c>
      <c r="O1100" t="str">
        <f>VLOOKUP($E1100,Customer_Dim!$A$2:$F$501,6,FALSE)</f>
        <v>Platinum</v>
      </c>
      <c r="P1100" t="str">
        <f>VLOOKUP($A1100,Store_Dim!$A$2:$F$21,3,FALSE)</f>
        <v>EastVasquezborough</v>
      </c>
    </row>
    <row r="1101" spans="1:16" hidden="1" x14ac:dyDescent="0.25">
      <c r="A1101" t="s">
        <v>841</v>
      </c>
      <c r="B1101" t="s">
        <v>894</v>
      </c>
      <c r="C1101" t="s">
        <v>628</v>
      </c>
      <c r="D1101" s="2">
        <v>45486</v>
      </c>
      <c r="E1101" t="s">
        <v>125</v>
      </c>
      <c r="F1101" t="str">
        <f>VLOOKUP($C1101,Product_Dim!$A$2:$D$101,3,FALSE)</f>
        <v>Reed-Schmidt</v>
      </c>
      <c r="G1101" t="str">
        <f>VLOOKUP($C1101,Product_Dim!$A$2:$D$101,2,FALSE)</f>
        <v>Electronics</v>
      </c>
      <c r="H1101">
        <v>2</v>
      </c>
      <c r="I1101">
        <v>873.86</v>
      </c>
      <c r="J1101">
        <v>7.0000000000000007E-2</v>
      </c>
      <c r="K1101" s="3">
        <v>1625.3796</v>
      </c>
      <c r="L1101" t="s">
        <v>857</v>
      </c>
      <c r="M1101" t="str">
        <f>VLOOKUP($E1101,Customer_Dim!$A$2:$F$501,3,FALSE)</f>
        <v>Female</v>
      </c>
      <c r="N1101" t="str">
        <f>VLOOKUP($E1101,Customer_Dim!$A$2:$F$501,5,FALSE)</f>
        <v>USA</v>
      </c>
      <c r="O1101" t="str">
        <f>VLOOKUP($E1101,Customer_Dim!$A$2:$F$501,6,FALSE)</f>
        <v>Gold</v>
      </c>
      <c r="P1101" t="str">
        <f>VLOOKUP($A1101,Store_Dim!$A$2:$F$21,3,FALSE)</f>
        <v>EastVasquezborough</v>
      </c>
    </row>
    <row r="1102" spans="1:16" hidden="1" x14ac:dyDescent="0.25">
      <c r="A1102" t="s">
        <v>841</v>
      </c>
      <c r="B1102" t="s">
        <v>1546</v>
      </c>
      <c r="C1102" t="s">
        <v>628</v>
      </c>
      <c r="D1102" s="2">
        <v>45650</v>
      </c>
      <c r="E1102" t="s">
        <v>306</v>
      </c>
      <c r="F1102" t="str">
        <f>VLOOKUP($C1102,Product_Dim!$A$2:$D$101,3,FALSE)</f>
        <v>Reed-Schmidt</v>
      </c>
      <c r="G1102" t="str">
        <f>VLOOKUP($C1102,Product_Dim!$A$2:$D$101,2,FALSE)</f>
        <v>Electronics</v>
      </c>
      <c r="H1102">
        <v>2</v>
      </c>
      <c r="I1102">
        <v>800.84</v>
      </c>
      <c r="J1102">
        <v>0.27</v>
      </c>
      <c r="K1102" s="3">
        <v>1169.2264</v>
      </c>
      <c r="L1102" t="s">
        <v>857</v>
      </c>
      <c r="M1102" t="str">
        <f>VLOOKUP($E1102,Customer_Dim!$A$2:$F$501,3,FALSE)</f>
        <v>Female</v>
      </c>
      <c r="N1102" t="str">
        <f>VLOOKUP($E1102,Customer_Dim!$A$2:$F$501,5,FALSE)</f>
        <v>USA</v>
      </c>
      <c r="O1102" t="str">
        <f>VLOOKUP($E1102,Customer_Dim!$A$2:$F$501,6,FALSE)</f>
        <v>Platinum</v>
      </c>
      <c r="P1102" t="str">
        <f>VLOOKUP($A1102,Store_Dim!$A$2:$F$21,3,FALSE)</f>
        <v>EastVasquezborough</v>
      </c>
    </row>
    <row r="1103" spans="1:16" hidden="1" x14ac:dyDescent="0.25">
      <c r="A1103" t="s">
        <v>841</v>
      </c>
      <c r="B1103" t="s">
        <v>2424</v>
      </c>
      <c r="C1103" t="s">
        <v>630</v>
      </c>
      <c r="D1103" s="2">
        <v>45284</v>
      </c>
      <c r="E1103" t="s">
        <v>70</v>
      </c>
      <c r="F1103" t="str">
        <f>VLOOKUP($C1103,Product_Dim!$A$2:$D$101,3,FALSE)</f>
        <v>Khan, Jones and Paul</v>
      </c>
      <c r="G1103" t="str">
        <f>VLOOKUP($C1103,Product_Dim!$A$2:$D$101,2,FALSE)</f>
        <v>Home</v>
      </c>
      <c r="H1103">
        <v>4</v>
      </c>
      <c r="I1103">
        <v>822.32</v>
      </c>
      <c r="J1103">
        <v>0.26</v>
      </c>
      <c r="K1103" s="3">
        <v>2434.0672</v>
      </c>
      <c r="L1103" t="s">
        <v>854</v>
      </c>
      <c r="M1103" t="str">
        <f>VLOOKUP($E1103,Customer_Dim!$A$2:$F$501,3,FALSE)</f>
        <v>Female</v>
      </c>
      <c r="N1103" t="str">
        <f>VLOOKUP($E1103,Customer_Dim!$A$2:$F$501,5,FALSE)</f>
        <v>USA</v>
      </c>
      <c r="O1103" t="str">
        <f>VLOOKUP($E1103,Customer_Dim!$A$2:$F$501,6,FALSE)</f>
        <v>Gold</v>
      </c>
      <c r="P1103" t="str">
        <f>VLOOKUP($A1103,Store_Dim!$A$2:$F$21,3,FALSE)</f>
        <v>EastVasquezborough</v>
      </c>
    </row>
    <row r="1104" spans="1:16" x14ac:dyDescent="0.25">
      <c r="A1104" t="s">
        <v>841</v>
      </c>
      <c r="B1104" t="s">
        <v>1671</v>
      </c>
      <c r="C1104" t="s">
        <v>630</v>
      </c>
      <c r="D1104" s="2">
        <v>45406</v>
      </c>
      <c r="E1104" t="s">
        <v>255</v>
      </c>
      <c r="F1104" t="str">
        <f>VLOOKUP($C1104,Product_Dim!$A$2:$D$101,3,FALSE)</f>
        <v>Khan, Jones and Paul</v>
      </c>
      <c r="G1104" t="str">
        <f>VLOOKUP($C1104,Product_Dim!$A$2:$D$101,2,FALSE)</f>
        <v>Home</v>
      </c>
      <c r="H1104">
        <v>3</v>
      </c>
      <c r="I1104">
        <v>871.34</v>
      </c>
      <c r="J1104">
        <v>0.11</v>
      </c>
      <c r="K1104" s="3">
        <v>2326.4778000000001</v>
      </c>
      <c r="L1104" t="s">
        <v>857</v>
      </c>
      <c r="M1104" t="str">
        <f>VLOOKUP($E1104,Customer_Dim!$A$2:$F$501,3,FALSE)</f>
        <v>Male</v>
      </c>
      <c r="N1104" t="str">
        <f>VLOOKUP($E1104,Customer_Dim!$A$2:$F$501,5,FALSE)</f>
        <v>USA</v>
      </c>
      <c r="O1104" t="str">
        <f>VLOOKUP($E1104,Customer_Dim!$A$2:$F$501,6,FALSE)</f>
        <v>Bronze</v>
      </c>
      <c r="P1104" t="str">
        <f>VLOOKUP($A1104,Store_Dim!$A$2:$F$21,3,FALSE)</f>
        <v>EastVasquezborough</v>
      </c>
    </row>
    <row r="1105" spans="1:16" hidden="1" x14ac:dyDescent="0.25">
      <c r="A1105" t="s">
        <v>841</v>
      </c>
      <c r="B1105" t="s">
        <v>2136</v>
      </c>
      <c r="C1105" t="s">
        <v>634</v>
      </c>
      <c r="D1105" s="2">
        <v>45876</v>
      </c>
      <c r="E1105" t="s">
        <v>388</v>
      </c>
      <c r="F1105" t="str">
        <f>VLOOKUP($C1105,Product_Dim!$A$2:$D$101,3,FALSE)</f>
        <v>Hoffman Group</v>
      </c>
      <c r="G1105" t="str">
        <f>VLOOKUP($C1105,Product_Dim!$A$2:$D$101,2,FALSE)</f>
        <v>Home</v>
      </c>
      <c r="H1105">
        <v>1</v>
      </c>
      <c r="I1105">
        <v>654.17999999999995</v>
      </c>
      <c r="J1105">
        <v>0.19</v>
      </c>
      <c r="K1105" s="3">
        <v>529.88580000000002</v>
      </c>
      <c r="L1105" t="s">
        <v>854</v>
      </c>
      <c r="M1105" t="str">
        <f>VLOOKUP($E1105,Customer_Dim!$A$2:$F$501,3,FALSE)</f>
        <v>Female</v>
      </c>
      <c r="N1105" t="str">
        <f>VLOOKUP($E1105,Customer_Dim!$A$2:$F$501,5,FALSE)</f>
        <v>USA</v>
      </c>
      <c r="O1105" t="str">
        <f>VLOOKUP($E1105,Customer_Dim!$A$2:$F$501,6,FALSE)</f>
        <v>Bronze</v>
      </c>
      <c r="P1105" t="str">
        <f>VLOOKUP($A1105,Store_Dim!$A$2:$F$21,3,FALSE)</f>
        <v>EastVasquezborough</v>
      </c>
    </row>
    <row r="1106" spans="1:16" hidden="1" x14ac:dyDescent="0.25">
      <c r="A1106" t="s">
        <v>841</v>
      </c>
      <c r="B1106" t="s">
        <v>1264</v>
      </c>
      <c r="C1106" t="s">
        <v>634</v>
      </c>
      <c r="D1106" s="2">
        <v>45706</v>
      </c>
      <c r="E1106" t="s">
        <v>458</v>
      </c>
      <c r="F1106" t="str">
        <f>VLOOKUP($C1106,Product_Dim!$A$2:$D$101,3,FALSE)</f>
        <v>Hoffman Group</v>
      </c>
      <c r="G1106" t="str">
        <f>VLOOKUP($C1106,Product_Dim!$A$2:$D$101,2,FALSE)</f>
        <v>Home</v>
      </c>
      <c r="H1106">
        <v>4</v>
      </c>
      <c r="I1106">
        <v>349.84</v>
      </c>
      <c r="J1106">
        <v>0.11</v>
      </c>
      <c r="K1106" s="3">
        <v>1245.4304</v>
      </c>
      <c r="L1106" t="s">
        <v>852</v>
      </c>
      <c r="M1106" t="str">
        <f>VLOOKUP($E1106,Customer_Dim!$A$2:$F$501,3,FALSE)</f>
        <v>Female</v>
      </c>
      <c r="N1106" t="str">
        <f>VLOOKUP($E1106,Customer_Dim!$A$2:$F$501,5,FALSE)</f>
        <v>USA</v>
      </c>
      <c r="O1106" t="str">
        <f>VLOOKUP($E1106,Customer_Dim!$A$2:$F$501,6,FALSE)</f>
        <v>Bronze</v>
      </c>
      <c r="P1106" t="str">
        <f>VLOOKUP($A1106,Store_Dim!$A$2:$F$21,3,FALSE)</f>
        <v>EastVasquezborough</v>
      </c>
    </row>
    <row r="1107" spans="1:16" x14ac:dyDescent="0.25">
      <c r="A1107" t="s">
        <v>841</v>
      </c>
      <c r="B1107" t="s">
        <v>1187</v>
      </c>
      <c r="C1107" t="s">
        <v>638</v>
      </c>
      <c r="D1107" s="2">
        <v>45891</v>
      </c>
      <c r="E1107" t="s">
        <v>142</v>
      </c>
      <c r="F1107" t="str">
        <f>VLOOKUP($C1107,Product_Dim!$A$2:$D$101,3,FALSE)</f>
        <v>Nolan-Snow</v>
      </c>
      <c r="G1107" t="str">
        <f>VLOOKUP($C1107,Product_Dim!$A$2:$D$101,2,FALSE)</f>
        <v>Sports</v>
      </c>
      <c r="H1107">
        <v>3</v>
      </c>
      <c r="I1107">
        <v>455.82</v>
      </c>
      <c r="J1107">
        <v>0.01</v>
      </c>
      <c r="K1107" s="3">
        <v>1353.7854</v>
      </c>
      <c r="L1107" t="s">
        <v>854</v>
      </c>
      <c r="M1107" t="str">
        <f>VLOOKUP($E1107,Customer_Dim!$A$2:$F$501,3,FALSE)</f>
        <v>Male</v>
      </c>
      <c r="N1107" t="str">
        <f>VLOOKUP($E1107,Customer_Dim!$A$2:$F$501,5,FALSE)</f>
        <v>USA</v>
      </c>
      <c r="O1107" t="str">
        <f>VLOOKUP($E1107,Customer_Dim!$A$2:$F$501,6,FALSE)</f>
        <v>Silver</v>
      </c>
      <c r="P1107" t="str">
        <f>VLOOKUP($A1107,Store_Dim!$A$2:$F$21,3,FALSE)</f>
        <v>EastVasquezborough</v>
      </c>
    </row>
    <row r="1108" spans="1:16" hidden="1" x14ac:dyDescent="0.25">
      <c r="A1108" t="s">
        <v>841</v>
      </c>
      <c r="B1108" t="s">
        <v>2268</v>
      </c>
      <c r="C1108" t="s">
        <v>638</v>
      </c>
      <c r="D1108" s="2">
        <v>45394</v>
      </c>
      <c r="E1108" t="s">
        <v>438</v>
      </c>
      <c r="F1108" t="str">
        <f>VLOOKUP($C1108,Product_Dim!$A$2:$D$101,3,FALSE)</f>
        <v>Nolan-Snow</v>
      </c>
      <c r="G1108" t="str">
        <f>VLOOKUP($C1108,Product_Dim!$A$2:$D$101,2,FALSE)</f>
        <v>Sports</v>
      </c>
      <c r="H1108">
        <v>4</v>
      </c>
      <c r="I1108">
        <v>327.25</v>
      </c>
      <c r="J1108">
        <v>0.13</v>
      </c>
      <c r="K1108" s="3">
        <v>1138.83</v>
      </c>
      <c r="L1108" t="s">
        <v>857</v>
      </c>
      <c r="M1108" t="str">
        <f>VLOOKUP($E1108,Customer_Dim!$A$2:$F$501,3,FALSE)</f>
        <v>Female</v>
      </c>
      <c r="N1108" t="str">
        <f>VLOOKUP($E1108,Customer_Dim!$A$2:$F$501,5,FALSE)</f>
        <v>USA</v>
      </c>
      <c r="O1108" t="str">
        <f>VLOOKUP($E1108,Customer_Dim!$A$2:$F$501,6,FALSE)</f>
        <v>Platinum</v>
      </c>
      <c r="P1108" t="str">
        <f>VLOOKUP($A1108,Store_Dim!$A$2:$F$21,3,FALSE)</f>
        <v>EastVasquezborough</v>
      </c>
    </row>
    <row r="1109" spans="1:16" x14ac:dyDescent="0.25">
      <c r="A1109" t="s">
        <v>841</v>
      </c>
      <c r="B1109" t="s">
        <v>1775</v>
      </c>
      <c r="C1109" t="s">
        <v>642</v>
      </c>
      <c r="D1109" s="2">
        <v>45460</v>
      </c>
      <c r="E1109" t="s">
        <v>202</v>
      </c>
      <c r="F1109" t="str">
        <f>VLOOKUP($C1109,Product_Dim!$A$2:$D$101,3,FALSE)</f>
        <v>Weiss-Watson</v>
      </c>
      <c r="G1109" t="str">
        <f>VLOOKUP($C1109,Product_Dim!$A$2:$D$101,2,FALSE)</f>
        <v>Home</v>
      </c>
      <c r="H1109">
        <v>2</v>
      </c>
      <c r="I1109">
        <v>892.06</v>
      </c>
      <c r="J1109">
        <v>0.08</v>
      </c>
      <c r="K1109" s="3">
        <v>1641.3904</v>
      </c>
      <c r="L1109" t="s">
        <v>852</v>
      </c>
      <c r="M1109" t="str">
        <f>VLOOKUP($E1109,Customer_Dim!$A$2:$F$501,3,FALSE)</f>
        <v>Male</v>
      </c>
      <c r="N1109" t="str">
        <f>VLOOKUP($E1109,Customer_Dim!$A$2:$F$501,5,FALSE)</f>
        <v>USA</v>
      </c>
      <c r="O1109" t="str">
        <f>VLOOKUP($E1109,Customer_Dim!$A$2:$F$501,6,FALSE)</f>
        <v>Gold</v>
      </c>
      <c r="P1109" t="str">
        <f>VLOOKUP($A1109,Store_Dim!$A$2:$F$21,3,FALSE)</f>
        <v>EastVasquezborough</v>
      </c>
    </row>
    <row r="1110" spans="1:16" x14ac:dyDescent="0.25">
      <c r="A1110" t="s">
        <v>841</v>
      </c>
      <c r="B1110" t="s">
        <v>2215</v>
      </c>
      <c r="C1110" t="s">
        <v>642</v>
      </c>
      <c r="D1110" s="2">
        <v>45532</v>
      </c>
      <c r="E1110" t="s">
        <v>253</v>
      </c>
      <c r="F1110" t="str">
        <f>VLOOKUP($C1110,Product_Dim!$A$2:$D$101,3,FALSE)</f>
        <v>Weiss-Watson</v>
      </c>
      <c r="G1110" t="str">
        <f>VLOOKUP($C1110,Product_Dim!$A$2:$D$101,2,FALSE)</f>
        <v>Home</v>
      </c>
      <c r="H1110">
        <v>4</v>
      </c>
      <c r="I1110">
        <v>885.57</v>
      </c>
      <c r="J1110">
        <v>0.27</v>
      </c>
      <c r="K1110" s="3">
        <v>2585.8643999999999</v>
      </c>
      <c r="L1110" t="s">
        <v>852</v>
      </c>
      <c r="M1110" t="str">
        <f>VLOOKUP($E1110,Customer_Dim!$A$2:$F$501,3,FALSE)</f>
        <v>Male</v>
      </c>
      <c r="N1110" t="str">
        <f>VLOOKUP($E1110,Customer_Dim!$A$2:$F$501,5,FALSE)</f>
        <v>USA</v>
      </c>
      <c r="O1110" t="str">
        <f>VLOOKUP($E1110,Customer_Dim!$A$2:$F$501,6,FALSE)</f>
        <v>Silver</v>
      </c>
      <c r="P1110" t="str">
        <f>VLOOKUP($A1110,Store_Dim!$A$2:$F$21,3,FALSE)</f>
        <v>EastVasquezborough</v>
      </c>
    </row>
    <row r="1111" spans="1:16" hidden="1" x14ac:dyDescent="0.25">
      <c r="A1111" t="s">
        <v>841</v>
      </c>
      <c r="B1111" t="s">
        <v>2444</v>
      </c>
      <c r="C1111" t="s">
        <v>642</v>
      </c>
      <c r="D1111" s="2">
        <v>45749</v>
      </c>
      <c r="E1111" t="s">
        <v>477</v>
      </c>
      <c r="F1111" t="str">
        <f>VLOOKUP($C1111,Product_Dim!$A$2:$D$101,3,FALSE)</f>
        <v>Weiss-Watson</v>
      </c>
      <c r="G1111" t="str">
        <f>VLOOKUP($C1111,Product_Dim!$A$2:$D$101,2,FALSE)</f>
        <v>Home</v>
      </c>
      <c r="H1111">
        <v>4</v>
      </c>
      <c r="I1111">
        <v>62.25</v>
      </c>
      <c r="J1111">
        <v>0.11</v>
      </c>
      <c r="K1111" s="3">
        <v>221.61</v>
      </c>
      <c r="L1111" t="s">
        <v>854</v>
      </c>
      <c r="M1111" t="str">
        <f>VLOOKUP($E1111,Customer_Dim!$A$2:$F$501,3,FALSE)</f>
        <v>Female</v>
      </c>
      <c r="N1111" t="str">
        <f>VLOOKUP($E1111,Customer_Dim!$A$2:$F$501,5,FALSE)</f>
        <v>USA</v>
      </c>
      <c r="O1111" t="str">
        <f>VLOOKUP($E1111,Customer_Dim!$A$2:$F$501,6,FALSE)</f>
        <v>Bronze</v>
      </c>
      <c r="P1111" t="str">
        <f>VLOOKUP($A1111,Store_Dim!$A$2:$F$21,3,FALSE)</f>
        <v>EastVasquezborough</v>
      </c>
    </row>
    <row r="1112" spans="1:16" x14ac:dyDescent="0.25">
      <c r="A1112" t="s">
        <v>841</v>
      </c>
      <c r="B1112" t="s">
        <v>1000</v>
      </c>
      <c r="C1112" t="s">
        <v>648</v>
      </c>
      <c r="D1112" s="2">
        <v>45626</v>
      </c>
      <c r="E1112" t="s">
        <v>510</v>
      </c>
      <c r="F1112" t="str">
        <f>VLOOKUP($C1112,Product_Dim!$A$2:$D$101,3,FALSE)</f>
        <v>Smith-Mills</v>
      </c>
      <c r="G1112" t="str">
        <f>VLOOKUP($C1112,Product_Dim!$A$2:$D$101,2,FALSE)</f>
        <v>Clothing</v>
      </c>
      <c r="H1112">
        <v>3</v>
      </c>
      <c r="I1112">
        <v>584.41</v>
      </c>
      <c r="J1112">
        <v>0</v>
      </c>
      <c r="K1112" s="3">
        <v>1753.23</v>
      </c>
      <c r="L1112" t="s">
        <v>857</v>
      </c>
      <c r="M1112" t="str">
        <f>VLOOKUP($E1112,Customer_Dim!$A$2:$F$501,3,FALSE)</f>
        <v>Male</v>
      </c>
      <c r="N1112" t="str">
        <f>VLOOKUP($E1112,Customer_Dim!$A$2:$F$501,5,FALSE)</f>
        <v>USA</v>
      </c>
      <c r="O1112" t="str">
        <f>VLOOKUP($E1112,Customer_Dim!$A$2:$F$501,6,FALSE)</f>
        <v>Silver</v>
      </c>
      <c r="P1112" t="str">
        <f>VLOOKUP($A1112,Store_Dim!$A$2:$F$21,3,FALSE)</f>
        <v>EastVasquezborough</v>
      </c>
    </row>
    <row r="1113" spans="1:16" hidden="1" x14ac:dyDescent="0.25">
      <c r="A1113" t="s">
        <v>841</v>
      </c>
      <c r="B1113" t="s">
        <v>2594</v>
      </c>
      <c r="C1113" t="s">
        <v>650</v>
      </c>
      <c r="D1113" s="2">
        <v>45562</v>
      </c>
      <c r="E1113" t="s">
        <v>97</v>
      </c>
      <c r="F1113" t="str">
        <f>VLOOKUP($C1113,Product_Dim!$A$2:$D$101,3,FALSE)</f>
        <v>Hogan-Lee</v>
      </c>
      <c r="G1113" t="str">
        <f>VLOOKUP($C1113,Product_Dim!$A$2:$D$101,2,FALSE)</f>
        <v>Clothing</v>
      </c>
      <c r="H1113">
        <v>4</v>
      </c>
      <c r="I1113">
        <v>442.87</v>
      </c>
      <c r="J1113">
        <v>0.08</v>
      </c>
      <c r="K1113" s="3">
        <v>1629.7616</v>
      </c>
      <c r="L1113" t="s">
        <v>852</v>
      </c>
      <c r="M1113" t="str">
        <f>VLOOKUP($E1113,Customer_Dim!$A$2:$F$501,3,FALSE)</f>
        <v>Female</v>
      </c>
      <c r="N1113" t="str">
        <f>VLOOKUP($E1113,Customer_Dim!$A$2:$F$501,5,FALSE)</f>
        <v>USA</v>
      </c>
      <c r="O1113" t="str">
        <f>VLOOKUP($E1113,Customer_Dim!$A$2:$F$501,6,FALSE)</f>
        <v>Gold</v>
      </c>
      <c r="P1113" t="str">
        <f>VLOOKUP($A1113,Store_Dim!$A$2:$F$21,3,FALSE)</f>
        <v>EastVasquezborough</v>
      </c>
    </row>
    <row r="1114" spans="1:16" x14ac:dyDescent="0.25">
      <c r="A1114" t="s">
        <v>841</v>
      </c>
      <c r="B1114" t="s">
        <v>1641</v>
      </c>
      <c r="C1114" t="s">
        <v>650</v>
      </c>
      <c r="D1114" s="2">
        <v>45793</v>
      </c>
      <c r="E1114" t="s">
        <v>241</v>
      </c>
      <c r="F1114" t="str">
        <f>VLOOKUP($C1114,Product_Dim!$A$2:$D$101,3,FALSE)</f>
        <v>Hogan-Lee</v>
      </c>
      <c r="G1114" t="str">
        <f>VLOOKUP($C1114,Product_Dim!$A$2:$D$101,2,FALSE)</f>
        <v>Clothing</v>
      </c>
      <c r="H1114">
        <v>4</v>
      </c>
      <c r="I1114">
        <v>122.87</v>
      </c>
      <c r="J1114">
        <v>0.13</v>
      </c>
      <c r="K1114" s="3">
        <v>427.58760000000001</v>
      </c>
      <c r="L1114" t="s">
        <v>852</v>
      </c>
      <c r="M1114" t="str">
        <f>VLOOKUP($E1114,Customer_Dim!$A$2:$F$501,3,FALSE)</f>
        <v>Male</v>
      </c>
      <c r="N1114" t="str">
        <f>VLOOKUP($E1114,Customer_Dim!$A$2:$F$501,5,FALSE)</f>
        <v>USA</v>
      </c>
      <c r="O1114" t="str">
        <f>VLOOKUP($E1114,Customer_Dim!$A$2:$F$501,6,FALSE)</f>
        <v>Platinum</v>
      </c>
      <c r="P1114" t="str">
        <f>VLOOKUP($A1114,Store_Dim!$A$2:$F$21,3,FALSE)</f>
        <v>EastVasquezborough</v>
      </c>
    </row>
    <row r="1115" spans="1:16" x14ac:dyDescent="0.25">
      <c r="A1115" t="s">
        <v>841</v>
      </c>
      <c r="B1115" t="s">
        <v>1340</v>
      </c>
      <c r="C1115" t="s">
        <v>652</v>
      </c>
      <c r="D1115" s="2">
        <v>45333</v>
      </c>
      <c r="E1115" t="s">
        <v>410</v>
      </c>
      <c r="F1115" t="str">
        <f>VLOOKUP($C1115,Product_Dim!$A$2:$D$101,3,FALSE)</f>
        <v>Sims-Smith</v>
      </c>
      <c r="G1115" t="str">
        <f>VLOOKUP($C1115,Product_Dim!$A$2:$D$101,2,FALSE)</f>
        <v>Sports</v>
      </c>
      <c r="H1115">
        <v>3</v>
      </c>
      <c r="I1115">
        <v>134.58000000000001</v>
      </c>
      <c r="J1115">
        <v>0.04</v>
      </c>
      <c r="K1115" s="3">
        <v>387.59039999999999</v>
      </c>
      <c r="L1115" t="s">
        <v>857</v>
      </c>
      <c r="M1115" t="str">
        <f>VLOOKUP($E1115,Customer_Dim!$A$2:$F$501,3,FALSE)</f>
        <v>Male</v>
      </c>
      <c r="N1115" t="str">
        <f>VLOOKUP($E1115,Customer_Dim!$A$2:$F$501,5,FALSE)</f>
        <v>USA</v>
      </c>
      <c r="O1115" t="str">
        <f>VLOOKUP($E1115,Customer_Dim!$A$2:$F$501,6,FALSE)</f>
        <v>Bronze</v>
      </c>
      <c r="P1115" t="str">
        <f>VLOOKUP($A1115,Store_Dim!$A$2:$F$21,3,FALSE)</f>
        <v>EastVasquezborough</v>
      </c>
    </row>
    <row r="1116" spans="1:16" hidden="1" x14ac:dyDescent="0.25">
      <c r="A1116" t="s">
        <v>841</v>
      </c>
      <c r="B1116" t="s">
        <v>1234</v>
      </c>
      <c r="C1116" t="s">
        <v>581</v>
      </c>
      <c r="D1116" s="2">
        <v>45275</v>
      </c>
      <c r="E1116" t="s">
        <v>157</v>
      </c>
      <c r="F1116" t="str">
        <f>VLOOKUP($C1116,Product_Dim!$A$2:$D$101,3,FALSE)</f>
        <v>Gonzales-Davis</v>
      </c>
      <c r="G1116" t="str">
        <f>VLOOKUP($C1116,Product_Dim!$A$2:$D$101,2,FALSE)</f>
        <v>Clothing</v>
      </c>
      <c r="H1116">
        <v>4</v>
      </c>
      <c r="I1116">
        <v>603.30999999999995</v>
      </c>
      <c r="J1116">
        <v>0.15</v>
      </c>
      <c r="K1116" s="3">
        <v>2051.2539999999999</v>
      </c>
      <c r="L1116" t="s">
        <v>852</v>
      </c>
      <c r="M1116" t="str">
        <f>VLOOKUP($E1116,Customer_Dim!$A$2:$F$501,3,FALSE)</f>
        <v>Female</v>
      </c>
      <c r="N1116" t="str">
        <f>VLOOKUP($E1116,Customer_Dim!$A$2:$F$501,5,FALSE)</f>
        <v>USA</v>
      </c>
      <c r="O1116" t="str">
        <f>VLOOKUP($E1116,Customer_Dim!$A$2:$F$501,6,FALSE)</f>
        <v>Platinum</v>
      </c>
      <c r="P1116" t="str">
        <f>VLOOKUP($A1116,Store_Dim!$A$2:$F$21,3,FALSE)</f>
        <v>EastVasquezborough</v>
      </c>
    </row>
    <row r="1117" spans="1:16" hidden="1" x14ac:dyDescent="0.25">
      <c r="A1117" t="s">
        <v>841</v>
      </c>
      <c r="B1117" t="s">
        <v>2383</v>
      </c>
      <c r="C1117" t="s">
        <v>658</v>
      </c>
      <c r="D1117" s="2">
        <v>45893</v>
      </c>
      <c r="E1117" t="s">
        <v>73</v>
      </c>
      <c r="F1117" t="str">
        <f>VLOOKUP($C1117,Product_Dim!$A$2:$D$101,3,FALSE)</f>
        <v>Carroll, Long and Mendoza</v>
      </c>
      <c r="G1117" t="str">
        <f>VLOOKUP($C1117,Product_Dim!$A$2:$D$101,2,FALSE)</f>
        <v>Sports</v>
      </c>
      <c r="H1117">
        <v>2</v>
      </c>
      <c r="I1117">
        <v>392.45</v>
      </c>
      <c r="J1117">
        <v>0.04</v>
      </c>
      <c r="K1117" s="3">
        <v>753.50399999999991</v>
      </c>
      <c r="L1117" t="s">
        <v>854</v>
      </c>
      <c r="M1117" t="str">
        <f>VLOOKUP($E1117,Customer_Dim!$A$2:$F$501,3,FALSE)</f>
        <v>Female</v>
      </c>
      <c r="N1117" t="str">
        <f>VLOOKUP($E1117,Customer_Dim!$A$2:$F$501,5,FALSE)</f>
        <v>USA</v>
      </c>
      <c r="O1117" t="str">
        <f>VLOOKUP($E1117,Customer_Dim!$A$2:$F$501,6,FALSE)</f>
        <v>Platinum</v>
      </c>
      <c r="P1117" t="str">
        <f>VLOOKUP($A1117,Store_Dim!$A$2:$F$21,3,FALSE)</f>
        <v>EastVasquezborough</v>
      </c>
    </row>
    <row r="1118" spans="1:16" x14ac:dyDescent="0.25">
      <c r="A1118" t="s">
        <v>841</v>
      </c>
      <c r="B1118" t="s">
        <v>2627</v>
      </c>
      <c r="C1118" t="s">
        <v>658</v>
      </c>
      <c r="D1118" s="2">
        <v>45507</v>
      </c>
      <c r="E1118" t="s">
        <v>118</v>
      </c>
      <c r="F1118" t="str">
        <f>VLOOKUP($C1118,Product_Dim!$A$2:$D$101,3,FALSE)</f>
        <v>Carroll, Long and Mendoza</v>
      </c>
      <c r="G1118" t="str">
        <f>VLOOKUP($C1118,Product_Dim!$A$2:$D$101,2,FALSE)</f>
        <v>Sports</v>
      </c>
      <c r="H1118">
        <v>2</v>
      </c>
      <c r="I1118">
        <v>56.52</v>
      </c>
      <c r="J1118">
        <v>0.17</v>
      </c>
      <c r="K1118" s="3">
        <v>93.8232</v>
      </c>
      <c r="L1118" t="s">
        <v>854</v>
      </c>
      <c r="M1118" t="str">
        <f>VLOOKUP($E1118,Customer_Dim!$A$2:$F$501,3,FALSE)</f>
        <v>Male</v>
      </c>
      <c r="N1118" t="str">
        <f>VLOOKUP($E1118,Customer_Dim!$A$2:$F$501,5,FALSE)</f>
        <v>USA</v>
      </c>
      <c r="O1118" t="str">
        <f>VLOOKUP($E1118,Customer_Dim!$A$2:$F$501,6,FALSE)</f>
        <v>Silver</v>
      </c>
      <c r="P1118" t="str">
        <f>VLOOKUP($A1118,Store_Dim!$A$2:$F$21,3,FALSE)</f>
        <v>EastVasquezborough</v>
      </c>
    </row>
    <row r="1119" spans="1:16" hidden="1" x14ac:dyDescent="0.25">
      <c r="A1119" t="s">
        <v>841</v>
      </c>
      <c r="B1119" t="s">
        <v>2228</v>
      </c>
      <c r="C1119" t="s">
        <v>660</v>
      </c>
      <c r="D1119" s="2">
        <v>45785</v>
      </c>
      <c r="E1119" t="s">
        <v>277</v>
      </c>
      <c r="F1119" t="str">
        <f>VLOOKUP($C1119,Product_Dim!$A$2:$D$101,3,FALSE)</f>
        <v>Holmes LLC</v>
      </c>
      <c r="G1119" t="str">
        <f>VLOOKUP($C1119,Product_Dim!$A$2:$D$101,2,FALSE)</f>
        <v>Electronics</v>
      </c>
      <c r="H1119">
        <v>4</v>
      </c>
      <c r="I1119">
        <v>150.47999999999999</v>
      </c>
      <c r="J1119">
        <v>0.09</v>
      </c>
      <c r="K1119" s="3">
        <v>547.74720000000002</v>
      </c>
      <c r="L1119" t="s">
        <v>852</v>
      </c>
      <c r="M1119" t="str">
        <f>VLOOKUP($E1119,Customer_Dim!$A$2:$F$501,3,FALSE)</f>
        <v>Female</v>
      </c>
      <c r="N1119" t="str">
        <f>VLOOKUP($E1119,Customer_Dim!$A$2:$F$501,5,FALSE)</f>
        <v>USA</v>
      </c>
      <c r="O1119" t="str">
        <f>VLOOKUP($E1119,Customer_Dim!$A$2:$F$501,6,FALSE)</f>
        <v>Platinum</v>
      </c>
      <c r="P1119" t="str">
        <f>VLOOKUP($A1119,Store_Dim!$A$2:$F$21,3,FALSE)</f>
        <v>EastVasquezborough</v>
      </c>
    </row>
    <row r="1120" spans="1:16" x14ac:dyDescent="0.25">
      <c r="A1120" t="s">
        <v>841</v>
      </c>
      <c r="B1120" t="s">
        <v>2401</v>
      </c>
      <c r="C1120" t="s">
        <v>662</v>
      </c>
      <c r="D1120" s="2">
        <v>45434</v>
      </c>
      <c r="E1120" t="s">
        <v>282</v>
      </c>
      <c r="F1120" t="str">
        <f>VLOOKUP($C1120,Product_Dim!$A$2:$D$101,3,FALSE)</f>
        <v>Robinson Inc</v>
      </c>
      <c r="G1120" t="str">
        <f>VLOOKUP($C1120,Product_Dim!$A$2:$D$101,2,FALSE)</f>
        <v>Electronics</v>
      </c>
      <c r="H1120">
        <v>1</v>
      </c>
      <c r="I1120">
        <v>661.77</v>
      </c>
      <c r="J1120">
        <v>0.03</v>
      </c>
      <c r="K1120" s="3">
        <v>641.91689999999994</v>
      </c>
      <c r="L1120" t="s">
        <v>854</v>
      </c>
      <c r="M1120" t="str">
        <f>VLOOKUP($E1120,Customer_Dim!$A$2:$F$501,3,FALSE)</f>
        <v>Male</v>
      </c>
      <c r="N1120" t="str">
        <f>VLOOKUP($E1120,Customer_Dim!$A$2:$F$501,5,FALSE)</f>
        <v>USA</v>
      </c>
      <c r="O1120" t="str">
        <f>VLOOKUP($E1120,Customer_Dim!$A$2:$F$501,6,FALSE)</f>
        <v>Silver</v>
      </c>
      <c r="P1120" t="str">
        <f>VLOOKUP($A1120,Store_Dim!$A$2:$F$21,3,FALSE)</f>
        <v>EastVasquezborough</v>
      </c>
    </row>
    <row r="1121" spans="1:16" hidden="1" x14ac:dyDescent="0.25">
      <c r="A1121" t="s">
        <v>841</v>
      </c>
      <c r="B1121" t="s">
        <v>1436</v>
      </c>
      <c r="C1121" t="s">
        <v>664</v>
      </c>
      <c r="D1121" s="2">
        <v>45539</v>
      </c>
      <c r="E1121" t="s">
        <v>35</v>
      </c>
      <c r="F1121" t="str">
        <f>VLOOKUP($C1121,Product_Dim!$A$2:$D$101,3,FALSE)</f>
        <v>Cox Inc</v>
      </c>
      <c r="G1121" t="str">
        <f>VLOOKUP($C1121,Product_Dim!$A$2:$D$101,2,FALSE)</f>
        <v>Sports</v>
      </c>
      <c r="H1121">
        <v>2</v>
      </c>
      <c r="I1121">
        <v>156.72999999999999</v>
      </c>
      <c r="J1121">
        <v>0.18</v>
      </c>
      <c r="K1121" s="3">
        <v>257.03719999999998</v>
      </c>
      <c r="L1121" t="s">
        <v>857</v>
      </c>
      <c r="M1121" t="str">
        <f>VLOOKUP($E1121,Customer_Dim!$A$2:$F$501,3,FALSE)</f>
        <v>Female</v>
      </c>
      <c r="N1121" t="str">
        <f>VLOOKUP($E1121,Customer_Dim!$A$2:$F$501,5,FALSE)</f>
        <v>USA</v>
      </c>
      <c r="O1121" t="str">
        <f>VLOOKUP($E1121,Customer_Dim!$A$2:$F$501,6,FALSE)</f>
        <v>Gold</v>
      </c>
      <c r="P1121" t="str">
        <f>VLOOKUP($A1121,Store_Dim!$A$2:$F$21,3,FALSE)</f>
        <v>EastVasquezborough</v>
      </c>
    </row>
    <row r="1122" spans="1:16" hidden="1" x14ac:dyDescent="0.25">
      <c r="A1122" t="s">
        <v>841</v>
      </c>
      <c r="B1122" t="s">
        <v>1898</v>
      </c>
      <c r="C1122" t="s">
        <v>670</v>
      </c>
      <c r="D1122" s="2">
        <v>45257</v>
      </c>
      <c r="E1122" t="s">
        <v>100</v>
      </c>
      <c r="F1122" t="str">
        <f>VLOOKUP($C1122,Product_Dim!$A$2:$D$101,3,FALSE)</f>
        <v>Cook Inc</v>
      </c>
      <c r="G1122" t="str">
        <f>VLOOKUP($C1122,Product_Dim!$A$2:$D$101,2,FALSE)</f>
        <v>Beauty</v>
      </c>
      <c r="H1122">
        <v>4</v>
      </c>
      <c r="I1122">
        <v>189.07</v>
      </c>
      <c r="J1122">
        <v>0.1</v>
      </c>
      <c r="K1122" s="3">
        <v>680.65200000000004</v>
      </c>
      <c r="L1122" t="s">
        <v>857</v>
      </c>
      <c r="M1122" t="str">
        <f>VLOOKUP($E1122,Customer_Dim!$A$2:$F$501,3,FALSE)</f>
        <v>Female</v>
      </c>
      <c r="N1122" t="str">
        <f>VLOOKUP($E1122,Customer_Dim!$A$2:$F$501,5,FALSE)</f>
        <v>USA</v>
      </c>
      <c r="O1122" t="str">
        <f>VLOOKUP($E1122,Customer_Dim!$A$2:$F$501,6,FALSE)</f>
        <v>Gold</v>
      </c>
      <c r="P1122" t="str">
        <f>VLOOKUP($A1122,Store_Dim!$A$2:$F$21,3,FALSE)</f>
        <v>EastVasquezborough</v>
      </c>
    </row>
    <row r="1123" spans="1:16" x14ac:dyDescent="0.25">
      <c r="A1123" t="s">
        <v>841</v>
      </c>
      <c r="B1123" t="s">
        <v>1140</v>
      </c>
      <c r="C1123" t="s">
        <v>672</v>
      </c>
      <c r="D1123" s="2">
        <v>45308</v>
      </c>
      <c r="E1123" t="s">
        <v>533</v>
      </c>
      <c r="F1123" t="str">
        <f>VLOOKUP($C1123,Product_Dim!$A$2:$D$101,3,FALSE)</f>
        <v>Byrd, Stewart and Valdez</v>
      </c>
      <c r="G1123" t="str">
        <f>VLOOKUP($C1123,Product_Dim!$A$2:$D$101,2,FALSE)</f>
        <v>Electronics</v>
      </c>
      <c r="H1123">
        <v>3</v>
      </c>
      <c r="I1123">
        <v>807.95</v>
      </c>
      <c r="J1123">
        <v>0.1</v>
      </c>
      <c r="K1123" s="3">
        <v>2181.4650000000011</v>
      </c>
      <c r="L1123" t="s">
        <v>854</v>
      </c>
      <c r="M1123" t="str">
        <f>VLOOKUP($E1123,Customer_Dim!$A$2:$F$501,3,FALSE)</f>
        <v>Male</v>
      </c>
      <c r="N1123" t="str">
        <f>VLOOKUP($E1123,Customer_Dim!$A$2:$F$501,5,FALSE)</f>
        <v>USA</v>
      </c>
      <c r="O1123" t="str">
        <f>VLOOKUP($E1123,Customer_Dim!$A$2:$F$501,6,FALSE)</f>
        <v>Silver</v>
      </c>
      <c r="P1123" t="str">
        <f>VLOOKUP($A1123,Store_Dim!$A$2:$F$21,3,FALSE)</f>
        <v>EastVasquezborough</v>
      </c>
    </row>
    <row r="1124" spans="1:16" hidden="1" x14ac:dyDescent="0.25">
      <c r="A1124" t="s">
        <v>841</v>
      </c>
      <c r="B1124" t="s">
        <v>884</v>
      </c>
      <c r="C1124" t="s">
        <v>583</v>
      </c>
      <c r="D1124" s="2">
        <v>45217</v>
      </c>
      <c r="E1124" t="s">
        <v>65</v>
      </c>
      <c r="F1124" t="str">
        <f>VLOOKUP($C1124,Product_Dim!$A$2:$D$101,3,FALSE)</f>
        <v>Baldwin, Garza and Gonzalez</v>
      </c>
      <c r="G1124" t="str">
        <f>VLOOKUP($C1124,Product_Dim!$A$2:$D$101,2,FALSE)</f>
        <v>Clothing</v>
      </c>
      <c r="H1124">
        <v>1</v>
      </c>
      <c r="I1124">
        <v>429.38</v>
      </c>
      <c r="J1124">
        <v>0.13</v>
      </c>
      <c r="K1124" s="3">
        <v>373.56060000000002</v>
      </c>
      <c r="L1124" t="s">
        <v>854</v>
      </c>
      <c r="M1124" t="str">
        <f>VLOOKUP($E1124,Customer_Dim!$A$2:$F$501,3,FALSE)</f>
        <v>Female</v>
      </c>
      <c r="N1124" t="str">
        <f>VLOOKUP($E1124,Customer_Dim!$A$2:$F$501,5,FALSE)</f>
        <v>USA</v>
      </c>
      <c r="O1124" t="str">
        <f>VLOOKUP($E1124,Customer_Dim!$A$2:$F$501,6,FALSE)</f>
        <v>Platinum</v>
      </c>
      <c r="P1124" t="str">
        <f>VLOOKUP($A1124,Store_Dim!$A$2:$F$21,3,FALSE)</f>
        <v>EastVasquezborough</v>
      </c>
    </row>
    <row r="1125" spans="1:16" hidden="1" x14ac:dyDescent="0.25">
      <c r="A1125" t="s">
        <v>841</v>
      </c>
      <c r="B1125" t="s">
        <v>1429</v>
      </c>
      <c r="C1125" t="s">
        <v>676</v>
      </c>
      <c r="D1125" s="2">
        <v>45353</v>
      </c>
      <c r="E1125" t="s">
        <v>303</v>
      </c>
      <c r="F1125" t="str">
        <f>VLOOKUP($C1125,Product_Dim!$A$2:$D$101,3,FALSE)</f>
        <v>Smith-King</v>
      </c>
      <c r="G1125" t="str">
        <f>VLOOKUP($C1125,Product_Dim!$A$2:$D$101,2,FALSE)</f>
        <v>Sports</v>
      </c>
      <c r="H1125">
        <v>4</v>
      </c>
      <c r="I1125">
        <v>280.16000000000003</v>
      </c>
      <c r="J1125">
        <v>0.18</v>
      </c>
      <c r="K1125" s="3">
        <v>918.92480000000012</v>
      </c>
      <c r="L1125" t="s">
        <v>857</v>
      </c>
      <c r="M1125" t="str">
        <f>VLOOKUP($E1125,Customer_Dim!$A$2:$F$501,3,FALSE)</f>
        <v>Female</v>
      </c>
      <c r="N1125" t="str">
        <f>VLOOKUP($E1125,Customer_Dim!$A$2:$F$501,5,FALSE)</f>
        <v>USA</v>
      </c>
      <c r="O1125" t="str">
        <f>VLOOKUP($E1125,Customer_Dim!$A$2:$F$501,6,FALSE)</f>
        <v>Gold</v>
      </c>
      <c r="P1125" t="str">
        <f>VLOOKUP($A1125,Store_Dim!$A$2:$F$21,3,FALSE)</f>
        <v>EastVasquezborough</v>
      </c>
    </row>
    <row r="1126" spans="1:16" x14ac:dyDescent="0.25">
      <c r="A1126" t="s">
        <v>841</v>
      </c>
      <c r="B1126" t="s">
        <v>2075</v>
      </c>
      <c r="C1126" t="s">
        <v>680</v>
      </c>
      <c r="D1126" s="2">
        <v>45216</v>
      </c>
      <c r="E1126" t="s">
        <v>34</v>
      </c>
      <c r="F1126" t="str">
        <f>VLOOKUP($C1126,Product_Dim!$A$2:$D$101,3,FALSE)</f>
        <v>Harris Inc</v>
      </c>
      <c r="G1126" t="str">
        <f>VLOOKUP($C1126,Product_Dim!$A$2:$D$101,2,FALSE)</f>
        <v>Sports</v>
      </c>
      <c r="H1126">
        <v>2</v>
      </c>
      <c r="I1126">
        <v>441.03</v>
      </c>
      <c r="J1126">
        <v>0.23</v>
      </c>
      <c r="K1126" s="3">
        <v>679.18619999999999</v>
      </c>
      <c r="L1126" t="s">
        <v>857</v>
      </c>
      <c r="M1126" t="str">
        <f>VLOOKUP($E1126,Customer_Dim!$A$2:$F$501,3,FALSE)</f>
        <v>Male</v>
      </c>
      <c r="N1126" t="str">
        <f>VLOOKUP($E1126,Customer_Dim!$A$2:$F$501,5,FALSE)</f>
        <v>USA</v>
      </c>
      <c r="O1126" t="str">
        <f>VLOOKUP($E1126,Customer_Dim!$A$2:$F$501,6,FALSE)</f>
        <v>Bronze</v>
      </c>
      <c r="P1126" t="str">
        <f>VLOOKUP($A1126,Store_Dim!$A$2:$F$21,3,FALSE)</f>
        <v>EastVasquezborough</v>
      </c>
    </row>
    <row r="1127" spans="1:16" hidden="1" x14ac:dyDescent="0.25">
      <c r="A1127" t="s">
        <v>841</v>
      </c>
      <c r="B1127" t="s">
        <v>2274</v>
      </c>
      <c r="C1127" t="s">
        <v>682</v>
      </c>
      <c r="D1127" s="2">
        <v>45875</v>
      </c>
      <c r="E1127" t="s">
        <v>216</v>
      </c>
      <c r="F1127" t="str">
        <f>VLOOKUP($C1127,Product_Dim!$A$2:$D$101,3,FALSE)</f>
        <v>Hamilton, Woods and Walker</v>
      </c>
      <c r="G1127" t="str">
        <f>VLOOKUP($C1127,Product_Dim!$A$2:$D$101,2,FALSE)</f>
        <v>Clothing</v>
      </c>
      <c r="H1127">
        <v>2</v>
      </c>
      <c r="I1127">
        <v>664.5</v>
      </c>
      <c r="J1127">
        <v>0.23</v>
      </c>
      <c r="K1127" s="3">
        <v>1023.33</v>
      </c>
      <c r="L1127" t="s">
        <v>852</v>
      </c>
      <c r="M1127" t="str">
        <f>VLOOKUP($E1127,Customer_Dim!$A$2:$F$501,3,FALSE)</f>
        <v>Female</v>
      </c>
      <c r="N1127" t="str">
        <f>VLOOKUP($E1127,Customer_Dim!$A$2:$F$501,5,FALSE)</f>
        <v>USA</v>
      </c>
      <c r="O1127" t="str">
        <f>VLOOKUP($E1127,Customer_Dim!$A$2:$F$501,6,FALSE)</f>
        <v>Platinum</v>
      </c>
      <c r="P1127" t="str">
        <f>VLOOKUP($A1127,Store_Dim!$A$2:$F$21,3,FALSE)</f>
        <v>EastVasquezborough</v>
      </c>
    </row>
    <row r="1128" spans="1:16" hidden="1" x14ac:dyDescent="0.25">
      <c r="A1128" t="s">
        <v>841</v>
      </c>
      <c r="B1128" t="s">
        <v>1173</v>
      </c>
      <c r="C1128" t="s">
        <v>686</v>
      </c>
      <c r="D1128" s="2">
        <v>45879</v>
      </c>
      <c r="E1128" t="s">
        <v>425</v>
      </c>
      <c r="F1128" t="str">
        <f>VLOOKUP($C1128,Product_Dim!$A$2:$D$101,3,FALSE)</f>
        <v>Hatfield, Baird and Torres</v>
      </c>
      <c r="G1128" t="str">
        <f>VLOOKUP($C1128,Product_Dim!$A$2:$D$101,2,FALSE)</f>
        <v>Home</v>
      </c>
      <c r="H1128">
        <v>1</v>
      </c>
      <c r="I1128">
        <v>222.95</v>
      </c>
      <c r="J1128">
        <v>0.02</v>
      </c>
      <c r="K1128" s="3">
        <v>218.49100000000001</v>
      </c>
      <c r="L1128" t="s">
        <v>854</v>
      </c>
      <c r="M1128" t="str">
        <f>VLOOKUP($E1128,Customer_Dim!$A$2:$F$501,3,FALSE)</f>
        <v>Female</v>
      </c>
      <c r="N1128" t="str">
        <f>VLOOKUP($E1128,Customer_Dim!$A$2:$F$501,5,FALSE)</f>
        <v>USA</v>
      </c>
      <c r="O1128" t="str">
        <f>VLOOKUP($E1128,Customer_Dim!$A$2:$F$501,6,FALSE)</f>
        <v>Gold</v>
      </c>
      <c r="P1128" t="str">
        <f>VLOOKUP($A1128,Store_Dim!$A$2:$F$21,3,FALSE)</f>
        <v>EastVasquezborough</v>
      </c>
    </row>
    <row r="1129" spans="1:16" x14ac:dyDescent="0.25">
      <c r="A1129" t="s">
        <v>841</v>
      </c>
      <c r="B1129" t="s">
        <v>1756</v>
      </c>
      <c r="C1129" t="s">
        <v>688</v>
      </c>
      <c r="D1129" s="2">
        <v>45812</v>
      </c>
      <c r="E1129" t="s">
        <v>7</v>
      </c>
      <c r="F1129" t="str">
        <f>VLOOKUP($C1129,Product_Dim!$A$2:$D$101,3,FALSE)</f>
        <v>Hernandez, Kennedy and Porter</v>
      </c>
      <c r="G1129" t="str">
        <f>VLOOKUP($C1129,Product_Dim!$A$2:$D$101,2,FALSE)</f>
        <v>Home</v>
      </c>
      <c r="H1129">
        <v>2</v>
      </c>
      <c r="I1129">
        <v>404.08</v>
      </c>
      <c r="J1129">
        <v>7.0000000000000007E-2</v>
      </c>
      <c r="K1129" s="3">
        <v>751.58879999999988</v>
      </c>
      <c r="L1129" t="s">
        <v>852</v>
      </c>
      <c r="M1129" t="str">
        <f>VLOOKUP($E1129,Customer_Dim!$A$2:$F$501,3,FALSE)</f>
        <v>Male</v>
      </c>
      <c r="N1129" t="str">
        <f>VLOOKUP($E1129,Customer_Dim!$A$2:$F$501,5,FALSE)</f>
        <v>USA</v>
      </c>
      <c r="O1129" t="str">
        <f>VLOOKUP($E1129,Customer_Dim!$A$2:$F$501,6,FALSE)</f>
        <v>UNKNOWN</v>
      </c>
      <c r="P1129" t="str">
        <f>VLOOKUP($A1129,Store_Dim!$A$2:$F$21,3,FALSE)</f>
        <v>EastVasquezborough</v>
      </c>
    </row>
    <row r="1130" spans="1:16" hidden="1" x14ac:dyDescent="0.25">
      <c r="A1130" t="s">
        <v>841</v>
      </c>
      <c r="B1130" t="s">
        <v>1066</v>
      </c>
      <c r="C1130" t="s">
        <v>688</v>
      </c>
      <c r="D1130" s="2">
        <v>45942</v>
      </c>
      <c r="E1130" t="s">
        <v>509</v>
      </c>
      <c r="F1130" t="str">
        <f>VLOOKUP($C1130,Product_Dim!$A$2:$D$101,3,FALSE)</f>
        <v>Hernandez, Kennedy and Porter</v>
      </c>
      <c r="G1130" t="str">
        <f>VLOOKUP($C1130,Product_Dim!$A$2:$D$101,2,FALSE)</f>
        <v>Home</v>
      </c>
      <c r="H1130">
        <v>4</v>
      </c>
      <c r="I1130">
        <v>119.83</v>
      </c>
      <c r="J1130">
        <v>0.13</v>
      </c>
      <c r="K1130" s="3">
        <v>417.00839999999999</v>
      </c>
      <c r="L1130" t="s">
        <v>852</v>
      </c>
      <c r="M1130" t="str">
        <f>VLOOKUP($E1130,Customer_Dim!$A$2:$F$501,3,FALSE)</f>
        <v>Female</v>
      </c>
      <c r="N1130" t="str">
        <f>VLOOKUP($E1130,Customer_Dim!$A$2:$F$501,5,FALSE)</f>
        <v>USA</v>
      </c>
      <c r="O1130" t="str">
        <f>VLOOKUP($E1130,Customer_Dim!$A$2:$F$501,6,FALSE)</f>
        <v>Bronze</v>
      </c>
      <c r="P1130" t="str">
        <f>VLOOKUP($A1130,Store_Dim!$A$2:$F$21,3,FALSE)</f>
        <v>EastVasquezborough</v>
      </c>
    </row>
    <row r="1131" spans="1:16" hidden="1" x14ac:dyDescent="0.25">
      <c r="A1131" t="s">
        <v>841</v>
      </c>
      <c r="B1131" t="s">
        <v>2814</v>
      </c>
      <c r="C1131" t="s">
        <v>690</v>
      </c>
      <c r="D1131" s="2">
        <v>45454</v>
      </c>
      <c r="E1131" t="s">
        <v>201</v>
      </c>
      <c r="F1131" t="str">
        <f>VLOOKUP($C1131,Product_Dim!$A$2:$D$101,3,FALSE)</f>
        <v>Atkinson, Camacho and Oliver</v>
      </c>
      <c r="G1131" t="str">
        <f>VLOOKUP($C1131,Product_Dim!$A$2:$D$101,2,FALSE)</f>
        <v>Sports</v>
      </c>
      <c r="H1131">
        <v>3</v>
      </c>
      <c r="I1131">
        <v>223.64</v>
      </c>
      <c r="J1131">
        <v>0.05</v>
      </c>
      <c r="K1131" s="3">
        <v>637.37399999999991</v>
      </c>
      <c r="L1131" t="s">
        <v>852</v>
      </c>
      <c r="M1131" t="str">
        <f>VLOOKUP($E1131,Customer_Dim!$A$2:$F$501,3,FALSE)</f>
        <v>Female</v>
      </c>
      <c r="N1131" t="str">
        <f>VLOOKUP($E1131,Customer_Dim!$A$2:$F$501,5,FALSE)</f>
        <v>USA</v>
      </c>
      <c r="O1131" t="str">
        <f>VLOOKUP($E1131,Customer_Dim!$A$2:$F$501,6,FALSE)</f>
        <v>Platinum</v>
      </c>
      <c r="P1131" t="str">
        <f>VLOOKUP($A1131,Store_Dim!$A$2:$F$21,3,FALSE)</f>
        <v>EastVasquezborough</v>
      </c>
    </row>
    <row r="1132" spans="1:16" x14ac:dyDescent="0.25">
      <c r="A1132" t="s">
        <v>841</v>
      </c>
      <c r="B1132" t="s">
        <v>2841</v>
      </c>
      <c r="C1132" t="s">
        <v>690</v>
      </c>
      <c r="D1132" s="2">
        <v>45886</v>
      </c>
      <c r="E1132" t="s">
        <v>516</v>
      </c>
      <c r="F1132" t="str">
        <f>VLOOKUP($C1132,Product_Dim!$A$2:$D$101,3,FALSE)</f>
        <v>Atkinson, Camacho and Oliver</v>
      </c>
      <c r="G1132" t="str">
        <f>VLOOKUP($C1132,Product_Dim!$A$2:$D$101,2,FALSE)</f>
        <v>Sports</v>
      </c>
      <c r="H1132">
        <v>1</v>
      </c>
      <c r="I1132">
        <v>120.02</v>
      </c>
      <c r="J1132">
        <v>0.26</v>
      </c>
      <c r="K1132" s="3">
        <v>88.814799999999991</v>
      </c>
      <c r="L1132" t="s">
        <v>852</v>
      </c>
      <c r="M1132" t="str">
        <f>VLOOKUP($E1132,Customer_Dim!$A$2:$F$501,3,FALSE)</f>
        <v>Male</v>
      </c>
      <c r="N1132" t="str">
        <f>VLOOKUP($E1132,Customer_Dim!$A$2:$F$501,5,FALSE)</f>
        <v>USA</v>
      </c>
      <c r="O1132" t="str">
        <f>VLOOKUP($E1132,Customer_Dim!$A$2:$F$501,6,FALSE)</f>
        <v>Bronze</v>
      </c>
      <c r="P1132" t="str">
        <f>VLOOKUP($A1132,Store_Dim!$A$2:$F$21,3,FALSE)</f>
        <v>EastVasquezborough</v>
      </c>
    </row>
    <row r="1133" spans="1:16" hidden="1" x14ac:dyDescent="0.25">
      <c r="A1133" t="s">
        <v>841</v>
      </c>
      <c r="B1133" t="s">
        <v>2817</v>
      </c>
      <c r="C1133" t="s">
        <v>694</v>
      </c>
      <c r="D1133" s="2">
        <v>45770</v>
      </c>
      <c r="E1133" t="s">
        <v>509</v>
      </c>
      <c r="F1133" t="str">
        <f>VLOOKUP($C1133,Product_Dim!$A$2:$D$101,3,FALSE)</f>
        <v>Cline-Mccarthy</v>
      </c>
      <c r="G1133" t="str">
        <f>VLOOKUP($C1133,Product_Dim!$A$2:$D$101,2,FALSE)</f>
        <v>Beauty</v>
      </c>
      <c r="H1133">
        <v>4</v>
      </c>
      <c r="I1133">
        <v>835.61</v>
      </c>
      <c r="J1133">
        <v>0.03</v>
      </c>
      <c r="K1133" s="3">
        <v>3242.1668</v>
      </c>
      <c r="L1133" t="s">
        <v>852</v>
      </c>
      <c r="M1133" t="str">
        <f>VLOOKUP($E1133,Customer_Dim!$A$2:$F$501,3,FALSE)</f>
        <v>Female</v>
      </c>
      <c r="N1133" t="str">
        <f>VLOOKUP($E1133,Customer_Dim!$A$2:$F$501,5,FALSE)</f>
        <v>USA</v>
      </c>
      <c r="O1133" t="str">
        <f>VLOOKUP($E1133,Customer_Dim!$A$2:$F$501,6,FALSE)</f>
        <v>Bronze</v>
      </c>
      <c r="P1133" t="str">
        <f>VLOOKUP($A1133,Store_Dim!$A$2:$F$21,3,FALSE)</f>
        <v>EastVasquezborough</v>
      </c>
    </row>
    <row r="1134" spans="1:16" hidden="1" x14ac:dyDescent="0.25">
      <c r="A1134" t="s">
        <v>841</v>
      </c>
      <c r="B1134" t="s">
        <v>1805</v>
      </c>
      <c r="C1134" t="s">
        <v>702</v>
      </c>
      <c r="D1134" s="2">
        <v>45699</v>
      </c>
      <c r="E1134" t="s">
        <v>218</v>
      </c>
      <c r="F1134" t="str">
        <f>VLOOKUP($C1134,Product_Dim!$A$2:$D$101,3,FALSE)</f>
        <v>Anderson-Riley</v>
      </c>
      <c r="G1134" t="str">
        <f>VLOOKUP($C1134,Product_Dim!$A$2:$D$101,2,FALSE)</f>
        <v>Beauty</v>
      </c>
      <c r="H1134">
        <v>4</v>
      </c>
      <c r="I1134">
        <v>286.27999999999997</v>
      </c>
      <c r="J1134">
        <v>0.28000000000000003</v>
      </c>
      <c r="K1134" s="3">
        <v>824.48639999999989</v>
      </c>
      <c r="L1134" t="s">
        <v>854</v>
      </c>
      <c r="M1134" t="str">
        <f>VLOOKUP($E1134,Customer_Dim!$A$2:$F$501,3,FALSE)</f>
        <v>Female</v>
      </c>
      <c r="N1134" t="str">
        <f>VLOOKUP($E1134,Customer_Dim!$A$2:$F$501,5,FALSE)</f>
        <v>USA</v>
      </c>
      <c r="O1134" t="str">
        <f>VLOOKUP($E1134,Customer_Dim!$A$2:$F$501,6,FALSE)</f>
        <v>Gold</v>
      </c>
      <c r="P1134" t="str">
        <f>VLOOKUP($A1134,Store_Dim!$A$2:$F$21,3,FALSE)</f>
        <v>EastVasquezborough</v>
      </c>
    </row>
    <row r="1135" spans="1:16" hidden="1" x14ac:dyDescent="0.25">
      <c r="A1135" t="s">
        <v>841</v>
      </c>
      <c r="B1135" t="s">
        <v>2812</v>
      </c>
      <c r="C1135" t="s">
        <v>704</v>
      </c>
      <c r="D1135" s="2">
        <v>45216</v>
      </c>
      <c r="E1135" t="s">
        <v>125</v>
      </c>
      <c r="F1135" t="str">
        <f>VLOOKUP($C1135,Product_Dim!$A$2:$D$101,3,FALSE)</f>
        <v>Zhang Inc</v>
      </c>
      <c r="G1135" t="str">
        <f>VLOOKUP($C1135,Product_Dim!$A$2:$D$101,2,FALSE)</f>
        <v>Beauty</v>
      </c>
      <c r="H1135">
        <v>3</v>
      </c>
      <c r="I1135">
        <v>449.99</v>
      </c>
      <c r="J1135">
        <v>0.17</v>
      </c>
      <c r="K1135" s="3">
        <v>1120.4751000000001</v>
      </c>
      <c r="L1135" t="s">
        <v>857</v>
      </c>
      <c r="M1135" t="str">
        <f>VLOOKUP($E1135,Customer_Dim!$A$2:$F$501,3,FALSE)</f>
        <v>Female</v>
      </c>
      <c r="N1135" t="str">
        <f>VLOOKUP($E1135,Customer_Dim!$A$2:$F$501,5,FALSE)</f>
        <v>USA</v>
      </c>
      <c r="O1135" t="str">
        <f>VLOOKUP($E1135,Customer_Dim!$A$2:$F$501,6,FALSE)</f>
        <v>Gold</v>
      </c>
      <c r="P1135" t="str">
        <f>VLOOKUP($A1135,Store_Dim!$A$2:$F$21,3,FALSE)</f>
        <v>EastVasquezborough</v>
      </c>
    </row>
    <row r="1136" spans="1:16" x14ac:dyDescent="0.25">
      <c r="A1136" t="s">
        <v>841</v>
      </c>
      <c r="B1136" t="s">
        <v>870</v>
      </c>
      <c r="C1136" t="s">
        <v>706</v>
      </c>
      <c r="D1136" s="2">
        <v>45913</v>
      </c>
      <c r="E1136" t="s">
        <v>343</v>
      </c>
      <c r="F1136" t="str">
        <f>VLOOKUP($C1136,Product_Dim!$A$2:$D$101,3,FALSE)</f>
        <v>Montgomery, Benton and Miller</v>
      </c>
      <c r="G1136" t="str">
        <f>VLOOKUP($C1136,Product_Dim!$A$2:$D$101,2,FALSE)</f>
        <v>Sports</v>
      </c>
      <c r="H1136">
        <v>2</v>
      </c>
      <c r="I1136">
        <v>451.98</v>
      </c>
      <c r="J1136">
        <v>0.25</v>
      </c>
      <c r="K1136" s="3">
        <v>677.97</v>
      </c>
      <c r="L1136" t="s">
        <v>852</v>
      </c>
      <c r="M1136" t="str">
        <f>VLOOKUP($E1136,Customer_Dim!$A$2:$F$501,3,FALSE)</f>
        <v>Male</v>
      </c>
      <c r="N1136" t="str">
        <f>VLOOKUP($E1136,Customer_Dim!$A$2:$F$501,5,FALSE)</f>
        <v>USA</v>
      </c>
      <c r="O1136" t="str">
        <f>VLOOKUP($E1136,Customer_Dim!$A$2:$F$501,6,FALSE)</f>
        <v>Gold</v>
      </c>
      <c r="P1136" t="str">
        <f>VLOOKUP($A1136,Store_Dim!$A$2:$F$21,3,FALSE)</f>
        <v>EastVasquezborough</v>
      </c>
    </row>
    <row r="1137" spans="1:16" hidden="1" x14ac:dyDescent="0.25">
      <c r="A1137" t="s">
        <v>841</v>
      </c>
      <c r="B1137" t="s">
        <v>1969</v>
      </c>
      <c r="C1137" t="s">
        <v>706</v>
      </c>
      <c r="D1137" s="2">
        <v>45420</v>
      </c>
      <c r="E1137" t="s">
        <v>468</v>
      </c>
      <c r="F1137" t="str">
        <f>VLOOKUP($C1137,Product_Dim!$A$2:$D$101,3,FALSE)</f>
        <v>Montgomery, Benton and Miller</v>
      </c>
      <c r="G1137" t="str">
        <f>VLOOKUP($C1137,Product_Dim!$A$2:$D$101,2,FALSE)</f>
        <v>Sports</v>
      </c>
      <c r="H1137">
        <v>2</v>
      </c>
      <c r="I1137">
        <v>549.83000000000004</v>
      </c>
      <c r="J1137">
        <v>7.0000000000000007E-2</v>
      </c>
      <c r="K1137" s="3">
        <v>1022.6838</v>
      </c>
      <c r="L1137" t="s">
        <v>854</v>
      </c>
      <c r="M1137" t="str">
        <f>VLOOKUP($E1137,Customer_Dim!$A$2:$F$501,3,FALSE)</f>
        <v>Female</v>
      </c>
      <c r="N1137" t="str">
        <f>VLOOKUP($E1137,Customer_Dim!$A$2:$F$501,5,FALSE)</f>
        <v>USA</v>
      </c>
      <c r="O1137" t="str">
        <f>VLOOKUP($E1137,Customer_Dim!$A$2:$F$501,6,FALSE)</f>
        <v>Platinum</v>
      </c>
      <c r="P1137" t="str">
        <f>VLOOKUP($A1137,Store_Dim!$A$2:$F$21,3,FALSE)</f>
        <v>EastVasquezborough</v>
      </c>
    </row>
    <row r="1138" spans="1:16" hidden="1" x14ac:dyDescent="0.25">
      <c r="A1138" t="s">
        <v>841</v>
      </c>
      <c r="B1138" t="s">
        <v>2611</v>
      </c>
      <c r="C1138" t="s">
        <v>708</v>
      </c>
      <c r="D1138" s="2">
        <v>45355</v>
      </c>
      <c r="E1138" t="s">
        <v>37</v>
      </c>
      <c r="F1138" t="str">
        <f>VLOOKUP($C1138,Product_Dim!$A$2:$D$101,3,FALSE)</f>
        <v>Torres, Spencer and Potter</v>
      </c>
      <c r="G1138" t="str">
        <f>VLOOKUP($C1138,Product_Dim!$A$2:$D$101,2,FALSE)</f>
        <v>Beauty</v>
      </c>
      <c r="H1138">
        <v>3</v>
      </c>
      <c r="I1138">
        <v>626.71</v>
      </c>
      <c r="J1138">
        <v>7.0000000000000007E-2</v>
      </c>
      <c r="K1138" s="3">
        <v>1748.5209</v>
      </c>
      <c r="L1138" t="s">
        <v>857</v>
      </c>
      <c r="M1138" t="str">
        <f>VLOOKUP($E1138,Customer_Dim!$A$2:$F$501,3,FALSE)</f>
        <v>Female</v>
      </c>
      <c r="N1138" t="str">
        <f>VLOOKUP($E1138,Customer_Dim!$A$2:$F$501,5,FALSE)</f>
        <v>USA</v>
      </c>
      <c r="O1138" t="str">
        <f>VLOOKUP($E1138,Customer_Dim!$A$2:$F$501,6,FALSE)</f>
        <v>Platinum</v>
      </c>
      <c r="P1138" t="str">
        <f>VLOOKUP($A1138,Store_Dim!$A$2:$F$21,3,FALSE)</f>
        <v>EastVasquezborough</v>
      </c>
    </row>
    <row r="1139" spans="1:16" hidden="1" x14ac:dyDescent="0.25">
      <c r="A1139" t="s">
        <v>841</v>
      </c>
      <c r="B1139" t="s">
        <v>2679</v>
      </c>
      <c r="C1139" t="s">
        <v>710</v>
      </c>
      <c r="D1139" s="2">
        <v>45549</v>
      </c>
      <c r="E1139" t="s">
        <v>243</v>
      </c>
      <c r="F1139" t="str">
        <f>VLOOKUP($C1139,Product_Dim!$A$2:$D$101,3,FALSE)</f>
        <v>Flores-Davis</v>
      </c>
      <c r="G1139" t="str">
        <f>VLOOKUP($C1139,Product_Dim!$A$2:$D$101,2,FALSE)</f>
        <v>Electronics</v>
      </c>
      <c r="H1139">
        <v>2</v>
      </c>
      <c r="I1139">
        <v>661.53</v>
      </c>
      <c r="J1139">
        <v>0.2</v>
      </c>
      <c r="K1139" s="3">
        <v>1058.4480000000001</v>
      </c>
      <c r="L1139" t="s">
        <v>854</v>
      </c>
      <c r="M1139" t="str">
        <f>VLOOKUP($E1139,Customer_Dim!$A$2:$F$501,3,FALSE)</f>
        <v>Female</v>
      </c>
      <c r="N1139" t="str">
        <f>VLOOKUP($E1139,Customer_Dim!$A$2:$F$501,5,FALSE)</f>
        <v>USA</v>
      </c>
      <c r="O1139" t="str">
        <f>VLOOKUP($E1139,Customer_Dim!$A$2:$F$501,6,FALSE)</f>
        <v>Bronze</v>
      </c>
      <c r="P1139" t="str">
        <f>VLOOKUP($A1139,Store_Dim!$A$2:$F$21,3,FALSE)</f>
        <v>EastVasquezborough</v>
      </c>
    </row>
    <row r="1140" spans="1:16" hidden="1" x14ac:dyDescent="0.25">
      <c r="A1140" t="s">
        <v>841</v>
      </c>
      <c r="B1140" t="s">
        <v>1780</v>
      </c>
      <c r="C1140" t="s">
        <v>710</v>
      </c>
      <c r="D1140" s="2">
        <v>45369</v>
      </c>
      <c r="E1140" t="s">
        <v>280</v>
      </c>
      <c r="F1140" t="str">
        <f>VLOOKUP($C1140,Product_Dim!$A$2:$D$101,3,FALSE)</f>
        <v>Flores-Davis</v>
      </c>
      <c r="G1140" t="str">
        <f>VLOOKUP($C1140,Product_Dim!$A$2:$D$101,2,FALSE)</f>
        <v>Electronics</v>
      </c>
      <c r="H1140">
        <v>3</v>
      </c>
      <c r="I1140">
        <v>968.88</v>
      </c>
      <c r="J1140">
        <v>0.15</v>
      </c>
      <c r="K1140" s="3">
        <v>2470.6439999999998</v>
      </c>
      <c r="L1140" t="s">
        <v>852</v>
      </c>
      <c r="M1140" t="str">
        <f>VLOOKUP($E1140,Customer_Dim!$A$2:$F$501,3,FALSE)</f>
        <v>Female</v>
      </c>
      <c r="N1140" t="str">
        <f>VLOOKUP($E1140,Customer_Dim!$A$2:$F$501,5,FALSE)</f>
        <v>USA</v>
      </c>
      <c r="O1140" t="str">
        <f>VLOOKUP($E1140,Customer_Dim!$A$2:$F$501,6,FALSE)</f>
        <v>Gold</v>
      </c>
      <c r="P1140" t="str">
        <f>VLOOKUP($A1140,Store_Dim!$A$2:$F$21,3,FALSE)</f>
        <v>EastVasquezborough</v>
      </c>
    </row>
    <row r="1141" spans="1:16" hidden="1" x14ac:dyDescent="0.25">
      <c r="A1141" t="s">
        <v>841</v>
      </c>
      <c r="B1141" t="s">
        <v>1689</v>
      </c>
      <c r="C1141" t="s">
        <v>712</v>
      </c>
      <c r="D1141" s="2">
        <v>45376</v>
      </c>
      <c r="E1141" t="s">
        <v>350</v>
      </c>
      <c r="F1141" t="str">
        <f>VLOOKUP($C1141,Product_Dim!$A$2:$D$101,3,FALSE)</f>
        <v>Wolfe, Ross and Hester</v>
      </c>
      <c r="G1141" t="str">
        <f>VLOOKUP($C1141,Product_Dim!$A$2:$D$101,2,FALSE)</f>
        <v>Home</v>
      </c>
      <c r="H1141">
        <v>1</v>
      </c>
      <c r="I1141">
        <v>671.62</v>
      </c>
      <c r="J1141">
        <v>0.09</v>
      </c>
      <c r="K1141" s="3">
        <v>611.17420000000004</v>
      </c>
      <c r="L1141" t="s">
        <v>857</v>
      </c>
      <c r="M1141" t="str">
        <f>VLOOKUP($E1141,Customer_Dim!$A$2:$F$501,3,FALSE)</f>
        <v>Female</v>
      </c>
      <c r="N1141" t="str">
        <f>VLOOKUP($E1141,Customer_Dim!$A$2:$F$501,5,FALSE)</f>
        <v>USA</v>
      </c>
      <c r="O1141" t="str">
        <f>VLOOKUP($E1141,Customer_Dim!$A$2:$F$501,6,FALSE)</f>
        <v>Silver</v>
      </c>
      <c r="P1141" t="str">
        <f>VLOOKUP($A1141,Store_Dim!$A$2:$F$21,3,FALSE)</f>
        <v>EastVasquezborough</v>
      </c>
    </row>
    <row r="1142" spans="1:16" x14ac:dyDescent="0.25">
      <c r="A1142" t="s">
        <v>841</v>
      </c>
      <c r="B1142" t="s">
        <v>2534</v>
      </c>
      <c r="C1142" t="s">
        <v>714</v>
      </c>
      <c r="D1142" s="2">
        <v>45790</v>
      </c>
      <c r="E1142" t="s">
        <v>48</v>
      </c>
      <c r="F1142" t="str">
        <f>VLOOKUP($C1142,Product_Dim!$A$2:$D$101,3,FALSE)</f>
        <v>Fitzpatrick Ltd</v>
      </c>
      <c r="G1142" t="str">
        <f>VLOOKUP($C1142,Product_Dim!$A$2:$D$101,2,FALSE)</f>
        <v>Clothing</v>
      </c>
      <c r="H1142">
        <v>3</v>
      </c>
      <c r="I1142">
        <v>74.66</v>
      </c>
      <c r="J1142">
        <v>0.03</v>
      </c>
      <c r="K1142" s="3">
        <v>217.26060000000001</v>
      </c>
      <c r="L1142" t="s">
        <v>854</v>
      </c>
      <c r="M1142" t="str">
        <f>VLOOKUP($E1142,Customer_Dim!$A$2:$F$501,3,FALSE)</f>
        <v>Male</v>
      </c>
      <c r="N1142" t="str">
        <f>VLOOKUP($E1142,Customer_Dim!$A$2:$F$501,5,FALSE)</f>
        <v>USA</v>
      </c>
      <c r="O1142" t="str">
        <f>VLOOKUP($E1142,Customer_Dim!$A$2:$F$501,6,FALSE)</f>
        <v>UNKNOWN</v>
      </c>
      <c r="P1142" t="str">
        <f>VLOOKUP($A1142,Store_Dim!$A$2:$F$21,3,FALSE)</f>
        <v>EastVasquezborough</v>
      </c>
    </row>
    <row r="1143" spans="1:16" hidden="1" x14ac:dyDescent="0.25">
      <c r="A1143" t="s">
        <v>841</v>
      </c>
      <c r="B1143" t="s">
        <v>1006</v>
      </c>
      <c r="C1143" t="s">
        <v>714</v>
      </c>
      <c r="D1143" s="2">
        <v>45798</v>
      </c>
      <c r="E1143" t="s">
        <v>309</v>
      </c>
      <c r="F1143" t="str">
        <f>VLOOKUP($C1143,Product_Dim!$A$2:$D$101,3,FALSE)</f>
        <v>Fitzpatrick Ltd</v>
      </c>
      <c r="G1143" t="str">
        <f>VLOOKUP($C1143,Product_Dim!$A$2:$D$101,2,FALSE)</f>
        <v>Clothing</v>
      </c>
      <c r="H1143">
        <v>2</v>
      </c>
      <c r="I1143">
        <v>108.74</v>
      </c>
      <c r="J1143">
        <v>0.11</v>
      </c>
      <c r="K1143" s="3">
        <v>193.55719999999999</v>
      </c>
      <c r="L1143" t="s">
        <v>854</v>
      </c>
      <c r="M1143" t="str">
        <f>VLOOKUP($E1143,Customer_Dim!$A$2:$F$501,3,FALSE)</f>
        <v>Female</v>
      </c>
      <c r="N1143" t="str">
        <f>VLOOKUP($E1143,Customer_Dim!$A$2:$F$501,5,FALSE)</f>
        <v>USA</v>
      </c>
      <c r="O1143" t="str">
        <f>VLOOKUP($E1143,Customer_Dim!$A$2:$F$501,6,FALSE)</f>
        <v>Gold</v>
      </c>
      <c r="P1143" t="str">
        <f>VLOOKUP($A1143,Store_Dim!$A$2:$F$21,3,FALSE)</f>
        <v>EastVasquezborough</v>
      </c>
    </row>
    <row r="1144" spans="1:16" hidden="1" x14ac:dyDescent="0.25">
      <c r="A1144" t="s">
        <v>841</v>
      </c>
      <c r="B1144" t="s">
        <v>1668</v>
      </c>
      <c r="C1144" t="s">
        <v>714</v>
      </c>
      <c r="D1144" s="2">
        <v>45876</v>
      </c>
      <c r="E1144" t="s">
        <v>354</v>
      </c>
      <c r="F1144" t="str">
        <f>VLOOKUP($C1144,Product_Dim!$A$2:$D$101,3,FALSE)</f>
        <v>Fitzpatrick Ltd</v>
      </c>
      <c r="G1144" t="str">
        <f>VLOOKUP($C1144,Product_Dim!$A$2:$D$101,2,FALSE)</f>
        <v>Clothing</v>
      </c>
      <c r="H1144">
        <v>4</v>
      </c>
      <c r="I1144">
        <v>373.49</v>
      </c>
      <c r="J1144">
        <v>0.16</v>
      </c>
      <c r="K1144" s="3">
        <v>1254.9264000000001</v>
      </c>
      <c r="L1144" t="s">
        <v>857</v>
      </c>
      <c r="M1144" t="str">
        <f>VLOOKUP($E1144,Customer_Dim!$A$2:$F$501,3,FALSE)</f>
        <v>Female</v>
      </c>
      <c r="N1144" t="str">
        <f>VLOOKUP($E1144,Customer_Dim!$A$2:$F$501,5,FALSE)</f>
        <v>USA</v>
      </c>
      <c r="O1144" t="str">
        <f>VLOOKUP($E1144,Customer_Dim!$A$2:$F$501,6,FALSE)</f>
        <v>Gold</v>
      </c>
      <c r="P1144" t="str">
        <f>VLOOKUP($A1144,Store_Dim!$A$2:$F$21,3,FALSE)</f>
        <v>EastVasquezborough</v>
      </c>
    </row>
    <row r="1145" spans="1:16" x14ac:dyDescent="0.25">
      <c r="A1145" t="s">
        <v>841</v>
      </c>
      <c r="B1145" t="s">
        <v>1738</v>
      </c>
      <c r="C1145" t="s">
        <v>720</v>
      </c>
      <c r="D1145" s="2">
        <v>45395</v>
      </c>
      <c r="E1145" t="s">
        <v>492</v>
      </c>
      <c r="F1145" t="str">
        <f>VLOOKUP($C1145,Product_Dim!$A$2:$D$101,3,FALSE)</f>
        <v>Davis PLC</v>
      </c>
      <c r="G1145" t="str">
        <f>VLOOKUP($C1145,Product_Dim!$A$2:$D$101,2,FALSE)</f>
        <v>Sports</v>
      </c>
      <c r="H1145">
        <v>1</v>
      </c>
      <c r="I1145">
        <v>44.08</v>
      </c>
      <c r="J1145">
        <v>0.05</v>
      </c>
      <c r="K1145" s="3">
        <v>41.875999999999998</v>
      </c>
      <c r="L1145" t="s">
        <v>852</v>
      </c>
      <c r="M1145" t="str">
        <f>VLOOKUP($E1145,Customer_Dim!$A$2:$F$501,3,FALSE)</f>
        <v>Male</v>
      </c>
      <c r="N1145" t="str">
        <f>VLOOKUP($E1145,Customer_Dim!$A$2:$F$501,5,FALSE)</f>
        <v>USA</v>
      </c>
      <c r="O1145" t="str">
        <f>VLOOKUP($E1145,Customer_Dim!$A$2:$F$501,6,FALSE)</f>
        <v>Bronze</v>
      </c>
      <c r="P1145" t="str">
        <f>VLOOKUP($A1145,Store_Dim!$A$2:$F$21,3,FALSE)</f>
        <v>EastVasquezborough</v>
      </c>
    </row>
    <row r="1146" spans="1:16" hidden="1" x14ac:dyDescent="0.25">
      <c r="A1146" t="s">
        <v>841</v>
      </c>
      <c r="B1146" t="s">
        <v>1490</v>
      </c>
      <c r="C1146" t="s">
        <v>722</v>
      </c>
      <c r="D1146" s="2">
        <v>45763</v>
      </c>
      <c r="E1146" t="s">
        <v>339</v>
      </c>
      <c r="F1146" t="str">
        <f>VLOOKUP($C1146,Product_Dim!$A$2:$D$101,3,FALSE)</f>
        <v>French Ltd</v>
      </c>
      <c r="G1146" t="str">
        <f>VLOOKUP($C1146,Product_Dim!$A$2:$D$101,2,FALSE)</f>
        <v>Sports</v>
      </c>
      <c r="H1146">
        <v>4</v>
      </c>
      <c r="I1146">
        <v>221.49</v>
      </c>
      <c r="J1146">
        <v>0.26</v>
      </c>
      <c r="K1146" s="3">
        <v>655.61040000000003</v>
      </c>
      <c r="L1146" t="s">
        <v>854</v>
      </c>
      <c r="M1146" t="str">
        <f>VLOOKUP($E1146,Customer_Dim!$A$2:$F$501,3,FALSE)</f>
        <v>Female</v>
      </c>
      <c r="N1146" t="str">
        <f>VLOOKUP($E1146,Customer_Dim!$A$2:$F$501,5,FALSE)</f>
        <v>USA</v>
      </c>
      <c r="O1146" t="str">
        <f>VLOOKUP($E1146,Customer_Dim!$A$2:$F$501,6,FALSE)</f>
        <v>Gold</v>
      </c>
      <c r="P1146" t="str">
        <f>VLOOKUP($A1146,Store_Dim!$A$2:$F$21,3,FALSE)</f>
        <v>EastVasquezborough</v>
      </c>
    </row>
    <row r="1147" spans="1:16" hidden="1" x14ac:dyDescent="0.25">
      <c r="A1147" t="s">
        <v>841</v>
      </c>
      <c r="B1147" t="s">
        <v>2286</v>
      </c>
      <c r="C1147" t="s">
        <v>722</v>
      </c>
      <c r="D1147" s="2">
        <v>45243</v>
      </c>
      <c r="E1147" t="s">
        <v>450</v>
      </c>
      <c r="F1147" t="str">
        <f>VLOOKUP($C1147,Product_Dim!$A$2:$D$101,3,FALSE)</f>
        <v>French Ltd</v>
      </c>
      <c r="G1147" t="str">
        <f>VLOOKUP($C1147,Product_Dim!$A$2:$D$101,2,FALSE)</f>
        <v>Sports</v>
      </c>
      <c r="H1147">
        <v>3</v>
      </c>
      <c r="I1147">
        <v>59.37</v>
      </c>
      <c r="J1147">
        <v>0.03</v>
      </c>
      <c r="K1147" s="3">
        <v>172.76669999999999</v>
      </c>
      <c r="L1147" t="s">
        <v>854</v>
      </c>
      <c r="M1147" t="str">
        <f>VLOOKUP($E1147,Customer_Dim!$A$2:$F$501,3,FALSE)</f>
        <v>Female</v>
      </c>
      <c r="N1147" t="str">
        <f>VLOOKUP($E1147,Customer_Dim!$A$2:$F$501,5,FALSE)</f>
        <v>USA</v>
      </c>
      <c r="O1147" t="str">
        <f>VLOOKUP($E1147,Customer_Dim!$A$2:$F$501,6,FALSE)</f>
        <v>Silver</v>
      </c>
      <c r="P1147" t="str">
        <f>VLOOKUP($A1147,Store_Dim!$A$2:$F$21,3,FALSE)</f>
        <v>EastVasquezborough</v>
      </c>
    </row>
    <row r="1148" spans="1:16" x14ac:dyDescent="0.25">
      <c r="A1148" t="s">
        <v>841</v>
      </c>
      <c r="B1148" t="s">
        <v>2788</v>
      </c>
      <c r="C1148" t="s">
        <v>722</v>
      </c>
      <c r="D1148" s="2">
        <v>45250</v>
      </c>
      <c r="E1148" t="s">
        <v>517</v>
      </c>
      <c r="F1148" t="str">
        <f>VLOOKUP($C1148,Product_Dim!$A$2:$D$101,3,FALSE)</f>
        <v>French Ltd</v>
      </c>
      <c r="G1148" t="str">
        <f>VLOOKUP($C1148,Product_Dim!$A$2:$D$101,2,FALSE)</f>
        <v>Sports</v>
      </c>
      <c r="H1148">
        <v>1</v>
      </c>
      <c r="I1148">
        <v>727.7</v>
      </c>
      <c r="J1148">
        <v>0.21</v>
      </c>
      <c r="K1148" s="3">
        <v>574.88300000000004</v>
      </c>
      <c r="L1148" t="s">
        <v>857</v>
      </c>
      <c r="M1148" t="str">
        <f>VLOOKUP($E1148,Customer_Dim!$A$2:$F$501,3,FALSE)</f>
        <v>Male</v>
      </c>
      <c r="N1148" t="str">
        <f>VLOOKUP($E1148,Customer_Dim!$A$2:$F$501,5,FALSE)</f>
        <v>USA</v>
      </c>
      <c r="O1148" t="str">
        <f>VLOOKUP($E1148,Customer_Dim!$A$2:$F$501,6,FALSE)</f>
        <v>Bronze</v>
      </c>
      <c r="P1148" t="str">
        <f>VLOOKUP($A1148,Store_Dim!$A$2:$F$21,3,FALSE)</f>
        <v>EastVasquezborough</v>
      </c>
    </row>
    <row r="1149" spans="1:16" hidden="1" x14ac:dyDescent="0.25">
      <c r="A1149" t="s">
        <v>841</v>
      </c>
      <c r="B1149" t="s">
        <v>2853</v>
      </c>
      <c r="C1149" t="s">
        <v>728</v>
      </c>
      <c r="D1149" s="2">
        <v>45267</v>
      </c>
      <c r="E1149" t="s">
        <v>57</v>
      </c>
      <c r="F1149" t="str">
        <f>VLOOKUP($C1149,Product_Dim!$A$2:$D$101,3,FALSE)</f>
        <v>Larson Ltd</v>
      </c>
      <c r="G1149" t="str">
        <f>VLOOKUP($C1149,Product_Dim!$A$2:$D$101,2,FALSE)</f>
        <v>Electronics</v>
      </c>
      <c r="H1149">
        <v>3</v>
      </c>
      <c r="I1149">
        <v>68.45</v>
      </c>
      <c r="J1149">
        <v>0.17</v>
      </c>
      <c r="K1149" s="3">
        <v>170.44049999999999</v>
      </c>
      <c r="L1149" t="s">
        <v>854</v>
      </c>
      <c r="M1149" t="str">
        <f>VLOOKUP($E1149,Customer_Dim!$A$2:$F$501,3,FALSE)</f>
        <v>Female</v>
      </c>
      <c r="N1149" t="str">
        <f>VLOOKUP($E1149,Customer_Dim!$A$2:$F$501,5,FALSE)</f>
        <v>USA</v>
      </c>
      <c r="O1149" t="str">
        <f>VLOOKUP($E1149,Customer_Dim!$A$2:$F$501,6,FALSE)</f>
        <v>Silver</v>
      </c>
      <c r="P1149" t="str">
        <f>VLOOKUP($A1149,Store_Dim!$A$2:$F$21,3,FALSE)</f>
        <v>EastVasquezborough</v>
      </c>
    </row>
    <row r="1150" spans="1:16" hidden="1" x14ac:dyDescent="0.25">
      <c r="A1150" t="s">
        <v>841</v>
      </c>
      <c r="B1150" t="s">
        <v>1427</v>
      </c>
      <c r="C1150" t="s">
        <v>728</v>
      </c>
      <c r="D1150" s="2">
        <v>45726</v>
      </c>
      <c r="E1150" t="s">
        <v>449</v>
      </c>
      <c r="F1150" t="str">
        <f>VLOOKUP($C1150,Product_Dim!$A$2:$D$101,3,FALSE)</f>
        <v>Larson Ltd</v>
      </c>
      <c r="G1150" t="str">
        <f>VLOOKUP($C1150,Product_Dim!$A$2:$D$101,2,FALSE)</f>
        <v>Electronics</v>
      </c>
      <c r="H1150">
        <v>4</v>
      </c>
      <c r="I1150">
        <v>158.46</v>
      </c>
      <c r="J1150">
        <v>0.09</v>
      </c>
      <c r="K1150" s="3">
        <v>576.7944</v>
      </c>
      <c r="L1150" t="s">
        <v>854</v>
      </c>
      <c r="M1150" t="str">
        <f>VLOOKUP($E1150,Customer_Dim!$A$2:$F$501,3,FALSE)</f>
        <v>Female</v>
      </c>
      <c r="N1150" t="str">
        <f>VLOOKUP($E1150,Customer_Dim!$A$2:$F$501,5,FALSE)</f>
        <v>USA</v>
      </c>
      <c r="O1150" t="str">
        <f>VLOOKUP($E1150,Customer_Dim!$A$2:$F$501,6,FALSE)</f>
        <v>Gold</v>
      </c>
      <c r="P1150" t="str">
        <f>VLOOKUP($A1150,Store_Dim!$A$2:$F$21,3,FALSE)</f>
        <v>EastVasquezborough</v>
      </c>
    </row>
    <row r="1151" spans="1:16" x14ac:dyDescent="0.25">
      <c r="A1151" t="s">
        <v>841</v>
      </c>
      <c r="B1151" t="s">
        <v>2774</v>
      </c>
      <c r="C1151" t="s">
        <v>730</v>
      </c>
      <c r="D1151" s="2">
        <v>45883</v>
      </c>
      <c r="E1151" t="s">
        <v>348</v>
      </c>
      <c r="F1151" t="str">
        <f>VLOOKUP($C1151,Product_Dim!$A$2:$D$101,3,FALSE)</f>
        <v>White, Reeves and Woods</v>
      </c>
      <c r="G1151" t="str">
        <f>VLOOKUP($C1151,Product_Dim!$A$2:$D$101,2,FALSE)</f>
        <v>Electronics</v>
      </c>
      <c r="H1151">
        <v>3</v>
      </c>
      <c r="I1151">
        <v>401.87</v>
      </c>
      <c r="J1151">
        <v>0.28999999999999998</v>
      </c>
      <c r="K1151" s="3">
        <v>855.98310000000004</v>
      </c>
      <c r="L1151" t="s">
        <v>857</v>
      </c>
      <c r="M1151" t="str">
        <f>VLOOKUP($E1151,Customer_Dim!$A$2:$F$501,3,FALSE)</f>
        <v>Male</v>
      </c>
      <c r="N1151" t="str">
        <f>VLOOKUP($E1151,Customer_Dim!$A$2:$F$501,5,FALSE)</f>
        <v>USA</v>
      </c>
      <c r="O1151" t="str">
        <f>VLOOKUP($E1151,Customer_Dim!$A$2:$F$501,6,FALSE)</f>
        <v>Platinum</v>
      </c>
      <c r="P1151" t="str">
        <f>VLOOKUP($A1151,Store_Dim!$A$2:$F$21,3,FALSE)</f>
        <v>EastVasquezborough</v>
      </c>
    </row>
    <row r="1152" spans="1:16" x14ac:dyDescent="0.25">
      <c r="A1152" t="s">
        <v>841</v>
      </c>
      <c r="B1152" t="s">
        <v>1918</v>
      </c>
      <c r="C1152" t="s">
        <v>732</v>
      </c>
      <c r="D1152" s="2">
        <v>45545</v>
      </c>
      <c r="E1152" t="s">
        <v>437</v>
      </c>
      <c r="F1152" t="str">
        <f>VLOOKUP($C1152,Product_Dim!$A$2:$D$101,3,FALSE)</f>
        <v>Hernandez Inc</v>
      </c>
      <c r="G1152" t="str">
        <f>VLOOKUP($C1152,Product_Dim!$A$2:$D$101,2,FALSE)</f>
        <v>Home</v>
      </c>
      <c r="H1152">
        <v>2</v>
      </c>
      <c r="I1152">
        <v>705.97</v>
      </c>
      <c r="J1152">
        <v>0.1</v>
      </c>
      <c r="K1152" s="3">
        <v>1270.7460000000001</v>
      </c>
      <c r="L1152" t="s">
        <v>854</v>
      </c>
      <c r="M1152" t="str">
        <f>VLOOKUP($E1152,Customer_Dim!$A$2:$F$501,3,FALSE)</f>
        <v>Male</v>
      </c>
      <c r="N1152" t="str">
        <f>VLOOKUP($E1152,Customer_Dim!$A$2:$F$501,5,FALSE)</f>
        <v>USA</v>
      </c>
      <c r="O1152" t="str">
        <f>VLOOKUP($E1152,Customer_Dim!$A$2:$F$501,6,FALSE)</f>
        <v>Silver</v>
      </c>
      <c r="P1152" t="str">
        <f>VLOOKUP($A1152,Store_Dim!$A$2:$F$21,3,FALSE)</f>
        <v>EastVasquezborough</v>
      </c>
    </row>
    <row r="1153" spans="1:16" x14ac:dyDescent="0.25">
      <c r="A1153" t="s">
        <v>841</v>
      </c>
      <c r="B1153" t="s">
        <v>2615</v>
      </c>
      <c r="C1153" t="s">
        <v>734</v>
      </c>
      <c r="D1153" s="2">
        <v>45581</v>
      </c>
      <c r="E1153" t="s">
        <v>321</v>
      </c>
      <c r="F1153" t="str">
        <f>VLOOKUP($C1153,Product_Dim!$A$2:$D$101,3,FALSE)</f>
        <v>Ramirez-Hanson</v>
      </c>
      <c r="G1153" t="str">
        <f>VLOOKUP($C1153,Product_Dim!$A$2:$D$101,2,FALSE)</f>
        <v>Home</v>
      </c>
      <c r="H1153">
        <v>2</v>
      </c>
      <c r="I1153">
        <v>60.53</v>
      </c>
      <c r="J1153">
        <v>0.18</v>
      </c>
      <c r="K1153" s="3">
        <v>99.269200000000012</v>
      </c>
      <c r="L1153" t="s">
        <v>852</v>
      </c>
      <c r="M1153" t="str">
        <f>VLOOKUP($E1153,Customer_Dim!$A$2:$F$501,3,FALSE)</f>
        <v>Male</v>
      </c>
      <c r="N1153" t="str">
        <f>VLOOKUP($E1153,Customer_Dim!$A$2:$F$501,5,FALSE)</f>
        <v>USA</v>
      </c>
      <c r="O1153" t="str">
        <f>VLOOKUP($E1153,Customer_Dim!$A$2:$F$501,6,FALSE)</f>
        <v>Gold</v>
      </c>
      <c r="P1153" t="str">
        <f>VLOOKUP($A1153,Store_Dim!$A$2:$F$21,3,FALSE)</f>
        <v>EastVasquezborough</v>
      </c>
    </row>
    <row r="1154" spans="1:16" x14ac:dyDescent="0.25">
      <c r="A1154" t="s">
        <v>841</v>
      </c>
      <c r="B1154" t="s">
        <v>1384</v>
      </c>
      <c r="C1154" t="s">
        <v>590</v>
      </c>
      <c r="D1154" s="2">
        <v>45552</v>
      </c>
      <c r="E1154" t="s">
        <v>132</v>
      </c>
      <c r="F1154" t="str">
        <f>VLOOKUP($C1154,Product_Dim!$A$2:$D$101,3,FALSE)</f>
        <v>Perez-Johnston</v>
      </c>
      <c r="G1154" t="str">
        <f>VLOOKUP($C1154,Product_Dim!$A$2:$D$101,2,FALSE)</f>
        <v>Electronics</v>
      </c>
      <c r="H1154">
        <v>4</v>
      </c>
      <c r="I1154">
        <v>816.28</v>
      </c>
      <c r="J1154">
        <v>0.15</v>
      </c>
      <c r="K1154" s="3">
        <v>2775.3519999999999</v>
      </c>
      <c r="L1154" t="s">
        <v>857</v>
      </c>
      <c r="M1154" t="str">
        <f>VLOOKUP($E1154,Customer_Dim!$A$2:$F$501,3,FALSE)</f>
        <v>Male</v>
      </c>
      <c r="N1154" t="str">
        <f>VLOOKUP($E1154,Customer_Dim!$A$2:$F$501,5,FALSE)</f>
        <v>USA</v>
      </c>
      <c r="O1154" t="str">
        <f>VLOOKUP($E1154,Customer_Dim!$A$2:$F$501,6,FALSE)</f>
        <v>Gold</v>
      </c>
      <c r="P1154" t="str">
        <f>VLOOKUP($A1154,Store_Dim!$A$2:$F$21,3,FALSE)</f>
        <v>EastVasquezborough</v>
      </c>
    </row>
    <row r="1155" spans="1:16" x14ac:dyDescent="0.25">
      <c r="A1155" t="s">
        <v>841</v>
      </c>
      <c r="B1155" t="s">
        <v>2745</v>
      </c>
      <c r="C1155" t="s">
        <v>738</v>
      </c>
      <c r="D1155" s="2">
        <v>45916</v>
      </c>
      <c r="E1155" t="s">
        <v>524</v>
      </c>
      <c r="F1155" t="str">
        <f>VLOOKUP($C1155,Product_Dim!$A$2:$D$101,3,FALSE)</f>
        <v>Robinson-Brown</v>
      </c>
      <c r="G1155" t="str">
        <f>VLOOKUP($C1155,Product_Dim!$A$2:$D$101,2,FALSE)</f>
        <v>Sports</v>
      </c>
      <c r="H1155">
        <v>3</v>
      </c>
      <c r="I1155">
        <v>825.33</v>
      </c>
      <c r="J1155">
        <v>0.21</v>
      </c>
      <c r="K1155" s="3">
        <v>1956.0320999999999</v>
      </c>
      <c r="L1155" t="s">
        <v>852</v>
      </c>
      <c r="M1155" t="str">
        <f>VLOOKUP($E1155,Customer_Dim!$A$2:$F$501,3,FALSE)</f>
        <v>Male</v>
      </c>
      <c r="N1155" t="str">
        <f>VLOOKUP($E1155,Customer_Dim!$A$2:$F$501,5,FALSE)</f>
        <v>USA</v>
      </c>
      <c r="O1155" t="str">
        <f>VLOOKUP($E1155,Customer_Dim!$A$2:$F$501,6,FALSE)</f>
        <v>Platinum</v>
      </c>
      <c r="P1155" t="str">
        <f>VLOOKUP($A1155,Store_Dim!$A$2:$F$21,3,FALSE)</f>
        <v>EastVasquezborough</v>
      </c>
    </row>
    <row r="1156" spans="1:16" x14ac:dyDescent="0.25">
      <c r="A1156" t="s">
        <v>841</v>
      </c>
      <c r="B1156" t="s">
        <v>1001</v>
      </c>
      <c r="C1156" t="s">
        <v>740</v>
      </c>
      <c r="D1156" s="2">
        <v>45617</v>
      </c>
      <c r="E1156" t="s">
        <v>361</v>
      </c>
      <c r="F1156" t="str">
        <f>VLOOKUP($C1156,Product_Dim!$A$2:$D$101,3,FALSE)</f>
        <v>Reese-Watson</v>
      </c>
      <c r="G1156" t="str">
        <f>VLOOKUP($C1156,Product_Dim!$A$2:$D$101,2,FALSE)</f>
        <v>Sports</v>
      </c>
      <c r="H1156">
        <v>1</v>
      </c>
      <c r="I1156">
        <v>653.87</v>
      </c>
      <c r="J1156">
        <v>0.14000000000000001</v>
      </c>
      <c r="K1156" s="3">
        <v>562.32820000000004</v>
      </c>
      <c r="L1156" t="s">
        <v>854</v>
      </c>
      <c r="M1156" t="str">
        <f>VLOOKUP($E1156,Customer_Dim!$A$2:$F$501,3,FALSE)</f>
        <v>Male</v>
      </c>
      <c r="N1156" t="str">
        <f>VLOOKUP($E1156,Customer_Dim!$A$2:$F$501,5,FALSE)</f>
        <v>USA</v>
      </c>
      <c r="O1156" t="str">
        <f>VLOOKUP($E1156,Customer_Dim!$A$2:$F$501,6,FALSE)</f>
        <v>Platinum</v>
      </c>
      <c r="P1156" t="str">
        <f>VLOOKUP($A1156,Store_Dim!$A$2:$F$21,3,FALSE)</f>
        <v>EastVasquezborough</v>
      </c>
    </row>
    <row r="1157" spans="1:16" x14ac:dyDescent="0.25">
      <c r="A1157" t="s">
        <v>841</v>
      </c>
      <c r="B1157" t="s">
        <v>1762</v>
      </c>
      <c r="C1157" t="s">
        <v>746</v>
      </c>
      <c r="D1157" s="2">
        <v>45288</v>
      </c>
      <c r="E1157" t="s">
        <v>348</v>
      </c>
      <c r="F1157" t="str">
        <f>VLOOKUP($C1157,Product_Dim!$A$2:$D$101,3,FALSE)</f>
        <v>Richardson-Carrillo</v>
      </c>
      <c r="G1157" t="str">
        <f>VLOOKUP($C1157,Product_Dim!$A$2:$D$101,2,FALSE)</f>
        <v>Clothing</v>
      </c>
      <c r="H1157">
        <v>3</v>
      </c>
      <c r="I1157">
        <v>104.33</v>
      </c>
      <c r="J1157">
        <v>0.13</v>
      </c>
      <c r="K1157" s="3">
        <v>272.30130000000003</v>
      </c>
      <c r="L1157" t="s">
        <v>857</v>
      </c>
      <c r="M1157" t="str">
        <f>VLOOKUP($E1157,Customer_Dim!$A$2:$F$501,3,FALSE)</f>
        <v>Male</v>
      </c>
      <c r="N1157" t="str">
        <f>VLOOKUP($E1157,Customer_Dim!$A$2:$F$501,5,FALSE)</f>
        <v>USA</v>
      </c>
      <c r="O1157" t="str">
        <f>VLOOKUP($E1157,Customer_Dim!$A$2:$F$501,6,FALSE)</f>
        <v>Platinum</v>
      </c>
      <c r="P1157" t="str">
        <f>VLOOKUP($A1157,Store_Dim!$A$2:$F$21,3,FALSE)</f>
        <v>EastVasquezborough</v>
      </c>
    </row>
    <row r="1158" spans="1:16" x14ac:dyDescent="0.25">
      <c r="A1158" t="s">
        <v>841</v>
      </c>
      <c r="B1158" t="s">
        <v>1114</v>
      </c>
      <c r="C1158" t="s">
        <v>754</v>
      </c>
      <c r="D1158" s="2">
        <v>45497</v>
      </c>
      <c r="E1158" t="s">
        <v>165</v>
      </c>
      <c r="F1158" t="str">
        <f>VLOOKUP($C1158,Product_Dim!$A$2:$D$101,3,FALSE)</f>
        <v>Taylor-Elliott</v>
      </c>
      <c r="G1158" t="str">
        <f>VLOOKUP($C1158,Product_Dim!$A$2:$D$101,2,FALSE)</f>
        <v>Beauty</v>
      </c>
      <c r="H1158">
        <v>4</v>
      </c>
      <c r="I1158">
        <v>611.29999999999995</v>
      </c>
      <c r="J1158">
        <v>0.11</v>
      </c>
      <c r="K1158" s="3">
        <v>2176.2280000000001</v>
      </c>
      <c r="L1158" t="s">
        <v>854</v>
      </c>
      <c r="M1158" t="str">
        <f>VLOOKUP($E1158,Customer_Dim!$A$2:$F$501,3,FALSE)</f>
        <v>Male</v>
      </c>
      <c r="N1158" t="str">
        <f>VLOOKUP($E1158,Customer_Dim!$A$2:$F$501,5,FALSE)</f>
        <v>USA</v>
      </c>
      <c r="O1158" t="str">
        <f>VLOOKUP($E1158,Customer_Dim!$A$2:$F$501,6,FALSE)</f>
        <v>Bronze</v>
      </c>
      <c r="P1158" t="str">
        <f>VLOOKUP($A1158,Store_Dim!$A$2:$F$21,3,FALSE)</f>
        <v>EastVasquezborough</v>
      </c>
    </row>
    <row r="1159" spans="1:16" x14ac:dyDescent="0.25">
      <c r="A1159" t="s">
        <v>841</v>
      </c>
      <c r="B1159" t="s">
        <v>2256</v>
      </c>
      <c r="C1159" t="s">
        <v>758</v>
      </c>
      <c r="D1159" s="2">
        <v>45378</v>
      </c>
      <c r="E1159" t="s">
        <v>392</v>
      </c>
      <c r="F1159" t="str">
        <f>VLOOKUP($C1159,Product_Dim!$A$2:$D$101,3,FALSE)</f>
        <v>Smith-Charles</v>
      </c>
      <c r="G1159" t="str">
        <f>VLOOKUP($C1159,Product_Dim!$A$2:$D$101,2,FALSE)</f>
        <v>Clothing</v>
      </c>
      <c r="H1159">
        <v>2</v>
      </c>
      <c r="I1159">
        <v>600.03</v>
      </c>
      <c r="J1159">
        <v>0.26</v>
      </c>
      <c r="K1159" s="3">
        <v>888.0444</v>
      </c>
      <c r="L1159" t="s">
        <v>854</v>
      </c>
      <c r="M1159" t="str">
        <f>VLOOKUP($E1159,Customer_Dim!$A$2:$F$501,3,FALSE)</f>
        <v>Male</v>
      </c>
      <c r="N1159" t="str">
        <f>VLOOKUP($E1159,Customer_Dim!$A$2:$F$501,5,FALSE)</f>
        <v>USA</v>
      </c>
      <c r="O1159" t="str">
        <f>VLOOKUP($E1159,Customer_Dim!$A$2:$F$501,6,FALSE)</f>
        <v>Bronze</v>
      </c>
      <c r="P1159" t="str">
        <f>VLOOKUP($A1159,Store_Dim!$A$2:$F$21,3,FALSE)</f>
        <v>EastVasquezborough</v>
      </c>
    </row>
    <row r="1160" spans="1:16" hidden="1" x14ac:dyDescent="0.25">
      <c r="A1160" t="s">
        <v>841</v>
      </c>
      <c r="B1160" t="s">
        <v>1273</v>
      </c>
      <c r="C1160" t="s">
        <v>758</v>
      </c>
      <c r="D1160" s="2">
        <v>45824</v>
      </c>
      <c r="E1160" t="s">
        <v>484</v>
      </c>
      <c r="F1160" t="str">
        <f>VLOOKUP($C1160,Product_Dim!$A$2:$D$101,3,FALSE)</f>
        <v>Smith-Charles</v>
      </c>
      <c r="G1160" t="str">
        <f>VLOOKUP($C1160,Product_Dim!$A$2:$D$101,2,FALSE)</f>
        <v>Clothing</v>
      </c>
      <c r="H1160">
        <v>2</v>
      </c>
      <c r="I1160">
        <v>782.11</v>
      </c>
      <c r="J1160">
        <v>0.17</v>
      </c>
      <c r="K1160" s="3">
        <v>1298.3026</v>
      </c>
      <c r="L1160" t="s">
        <v>854</v>
      </c>
      <c r="M1160" t="str">
        <f>VLOOKUP($E1160,Customer_Dim!$A$2:$F$501,3,FALSE)</f>
        <v>Female</v>
      </c>
      <c r="N1160" t="str">
        <f>VLOOKUP($E1160,Customer_Dim!$A$2:$F$501,5,FALSE)</f>
        <v>USA</v>
      </c>
      <c r="O1160" t="str">
        <f>VLOOKUP($E1160,Customer_Dim!$A$2:$F$501,6,FALSE)</f>
        <v>Bronze</v>
      </c>
      <c r="P1160" t="str">
        <f>VLOOKUP($A1160,Store_Dim!$A$2:$F$21,3,FALSE)</f>
        <v>EastVasquezborough</v>
      </c>
    </row>
    <row r="1161" spans="1:16" hidden="1" x14ac:dyDescent="0.25">
      <c r="A1161" t="s">
        <v>841</v>
      </c>
      <c r="B1161" t="s">
        <v>2555</v>
      </c>
      <c r="C1161" t="s">
        <v>758</v>
      </c>
      <c r="D1161" s="2">
        <v>45819</v>
      </c>
      <c r="E1161" t="s">
        <v>529</v>
      </c>
      <c r="F1161" t="str">
        <f>VLOOKUP($C1161,Product_Dim!$A$2:$D$101,3,FALSE)</f>
        <v>Smith-Charles</v>
      </c>
      <c r="G1161" t="str">
        <f>VLOOKUP($C1161,Product_Dim!$A$2:$D$101,2,FALSE)</f>
        <v>Clothing</v>
      </c>
      <c r="H1161">
        <v>3</v>
      </c>
      <c r="I1161">
        <v>811.16</v>
      </c>
      <c r="J1161">
        <v>0.1</v>
      </c>
      <c r="K1161" s="3">
        <v>2190.1320000000001</v>
      </c>
      <c r="L1161" t="s">
        <v>857</v>
      </c>
      <c r="M1161" t="str">
        <f>VLOOKUP($E1161,Customer_Dim!$A$2:$F$501,3,FALSE)</f>
        <v>Female</v>
      </c>
      <c r="N1161" t="str">
        <f>VLOOKUP($E1161,Customer_Dim!$A$2:$F$501,5,FALSE)</f>
        <v>USA</v>
      </c>
      <c r="O1161" t="str">
        <f>VLOOKUP($E1161,Customer_Dim!$A$2:$F$501,6,FALSE)</f>
        <v>Silver</v>
      </c>
      <c r="P1161" t="str">
        <f>VLOOKUP($A1161,Store_Dim!$A$2:$F$21,3,FALSE)</f>
        <v>EastVasquezborough</v>
      </c>
    </row>
    <row r="1162" spans="1:16" hidden="1" x14ac:dyDescent="0.25">
      <c r="A1162" t="s">
        <v>841</v>
      </c>
      <c r="B1162" t="s">
        <v>2458</v>
      </c>
      <c r="C1162" t="s">
        <v>760</v>
      </c>
      <c r="D1162" s="2">
        <v>45491</v>
      </c>
      <c r="E1162" t="s">
        <v>179</v>
      </c>
      <c r="F1162" t="str">
        <f>VLOOKUP($C1162,Product_Dim!$A$2:$D$101,3,FALSE)</f>
        <v>Green, Powell and Palmer</v>
      </c>
      <c r="G1162" t="str">
        <f>VLOOKUP($C1162,Product_Dim!$A$2:$D$101,2,FALSE)</f>
        <v>Home</v>
      </c>
      <c r="H1162">
        <v>2</v>
      </c>
      <c r="I1162">
        <v>253.87</v>
      </c>
      <c r="J1162">
        <v>0.23</v>
      </c>
      <c r="K1162" s="3">
        <v>390.95979999999997</v>
      </c>
      <c r="L1162" t="s">
        <v>857</v>
      </c>
      <c r="M1162" t="str">
        <f>VLOOKUP($E1162,Customer_Dim!$A$2:$F$501,3,FALSE)</f>
        <v>Female</v>
      </c>
      <c r="N1162" t="str">
        <f>VLOOKUP($E1162,Customer_Dim!$A$2:$F$501,5,FALSE)</f>
        <v>USA</v>
      </c>
      <c r="O1162" t="str">
        <f>VLOOKUP($E1162,Customer_Dim!$A$2:$F$501,6,FALSE)</f>
        <v>Platinum</v>
      </c>
      <c r="P1162" t="str">
        <f>VLOOKUP($A1162,Store_Dim!$A$2:$F$21,3,FALSE)</f>
        <v>EastVasquezborough</v>
      </c>
    </row>
    <row r="1163" spans="1:16" x14ac:dyDescent="0.25">
      <c r="A1163" t="s">
        <v>841</v>
      </c>
      <c r="B1163" t="s">
        <v>1626</v>
      </c>
      <c r="C1163" t="s">
        <v>760</v>
      </c>
      <c r="D1163" s="2">
        <v>45254</v>
      </c>
      <c r="E1163" t="s">
        <v>417</v>
      </c>
      <c r="F1163" t="str">
        <f>VLOOKUP($C1163,Product_Dim!$A$2:$D$101,3,FALSE)</f>
        <v>Green, Powell and Palmer</v>
      </c>
      <c r="G1163" t="str">
        <f>VLOOKUP($C1163,Product_Dim!$A$2:$D$101,2,FALSE)</f>
        <v>Home</v>
      </c>
      <c r="H1163">
        <v>2</v>
      </c>
      <c r="I1163">
        <v>318.62</v>
      </c>
      <c r="J1163">
        <v>0.02</v>
      </c>
      <c r="K1163" s="3">
        <v>624.49519999999995</v>
      </c>
      <c r="L1163" t="s">
        <v>857</v>
      </c>
      <c r="M1163" t="str">
        <f>VLOOKUP($E1163,Customer_Dim!$A$2:$F$501,3,FALSE)</f>
        <v>Male</v>
      </c>
      <c r="N1163" t="str">
        <f>VLOOKUP($E1163,Customer_Dim!$A$2:$F$501,5,FALSE)</f>
        <v>USA</v>
      </c>
      <c r="O1163" t="str">
        <f>VLOOKUP($E1163,Customer_Dim!$A$2:$F$501,6,FALSE)</f>
        <v>Silver</v>
      </c>
      <c r="P1163" t="str">
        <f>VLOOKUP($A1163,Store_Dim!$A$2:$F$21,3,FALSE)</f>
        <v>EastVasquezborough</v>
      </c>
    </row>
    <row r="1164" spans="1:16" x14ac:dyDescent="0.25">
      <c r="A1164" t="s">
        <v>841</v>
      </c>
      <c r="B1164" t="s">
        <v>1248</v>
      </c>
      <c r="C1164" t="s">
        <v>764</v>
      </c>
      <c r="D1164" s="2">
        <v>45378</v>
      </c>
      <c r="E1164" t="s">
        <v>268</v>
      </c>
      <c r="F1164" t="str">
        <f>VLOOKUP($C1164,Product_Dim!$A$2:$D$101,3,FALSE)</f>
        <v>Hoffman-Williams</v>
      </c>
      <c r="G1164" t="str">
        <f>VLOOKUP($C1164,Product_Dim!$A$2:$D$101,2,FALSE)</f>
        <v>Beauty</v>
      </c>
      <c r="H1164">
        <v>2</v>
      </c>
      <c r="I1164">
        <v>962.81</v>
      </c>
      <c r="J1164">
        <v>0.06</v>
      </c>
      <c r="K1164" s="3">
        <v>1810.0827999999999</v>
      </c>
      <c r="L1164" t="s">
        <v>857</v>
      </c>
      <c r="M1164" t="str">
        <f>VLOOKUP($E1164,Customer_Dim!$A$2:$F$501,3,FALSE)</f>
        <v>Male</v>
      </c>
      <c r="N1164" t="str">
        <f>VLOOKUP($E1164,Customer_Dim!$A$2:$F$501,5,FALSE)</f>
        <v>USA</v>
      </c>
      <c r="O1164" t="str">
        <f>VLOOKUP($E1164,Customer_Dim!$A$2:$F$501,6,FALSE)</f>
        <v>Platinum</v>
      </c>
      <c r="P1164" t="str">
        <f>VLOOKUP($A1164,Store_Dim!$A$2:$F$21,3,FALSE)</f>
        <v>EastVasquezborough</v>
      </c>
    </row>
    <row r="1165" spans="1:16" hidden="1" x14ac:dyDescent="0.25">
      <c r="A1165" t="s">
        <v>841</v>
      </c>
      <c r="B1165" t="s">
        <v>2462</v>
      </c>
      <c r="C1165" t="s">
        <v>766</v>
      </c>
      <c r="D1165" s="2">
        <v>45390</v>
      </c>
      <c r="E1165" t="s">
        <v>450</v>
      </c>
      <c r="F1165" t="str">
        <f>VLOOKUP($C1165,Product_Dim!$A$2:$D$101,3,FALSE)</f>
        <v>Wilson Group</v>
      </c>
      <c r="G1165" t="str">
        <f>VLOOKUP($C1165,Product_Dim!$A$2:$D$101,2,FALSE)</f>
        <v>Sports</v>
      </c>
      <c r="H1165">
        <v>1</v>
      </c>
      <c r="I1165">
        <v>511.35</v>
      </c>
      <c r="J1165">
        <v>0</v>
      </c>
      <c r="K1165" s="3">
        <v>511.35</v>
      </c>
      <c r="L1165" t="s">
        <v>852</v>
      </c>
      <c r="M1165" t="str">
        <f>VLOOKUP($E1165,Customer_Dim!$A$2:$F$501,3,FALSE)</f>
        <v>Female</v>
      </c>
      <c r="N1165" t="str">
        <f>VLOOKUP($E1165,Customer_Dim!$A$2:$F$501,5,FALSE)</f>
        <v>USA</v>
      </c>
      <c r="O1165" t="str">
        <f>VLOOKUP($E1165,Customer_Dim!$A$2:$F$501,6,FALSE)</f>
        <v>Silver</v>
      </c>
      <c r="P1165" t="str">
        <f>VLOOKUP($A1165,Store_Dim!$A$2:$F$21,3,FALSE)</f>
        <v>EastVasquezborough</v>
      </c>
    </row>
    <row r="1166" spans="1:16" x14ac:dyDescent="0.25">
      <c r="A1166" t="s">
        <v>841</v>
      </c>
      <c r="B1166" t="s">
        <v>1824</v>
      </c>
      <c r="C1166" t="s">
        <v>768</v>
      </c>
      <c r="D1166" s="2">
        <v>45297</v>
      </c>
      <c r="E1166" t="s">
        <v>110</v>
      </c>
      <c r="F1166" t="str">
        <f>VLOOKUP($C1166,Product_Dim!$A$2:$D$101,3,FALSE)</f>
        <v>Phillips and Sons</v>
      </c>
      <c r="G1166" t="str">
        <f>VLOOKUP($C1166,Product_Dim!$A$2:$D$101,2,FALSE)</f>
        <v>Clothing</v>
      </c>
      <c r="H1166">
        <v>4</v>
      </c>
      <c r="I1166">
        <v>492.71</v>
      </c>
      <c r="J1166">
        <v>0.08</v>
      </c>
      <c r="K1166" s="3">
        <v>1813.1728000000001</v>
      </c>
      <c r="L1166" t="s">
        <v>852</v>
      </c>
      <c r="M1166" t="str">
        <f>VLOOKUP($E1166,Customer_Dim!$A$2:$F$501,3,FALSE)</f>
        <v>Male</v>
      </c>
      <c r="N1166" t="str">
        <f>VLOOKUP($E1166,Customer_Dim!$A$2:$F$501,5,FALSE)</f>
        <v>USA</v>
      </c>
      <c r="O1166" t="str">
        <f>VLOOKUP($E1166,Customer_Dim!$A$2:$F$501,6,FALSE)</f>
        <v>Silver</v>
      </c>
      <c r="P1166" t="str">
        <f>VLOOKUP($A1166,Store_Dim!$A$2:$F$21,3,FALSE)</f>
        <v>EastVasquezborough</v>
      </c>
    </row>
    <row r="1167" spans="1:16" hidden="1" x14ac:dyDescent="0.25">
      <c r="A1167" t="s">
        <v>841</v>
      </c>
      <c r="B1167" t="s">
        <v>1227</v>
      </c>
      <c r="C1167" t="s">
        <v>770</v>
      </c>
      <c r="D1167" s="2">
        <v>45688</v>
      </c>
      <c r="E1167" t="s">
        <v>225</v>
      </c>
      <c r="F1167" t="str">
        <f>VLOOKUP($C1167,Product_Dim!$A$2:$D$101,3,FALSE)</f>
        <v>Khan LLC</v>
      </c>
      <c r="G1167" t="str">
        <f>VLOOKUP($C1167,Product_Dim!$A$2:$D$101,2,FALSE)</f>
        <v>Sports</v>
      </c>
      <c r="H1167">
        <v>2</v>
      </c>
      <c r="I1167">
        <v>739.95</v>
      </c>
      <c r="J1167">
        <v>0.1</v>
      </c>
      <c r="K1167" s="3">
        <v>1331.91</v>
      </c>
      <c r="L1167" t="s">
        <v>857</v>
      </c>
      <c r="M1167" t="str">
        <f>VLOOKUP($E1167,Customer_Dim!$A$2:$F$501,3,FALSE)</f>
        <v>Female</v>
      </c>
      <c r="N1167" t="str">
        <f>VLOOKUP($E1167,Customer_Dim!$A$2:$F$501,5,FALSE)</f>
        <v>USA</v>
      </c>
      <c r="O1167" t="str">
        <f>VLOOKUP($E1167,Customer_Dim!$A$2:$F$501,6,FALSE)</f>
        <v>Silver</v>
      </c>
      <c r="P1167" t="str">
        <f>VLOOKUP($A1167,Store_Dim!$A$2:$F$21,3,FALSE)</f>
        <v>EastVasquezborough</v>
      </c>
    </row>
    <row r="1168" spans="1:16" x14ac:dyDescent="0.25">
      <c r="A1168" t="s">
        <v>841</v>
      </c>
      <c r="B1168" t="s">
        <v>2605</v>
      </c>
      <c r="C1168" t="s">
        <v>770</v>
      </c>
      <c r="D1168" s="2">
        <v>45296</v>
      </c>
      <c r="E1168" t="s">
        <v>323</v>
      </c>
      <c r="F1168" t="str">
        <f>VLOOKUP($C1168,Product_Dim!$A$2:$D$101,3,FALSE)</f>
        <v>Khan LLC</v>
      </c>
      <c r="G1168" t="str">
        <f>VLOOKUP($C1168,Product_Dim!$A$2:$D$101,2,FALSE)</f>
        <v>Sports</v>
      </c>
      <c r="H1168">
        <v>4</v>
      </c>
      <c r="I1168">
        <v>715.42</v>
      </c>
      <c r="J1168">
        <v>0.28999999999999998</v>
      </c>
      <c r="K1168" s="3">
        <v>2031.7927999999999</v>
      </c>
      <c r="L1168" t="s">
        <v>854</v>
      </c>
      <c r="M1168" t="str">
        <f>VLOOKUP($E1168,Customer_Dim!$A$2:$F$501,3,FALSE)</f>
        <v>Male</v>
      </c>
      <c r="N1168" t="str">
        <f>VLOOKUP($E1168,Customer_Dim!$A$2:$F$501,5,FALSE)</f>
        <v>USA</v>
      </c>
      <c r="O1168" t="str">
        <f>VLOOKUP($E1168,Customer_Dim!$A$2:$F$501,6,FALSE)</f>
        <v>Silver</v>
      </c>
      <c r="P1168" t="str">
        <f>VLOOKUP($A1168,Store_Dim!$A$2:$F$21,3,FALSE)</f>
        <v>EastVasquezborough</v>
      </c>
    </row>
    <row r="1169" spans="1:16" x14ac:dyDescent="0.25">
      <c r="A1169" t="s">
        <v>841</v>
      </c>
      <c r="B1169" t="s">
        <v>948</v>
      </c>
      <c r="C1169" t="s">
        <v>770</v>
      </c>
      <c r="D1169" s="2">
        <v>45530</v>
      </c>
      <c r="E1169" t="s">
        <v>365</v>
      </c>
      <c r="F1169" t="str">
        <f>VLOOKUP($C1169,Product_Dim!$A$2:$D$101,3,FALSE)</f>
        <v>Khan LLC</v>
      </c>
      <c r="G1169" t="str">
        <f>VLOOKUP($C1169,Product_Dim!$A$2:$D$101,2,FALSE)</f>
        <v>Sports</v>
      </c>
      <c r="H1169">
        <v>2</v>
      </c>
      <c r="I1169">
        <v>569.36</v>
      </c>
      <c r="J1169">
        <v>0.01</v>
      </c>
      <c r="K1169" s="3">
        <f>H1169*I1169-J1169</f>
        <v>1138.71</v>
      </c>
      <c r="L1169" t="s">
        <v>854</v>
      </c>
      <c r="M1169" t="str">
        <f>VLOOKUP($E1169,Customer_Dim!$A$2:$F$501,3,FALSE)</f>
        <v>Male</v>
      </c>
      <c r="N1169" t="str">
        <f>VLOOKUP($E1169,Customer_Dim!$A$2:$F$501,5,FALSE)</f>
        <v>USA</v>
      </c>
      <c r="O1169" t="str">
        <f>VLOOKUP($E1169,Customer_Dim!$A$2:$F$501,6,FALSE)</f>
        <v>Platinum</v>
      </c>
      <c r="P1169" t="str">
        <f>VLOOKUP($A1169,Store_Dim!$A$2:$F$21,3,FALSE)</f>
        <v>EastVasquezborough</v>
      </c>
    </row>
    <row r="1170" spans="1:16" x14ac:dyDescent="0.25">
      <c r="A1170" t="s">
        <v>841</v>
      </c>
      <c r="B1170" t="s">
        <v>2242</v>
      </c>
      <c r="C1170" t="s">
        <v>772</v>
      </c>
      <c r="D1170" s="2">
        <v>45655</v>
      </c>
      <c r="E1170" t="s">
        <v>51</v>
      </c>
      <c r="F1170" t="str">
        <f>VLOOKUP($C1170,Product_Dim!$A$2:$D$101,3,FALSE)</f>
        <v>Flores-King</v>
      </c>
      <c r="G1170" t="str">
        <f>VLOOKUP($C1170,Product_Dim!$A$2:$D$101,2,FALSE)</f>
        <v>Electronics</v>
      </c>
      <c r="H1170">
        <v>3</v>
      </c>
      <c r="I1170">
        <v>34.97</v>
      </c>
      <c r="J1170">
        <v>0.01</v>
      </c>
      <c r="K1170" s="3">
        <v>103.8609</v>
      </c>
      <c r="L1170" t="s">
        <v>852</v>
      </c>
      <c r="M1170" t="str">
        <f>VLOOKUP($E1170,Customer_Dim!$A$2:$F$501,3,FALSE)</f>
        <v>Male</v>
      </c>
      <c r="N1170" t="str">
        <f>VLOOKUP($E1170,Customer_Dim!$A$2:$F$501,5,FALSE)</f>
        <v>USA</v>
      </c>
      <c r="O1170" t="str">
        <f>VLOOKUP($E1170,Customer_Dim!$A$2:$F$501,6,FALSE)</f>
        <v>Silver</v>
      </c>
      <c r="P1170" t="str">
        <f>VLOOKUP($A1170,Store_Dim!$A$2:$F$21,3,FALSE)</f>
        <v>EastVasquezborough</v>
      </c>
    </row>
    <row r="1171" spans="1:16" x14ac:dyDescent="0.25">
      <c r="A1171" t="s">
        <v>841</v>
      </c>
      <c r="B1171" t="s">
        <v>1611</v>
      </c>
      <c r="C1171" t="s">
        <v>772</v>
      </c>
      <c r="D1171" s="2">
        <v>45475</v>
      </c>
      <c r="E1171" t="s">
        <v>269</v>
      </c>
      <c r="F1171" t="str">
        <f>VLOOKUP($C1171,Product_Dim!$A$2:$D$101,3,FALSE)</f>
        <v>Flores-King</v>
      </c>
      <c r="G1171" t="str">
        <f>VLOOKUP($C1171,Product_Dim!$A$2:$D$101,2,FALSE)</f>
        <v>Electronics</v>
      </c>
      <c r="H1171">
        <v>4</v>
      </c>
      <c r="I1171">
        <v>281.48</v>
      </c>
      <c r="J1171">
        <v>0.27</v>
      </c>
      <c r="K1171" s="3">
        <v>821.92160000000001</v>
      </c>
      <c r="L1171" t="s">
        <v>854</v>
      </c>
      <c r="M1171" t="str">
        <f>VLOOKUP($E1171,Customer_Dim!$A$2:$F$501,3,FALSE)</f>
        <v>Male</v>
      </c>
      <c r="N1171" t="str">
        <f>VLOOKUP($E1171,Customer_Dim!$A$2:$F$501,5,FALSE)</f>
        <v>USA</v>
      </c>
      <c r="O1171" t="str">
        <f>VLOOKUP($E1171,Customer_Dim!$A$2:$F$501,6,FALSE)</f>
        <v>Platinum</v>
      </c>
      <c r="P1171" t="str">
        <f>VLOOKUP($A1171,Store_Dim!$A$2:$F$21,3,FALSE)</f>
        <v>EastVasquezborough</v>
      </c>
    </row>
    <row r="1172" spans="1:16" x14ac:dyDescent="0.25">
      <c r="A1172" t="s">
        <v>841</v>
      </c>
      <c r="B1172" t="s">
        <v>1106</v>
      </c>
      <c r="C1172" t="s">
        <v>772</v>
      </c>
      <c r="D1172" s="2">
        <v>45925</v>
      </c>
      <c r="E1172" t="s">
        <v>516</v>
      </c>
      <c r="F1172" t="str">
        <f>VLOOKUP($C1172,Product_Dim!$A$2:$D$101,3,FALSE)</f>
        <v>Flores-King</v>
      </c>
      <c r="G1172" t="str">
        <f>VLOOKUP($C1172,Product_Dim!$A$2:$D$101,2,FALSE)</f>
        <v>Electronics</v>
      </c>
      <c r="H1172">
        <v>1</v>
      </c>
      <c r="I1172">
        <v>549.52</v>
      </c>
      <c r="J1172">
        <v>0.1</v>
      </c>
      <c r="K1172" s="3">
        <v>494.56799999999998</v>
      </c>
      <c r="L1172" t="s">
        <v>854</v>
      </c>
      <c r="M1172" t="str">
        <f>VLOOKUP($E1172,Customer_Dim!$A$2:$F$501,3,FALSE)</f>
        <v>Male</v>
      </c>
      <c r="N1172" t="str">
        <f>VLOOKUP($E1172,Customer_Dim!$A$2:$F$501,5,FALSE)</f>
        <v>USA</v>
      </c>
      <c r="O1172" t="str">
        <f>VLOOKUP($E1172,Customer_Dim!$A$2:$F$501,6,FALSE)</f>
        <v>Bronze</v>
      </c>
      <c r="P1172" t="str">
        <f>VLOOKUP($A1172,Store_Dim!$A$2:$F$21,3,FALSE)</f>
        <v>EastVasquezborough</v>
      </c>
    </row>
    <row r="1173" spans="1:16" x14ac:dyDescent="0.25">
      <c r="A1173" t="s">
        <v>841</v>
      </c>
      <c r="B1173" t="s">
        <v>2849</v>
      </c>
      <c r="C1173" t="s">
        <v>774</v>
      </c>
      <c r="D1173" s="2">
        <v>45264</v>
      </c>
      <c r="E1173" t="s">
        <v>251</v>
      </c>
      <c r="F1173" t="str">
        <f>VLOOKUP($C1173,Product_Dim!$A$2:$D$101,3,FALSE)</f>
        <v>Campbell Ltd</v>
      </c>
      <c r="G1173" t="str">
        <f>VLOOKUP($C1173,Product_Dim!$A$2:$D$101,2,FALSE)</f>
        <v>Home</v>
      </c>
      <c r="H1173">
        <v>3</v>
      </c>
      <c r="I1173">
        <v>112.77</v>
      </c>
      <c r="J1173">
        <v>0.19</v>
      </c>
      <c r="K1173" s="3">
        <v>274.03109999999998</v>
      </c>
      <c r="L1173" t="s">
        <v>852</v>
      </c>
      <c r="M1173" t="str">
        <f>VLOOKUP($E1173,Customer_Dim!$A$2:$F$501,3,FALSE)</f>
        <v>Male</v>
      </c>
      <c r="N1173" t="str">
        <f>VLOOKUP($E1173,Customer_Dim!$A$2:$F$501,5,FALSE)</f>
        <v>USA</v>
      </c>
      <c r="O1173" t="str">
        <f>VLOOKUP($E1173,Customer_Dim!$A$2:$F$501,6,FALSE)</f>
        <v>Silver</v>
      </c>
      <c r="P1173" t="str">
        <f>VLOOKUP($A1173,Store_Dim!$A$2:$F$21,3,FALSE)</f>
        <v>EastVasquezborough</v>
      </c>
    </row>
    <row r="1174" spans="1:16" hidden="1" x14ac:dyDescent="0.25">
      <c r="A1174" t="s">
        <v>789</v>
      </c>
      <c r="B1174" t="s">
        <v>1416</v>
      </c>
      <c r="C1174" t="s">
        <v>574</v>
      </c>
      <c r="D1174" s="2">
        <v>45715</v>
      </c>
      <c r="E1174" t="s">
        <v>61</v>
      </c>
      <c r="F1174" t="str">
        <f>VLOOKUP($C1174,Product_Dim!$A$2:$D$101,3,FALSE)</f>
        <v>Terry-Moore</v>
      </c>
      <c r="G1174" t="str">
        <f>VLOOKUP($C1174,Product_Dim!$A$2:$D$101,2,FALSE)</f>
        <v>Clothing</v>
      </c>
      <c r="H1174">
        <v>4</v>
      </c>
      <c r="I1174">
        <v>204.8</v>
      </c>
      <c r="J1174">
        <v>0.03</v>
      </c>
      <c r="K1174" s="3">
        <v>794.62400000000002</v>
      </c>
      <c r="L1174" t="s">
        <v>854</v>
      </c>
      <c r="M1174" t="str">
        <f>VLOOKUP($E1174,Customer_Dim!$A$2:$F$501,3,FALSE)</f>
        <v>Female</v>
      </c>
      <c r="N1174" t="str">
        <f>VLOOKUP($E1174,Customer_Dim!$A$2:$F$501,5,FALSE)</f>
        <v>USA</v>
      </c>
      <c r="O1174" t="str">
        <f>VLOOKUP($E1174,Customer_Dim!$A$2:$F$501,6,FALSE)</f>
        <v>Gold</v>
      </c>
      <c r="P1174" t="str">
        <f>VLOOKUP($A1174,Store_Dim!$A$2:$F$21,3,FALSE)</f>
        <v>SouthNorth Nancyview</v>
      </c>
    </row>
    <row r="1175" spans="1:16" hidden="1" x14ac:dyDescent="0.25">
      <c r="A1175" t="s">
        <v>789</v>
      </c>
      <c r="B1175" t="s">
        <v>2706</v>
      </c>
      <c r="C1175" t="s">
        <v>574</v>
      </c>
      <c r="D1175" s="2">
        <v>45635</v>
      </c>
      <c r="E1175" t="s">
        <v>438</v>
      </c>
      <c r="F1175" t="str">
        <f>VLOOKUP($C1175,Product_Dim!$A$2:$D$101,3,FALSE)</f>
        <v>Terry-Moore</v>
      </c>
      <c r="G1175" t="str">
        <f>VLOOKUP($C1175,Product_Dim!$A$2:$D$101,2,FALSE)</f>
        <v>Clothing</v>
      </c>
      <c r="H1175">
        <v>3</v>
      </c>
      <c r="I1175">
        <v>268.95</v>
      </c>
      <c r="J1175">
        <v>0.04</v>
      </c>
      <c r="K1175" s="3">
        <v>774.57599999999991</v>
      </c>
      <c r="L1175" t="s">
        <v>854</v>
      </c>
      <c r="M1175" t="str">
        <f>VLOOKUP($E1175,Customer_Dim!$A$2:$F$501,3,FALSE)</f>
        <v>Female</v>
      </c>
      <c r="N1175" t="str">
        <f>VLOOKUP($E1175,Customer_Dim!$A$2:$F$501,5,FALSE)</f>
        <v>USA</v>
      </c>
      <c r="O1175" t="str">
        <f>VLOOKUP($E1175,Customer_Dim!$A$2:$F$501,6,FALSE)</f>
        <v>Platinum</v>
      </c>
      <c r="P1175" t="str">
        <f>VLOOKUP($A1175,Store_Dim!$A$2:$F$21,3,FALSE)</f>
        <v>SouthNorth Nancyview</v>
      </c>
    </row>
    <row r="1176" spans="1:16" x14ac:dyDescent="0.25">
      <c r="A1176" t="s">
        <v>789</v>
      </c>
      <c r="B1176" t="s">
        <v>921</v>
      </c>
      <c r="C1176" t="s">
        <v>600</v>
      </c>
      <c r="D1176" s="2">
        <v>45255</v>
      </c>
      <c r="E1176" t="s">
        <v>550</v>
      </c>
      <c r="F1176" t="str">
        <f>VLOOKUP($C1176,Product_Dim!$A$2:$D$101,3,FALSE)</f>
        <v>Rice LLC</v>
      </c>
      <c r="G1176" t="str">
        <f>VLOOKUP($C1176,Product_Dim!$A$2:$D$101,2,FALSE)</f>
        <v>Beauty</v>
      </c>
      <c r="H1176">
        <v>1</v>
      </c>
      <c r="I1176">
        <v>989.17</v>
      </c>
      <c r="J1176">
        <v>0.2</v>
      </c>
      <c r="K1176" s="3">
        <v>791.33600000000001</v>
      </c>
      <c r="L1176" t="s">
        <v>854</v>
      </c>
      <c r="M1176" t="str">
        <f>VLOOKUP($E1176,Customer_Dim!$A$2:$F$501,3,FALSE)</f>
        <v>Male</v>
      </c>
      <c r="N1176" t="str">
        <f>VLOOKUP($E1176,Customer_Dim!$A$2:$F$501,5,FALSE)</f>
        <v>USA</v>
      </c>
      <c r="O1176" t="str">
        <f>VLOOKUP($E1176,Customer_Dim!$A$2:$F$501,6,FALSE)</f>
        <v>Gold</v>
      </c>
      <c r="P1176" t="str">
        <f>VLOOKUP($A1176,Store_Dim!$A$2:$F$21,3,FALSE)</f>
        <v>SouthNorth Nancyview</v>
      </c>
    </row>
    <row r="1177" spans="1:16" hidden="1" x14ac:dyDescent="0.25">
      <c r="A1177" t="s">
        <v>789</v>
      </c>
      <c r="B1177" t="s">
        <v>2262</v>
      </c>
      <c r="C1177" t="s">
        <v>602</v>
      </c>
      <c r="D1177" s="2">
        <v>45679</v>
      </c>
      <c r="E1177" t="s">
        <v>199</v>
      </c>
      <c r="F1177" t="str">
        <f>VLOOKUP($C1177,Product_Dim!$A$2:$D$101,3,FALSE)</f>
        <v>Dawson-Perkins</v>
      </c>
      <c r="G1177" t="str">
        <f>VLOOKUP($C1177,Product_Dim!$A$2:$D$101,2,FALSE)</f>
        <v>Electronics</v>
      </c>
      <c r="H1177">
        <v>1</v>
      </c>
      <c r="I1177">
        <v>908.5</v>
      </c>
      <c r="J1177">
        <v>0.2</v>
      </c>
      <c r="K1177" s="3">
        <v>726.80000000000007</v>
      </c>
      <c r="L1177" t="s">
        <v>857</v>
      </c>
      <c r="M1177" t="str">
        <f>VLOOKUP($E1177,Customer_Dim!$A$2:$F$501,3,FALSE)</f>
        <v>Female</v>
      </c>
      <c r="N1177" t="str">
        <f>VLOOKUP($E1177,Customer_Dim!$A$2:$F$501,5,FALSE)</f>
        <v>USA</v>
      </c>
      <c r="O1177" t="str">
        <f>VLOOKUP($E1177,Customer_Dim!$A$2:$F$501,6,FALSE)</f>
        <v>Platinum</v>
      </c>
      <c r="P1177" t="str">
        <f>VLOOKUP($A1177,Store_Dim!$A$2:$F$21,3,FALSE)</f>
        <v>SouthNorth Nancyview</v>
      </c>
    </row>
    <row r="1178" spans="1:16" hidden="1" x14ac:dyDescent="0.25">
      <c r="A1178" t="s">
        <v>789</v>
      </c>
      <c r="B1178" t="s">
        <v>882</v>
      </c>
      <c r="C1178" t="s">
        <v>602</v>
      </c>
      <c r="D1178" s="2">
        <v>45923</v>
      </c>
      <c r="E1178" t="s">
        <v>212</v>
      </c>
      <c r="F1178" t="str">
        <f>VLOOKUP($C1178,Product_Dim!$A$2:$D$101,3,FALSE)</f>
        <v>Dawson-Perkins</v>
      </c>
      <c r="G1178" t="str">
        <f>VLOOKUP($C1178,Product_Dim!$A$2:$D$101,2,FALSE)</f>
        <v>Electronics</v>
      </c>
      <c r="H1178">
        <v>2</v>
      </c>
      <c r="I1178">
        <v>74.209999999999994</v>
      </c>
      <c r="J1178">
        <v>0.11</v>
      </c>
      <c r="K1178" s="3">
        <v>132.09379999999999</v>
      </c>
      <c r="L1178" t="s">
        <v>854</v>
      </c>
      <c r="M1178" t="str">
        <f>VLOOKUP($E1178,Customer_Dim!$A$2:$F$501,3,FALSE)</f>
        <v>Female</v>
      </c>
      <c r="N1178" t="str">
        <f>VLOOKUP($E1178,Customer_Dim!$A$2:$F$501,5,FALSE)</f>
        <v>USA</v>
      </c>
      <c r="O1178" t="str">
        <f>VLOOKUP($E1178,Customer_Dim!$A$2:$F$501,6,FALSE)</f>
        <v>Bronze</v>
      </c>
      <c r="P1178" t="str">
        <f>VLOOKUP($A1178,Store_Dim!$A$2:$F$21,3,FALSE)</f>
        <v>SouthNorth Nancyview</v>
      </c>
    </row>
    <row r="1179" spans="1:16" hidden="1" x14ac:dyDescent="0.25">
      <c r="A1179" t="s">
        <v>789</v>
      </c>
      <c r="B1179" t="s">
        <v>1361</v>
      </c>
      <c r="C1179" t="s">
        <v>602</v>
      </c>
      <c r="D1179" s="2">
        <v>45346</v>
      </c>
      <c r="E1179" t="s">
        <v>277</v>
      </c>
      <c r="F1179" t="str">
        <f>VLOOKUP($C1179,Product_Dim!$A$2:$D$101,3,FALSE)</f>
        <v>Dawson-Perkins</v>
      </c>
      <c r="G1179" t="str">
        <f>VLOOKUP($C1179,Product_Dim!$A$2:$D$101,2,FALSE)</f>
        <v>Electronics</v>
      </c>
      <c r="H1179">
        <v>4</v>
      </c>
      <c r="I1179">
        <v>284.24</v>
      </c>
      <c r="J1179">
        <v>0.09</v>
      </c>
      <c r="K1179" s="3">
        <v>1034.6335999999999</v>
      </c>
      <c r="L1179" t="s">
        <v>852</v>
      </c>
      <c r="M1179" t="str">
        <f>VLOOKUP($E1179,Customer_Dim!$A$2:$F$501,3,FALSE)</f>
        <v>Female</v>
      </c>
      <c r="N1179" t="str">
        <f>VLOOKUP($E1179,Customer_Dim!$A$2:$F$501,5,FALSE)</f>
        <v>USA</v>
      </c>
      <c r="O1179" t="str">
        <f>VLOOKUP($E1179,Customer_Dim!$A$2:$F$501,6,FALSE)</f>
        <v>Platinum</v>
      </c>
      <c r="P1179" t="str">
        <f>VLOOKUP($A1179,Store_Dim!$A$2:$F$21,3,FALSE)</f>
        <v>SouthNorth Nancyview</v>
      </c>
    </row>
    <row r="1180" spans="1:16" x14ac:dyDescent="0.25">
      <c r="A1180" t="s">
        <v>789</v>
      </c>
      <c r="B1180" t="s">
        <v>2523</v>
      </c>
      <c r="C1180" t="s">
        <v>604</v>
      </c>
      <c r="D1180" s="2">
        <v>45862</v>
      </c>
      <c r="E1180" t="s">
        <v>98</v>
      </c>
      <c r="F1180" t="str">
        <f>VLOOKUP($C1180,Product_Dim!$A$2:$D$101,3,FALSE)</f>
        <v>Luna, Anderson and Bowman</v>
      </c>
      <c r="G1180" t="str">
        <f>VLOOKUP($C1180,Product_Dim!$A$2:$D$101,2,FALSE)</f>
        <v>Home</v>
      </c>
      <c r="H1180">
        <v>2</v>
      </c>
      <c r="I1180">
        <v>414.86</v>
      </c>
      <c r="J1180">
        <v>0.23</v>
      </c>
      <c r="K1180" s="3">
        <v>638.88440000000003</v>
      </c>
      <c r="L1180" t="s">
        <v>852</v>
      </c>
      <c r="M1180" t="str">
        <f>VLOOKUP($E1180,Customer_Dim!$A$2:$F$501,3,FALSE)</f>
        <v>Male</v>
      </c>
      <c r="N1180" t="str">
        <f>VLOOKUP($E1180,Customer_Dim!$A$2:$F$501,5,FALSE)</f>
        <v>USA</v>
      </c>
      <c r="O1180" t="str">
        <f>VLOOKUP($E1180,Customer_Dim!$A$2:$F$501,6,FALSE)</f>
        <v>Bronze</v>
      </c>
      <c r="P1180" t="str">
        <f>VLOOKUP($A1180,Store_Dim!$A$2:$F$21,3,FALSE)</f>
        <v>SouthNorth Nancyview</v>
      </c>
    </row>
    <row r="1181" spans="1:16" x14ac:dyDescent="0.25">
      <c r="A1181" t="s">
        <v>789</v>
      </c>
      <c r="B1181" t="s">
        <v>2816</v>
      </c>
      <c r="C1181" t="s">
        <v>608</v>
      </c>
      <c r="D1181" s="2">
        <v>45401</v>
      </c>
      <c r="E1181" t="s">
        <v>428</v>
      </c>
      <c r="F1181" t="str">
        <f>VLOOKUP($C1181,Product_Dim!$A$2:$D$101,3,FALSE)</f>
        <v>Erickson-Green</v>
      </c>
      <c r="G1181" t="str">
        <f>VLOOKUP($C1181,Product_Dim!$A$2:$D$101,2,FALSE)</f>
        <v>Beauty</v>
      </c>
      <c r="H1181">
        <v>4</v>
      </c>
      <c r="I1181">
        <v>268.3</v>
      </c>
      <c r="J1181">
        <v>0.02</v>
      </c>
      <c r="K1181" s="3">
        <v>1051.7360000000001</v>
      </c>
      <c r="L1181" t="s">
        <v>857</v>
      </c>
      <c r="M1181" t="str">
        <f>VLOOKUP($E1181,Customer_Dim!$A$2:$F$501,3,FALSE)</f>
        <v>Male</v>
      </c>
      <c r="N1181" t="str">
        <f>VLOOKUP($E1181,Customer_Dim!$A$2:$F$501,5,FALSE)</f>
        <v>USA</v>
      </c>
      <c r="O1181" t="str">
        <f>VLOOKUP($E1181,Customer_Dim!$A$2:$F$501,6,FALSE)</f>
        <v>Platinum</v>
      </c>
      <c r="P1181" t="str">
        <f>VLOOKUP($A1181,Store_Dim!$A$2:$F$21,3,FALSE)</f>
        <v>SouthNorth Nancyview</v>
      </c>
    </row>
    <row r="1182" spans="1:16" x14ac:dyDescent="0.25">
      <c r="A1182" t="s">
        <v>789</v>
      </c>
      <c r="B1182" t="s">
        <v>2760</v>
      </c>
      <c r="C1182" t="s">
        <v>610</v>
      </c>
      <c r="D1182" s="2">
        <v>45289</v>
      </c>
      <c r="E1182" t="s">
        <v>258</v>
      </c>
      <c r="F1182" t="str">
        <f>VLOOKUP($C1182,Product_Dim!$A$2:$D$101,3,FALSE)</f>
        <v>Ford, Murphy and Wilson</v>
      </c>
      <c r="G1182" t="str">
        <f>VLOOKUP($C1182,Product_Dim!$A$2:$D$101,2,FALSE)</f>
        <v>Sports</v>
      </c>
      <c r="H1182">
        <v>3</v>
      </c>
      <c r="I1182">
        <v>988.53</v>
      </c>
      <c r="J1182">
        <v>0.3</v>
      </c>
      <c r="K1182" s="3">
        <v>2075.913</v>
      </c>
      <c r="L1182" t="s">
        <v>857</v>
      </c>
      <c r="M1182" t="str">
        <f>VLOOKUP($E1182,Customer_Dim!$A$2:$F$501,3,FALSE)</f>
        <v>Male</v>
      </c>
      <c r="N1182" t="str">
        <f>VLOOKUP($E1182,Customer_Dim!$A$2:$F$501,5,FALSE)</f>
        <v>USA</v>
      </c>
      <c r="O1182" t="str">
        <f>VLOOKUP($E1182,Customer_Dim!$A$2:$F$501,6,FALSE)</f>
        <v>Gold</v>
      </c>
      <c r="P1182" t="str">
        <f>VLOOKUP($A1182,Store_Dim!$A$2:$F$21,3,FALSE)</f>
        <v>SouthNorth Nancyview</v>
      </c>
    </row>
    <row r="1183" spans="1:16" hidden="1" x14ac:dyDescent="0.25">
      <c r="A1183" t="s">
        <v>789</v>
      </c>
      <c r="B1183" t="s">
        <v>2247</v>
      </c>
      <c r="C1183" t="s">
        <v>577</v>
      </c>
      <c r="D1183" s="2">
        <v>45243</v>
      </c>
      <c r="E1183" t="s">
        <v>495</v>
      </c>
      <c r="F1183" t="str">
        <f>VLOOKUP($C1183,Product_Dim!$A$2:$D$101,3,FALSE)</f>
        <v>Sims Inc</v>
      </c>
      <c r="G1183" t="str">
        <f>VLOOKUP($C1183,Product_Dim!$A$2:$D$101,2,FALSE)</f>
        <v>Clothing</v>
      </c>
      <c r="H1183">
        <v>1</v>
      </c>
      <c r="I1183">
        <v>493.45</v>
      </c>
      <c r="J1183">
        <v>0.09</v>
      </c>
      <c r="K1183" s="3">
        <v>449.03949999999998</v>
      </c>
      <c r="L1183" t="s">
        <v>852</v>
      </c>
      <c r="M1183" t="str">
        <f>VLOOKUP($E1183,Customer_Dim!$A$2:$F$501,3,FALSE)</f>
        <v>Female</v>
      </c>
      <c r="N1183" t="str">
        <f>VLOOKUP($E1183,Customer_Dim!$A$2:$F$501,5,FALSE)</f>
        <v>USA</v>
      </c>
      <c r="O1183" t="str">
        <f>VLOOKUP($E1183,Customer_Dim!$A$2:$F$501,6,FALSE)</f>
        <v>Bronze</v>
      </c>
      <c r="P1183" t="str">
        <f>VLOOKUP($A1183,Store_Dim!$A$2:$F$21,3,FALSE)</f>
        <v>SouthNorth Nancyview</v>
      </c>
    </row>
    <row r="1184" spans="1:16" hidden="1" x14ac:dyDescent="0.25">
      <c r="A1184" t="s">
        <v>789</v>
      </c>
      <c r="B1184" t="s">
        <v>933</v>
      </c>
      <c r="C1184" t="s">
        <v>618</v>
      </c>
      <c r="D1184" s="2">
        <v>45268</v>
      </c>
      <c r="E1184" t="s">
        <v>178</v>
      </c>
      <c r="F1184" t="str">
        <f>VLOOKUP($C1184,Product_Dim!$A$2:$D$101,3,FALSE)</f>
        <v>Gardner-Montes</v>
      </c>
      <c r="G1184" t="str">
        <f>VLOOKUP($C1184,Product_Dim!$A$2:$D$101,2,FALSE)</f>
        <v>Home</v>
      </c>
      <c r="H1184">
        <v>1</v>
      </c>
      <c r="I1184">
        <v>341.17</v>
      </c>
      <c r="J1184">
        <v>0.15</v>
      </c>
      <c r="K1184" s="3">
        <v>289.99450000000002</v>
      </c>
      <c r="L1184" t="s">
        <v>852</v>
      </c>
      <c r="M1184" t="str">
        <f>VLOOKUP($E1184,Customer_Dim!$A$2:$F$501,3,FALSE)</f>
        <v>Female</v>
      </c>
      <c r="N1184" t="str">
        <f>VLOOKUP($E1184,Customer_Dim!$A$2:$F$501,5,FALSE)</f>
        <v>USA</v>
      </c>
      <c r="O1184" t="str">
        <f>VLOOKUP($E1184,Customer_Dim!$A$2:$F$501,6,FALSE)</f>
        <v>Platinum</v>
      </c>
      <c r="P1184" t="str">
        <f>VLOOKUP($A1184,Store_Dim!$A$2:$F$21,3,FALSE)</f>
        <v>SouthNorth Nancyview</v>
      </c>
    </row>
    <row r="1185" spans="1:16" x14ac:dyDescent="0.25">
      <c r="A1185" t="s">
        <v>789</v>
      </c>
      <c r="B1185" t="s">
        <v>1545</v>
      </c>
      <c r="C1185" t="s">
        <v>620</v>
      </c>
      <c r="D1185" s="2">
        <v>45857</v>
      </c>
      <c r="E1185" t="s">
        <v>187</v>
      </c>
      <c r="F1185" t="str">
        <f>VLOOKUP($C1185,Product_Dim!$A$2:$D$101,3,FALSE)</f>
        <v>Flores, Pineda and Rodriguez</v>
      </c>
      <c r="G1185" t="str">
        <f>VLOOKUP($C1185,Product_Dim!$A$2:$D$101,2,FALSE)</f>
        <v>Sports</v>
      </c>
      <c r="H1185">
        <v>2</v>
      </c>
      <c r="I1185">
        <v>419.25</v>
      </c>
      <c r="J1185">
        <v>0.17</v>
      </c>
      <c r="K1185" s="3">
        <v>695.95499999999993</v>
      </c>
      <c r="L1185" t="s">
        <v>854</v>
      </c>
      <c r="M1185" t="str">
        <f>VLOOKUP($E1185,Customer_Dim!$A$2:$F$501,3,FALSE)</f>
        <v>Male</v>
      </c>
      <c r="N1185" t="str">
        <f>VLOOKUP($E1185,Customer_Dim!$A$2:$F$501,5,FALSE)</f>
        <v>USA</v>
      </c>
      <c r="O1185" t="str">
        <f>VLOOKUP($E1185,Customer_Dim!$A$2:$F$501,6,FALSE)</f>
        <v>Bronze</v>
      </c>
      <c r="P1185" t="str">
        <f>VLOOKUP($A1185,Store_Dim!$A$2:$F$21,3,FALSE)</f>
        <v>SouthNorth Nancyview</v>
      </c>
    </row>
    <row r="1186" spans="1:16" x14ac:dyDescent="0.25">
      <c r="A1186" t="s">
        <v>789</v>
      </c>
      <c r="B1186" t="s">
        <v>2204</v>
      </c>
      <c r="C1186" t="s">
        <v>622</v>
      </c>
      <c r="D1186" s="2">
        <v>45529</v>
      </c>
      <c r="E1186" t="s">
        <v>457</v>
      </c>
      <c r="F1186" t="str">
        <f>VLOOKUP($C1186,Product_Dim!$A$2:$D$101,3,FALSE)</f>
        <v>Moon, Mora and Santos</v>
      </c>
      <c r="G1186" t="str">
        <f>VLOOKUP($C1186,Product_Dim!$A$2:$D$101,2,FALSE)</f>
        <v>Clothing</v>
      </c>
      <c r="H1186">
        <v>3</v>
      </c>
      <c r="I1186">
        <v>152.41</v>
      </c>
      <c r="J1186">
        <v>0.25</v>
      </c>
      <c r="K1186" s="3">
        <v>342.92250000000001</v>
      </c>
      <c r="L1186" t="s">
        <v>852</v>
      </c>
      <c r="M1186" t="str">
        <f>VLOOKUP($E1186,Customer_Dim!$A$2:$F$501,3,FALSE)</f>
        <v>Male</v>
      </c>
      <c r="N1186" t="str">
        <f>VLOOKUP($E1186,Customer_Dim!$A$2:$F$501,5,FALSE)</f>
        <v>USA</v>
      </c>
      <c r="O1186" t="str">
        <f>VLOOKUP($E1186,Customer_Dim!$A$2:$F$501,6,FALSE)</f>
        <v>Silver</v>
      </c>
      <c r="P1186" t="str">
        <f>VLOOKUP($A1186,Store_Dim!$A$2:$F$21,3,FALSE)</f>
        <v>SouthNorth Nancyview</v>
      </c>
    </row>
    <row r="1187" spans="1:16" x14ac:dyDescent="0.25">
      <c r="A1187" t="s">
        <v>789</v>
      </c>
      <c r="B1187" t="s">
        <v>2076</v>
      </c>
      <c r="C1187" t="s">
        <v>626</v>
      </c>
      <c r="D1187" s="2">
        <v>45384</v>
      </c>
      <c r="E1187" t="s">
        <v>139</v>
      </c>
      <c r="F1187" t="str">
        <f>VLOOKUP($C1187,Product_Dim!$A$2:$D$101,3,FALSE)</f>
        <v>Brown and Sons</v>
      </c>
      <c r="G1187" t="str">
        <f>VLOOKUP($C1187,Product_Dim!$A$2:$D$101,2,FALSE)</f>
        <v>Clothing</v>
      </c>
      <c r="H1187">
        <v>3</v>
      </c>
      <c r="I1187">
        <v>377.69</v>
      </c>
      <c r="J1187">
        <v>7.0000000000000007E-2</v>
      </c>
      <c r="K1187" s="3">
        <v>1053.7551000000001</v>
      </c>
      <c r="L1187" t="s">
        <v>854</v>
      </c>
      <c r="M1187" t="str">
        <f>VLOOKUP($E1187,Customer_Dim!$A$2:$F$501,3,FALSE)</f>
        <v>Male</v>
      </c>
      <c r="N1187" t="str">
        <f>VLOOKUP($E1187,Customer_Dim!$A$2:$F$501,5,FALSE)</f>
        <v>USA</v>
      </c>
      <c r="O1187" t="str">
        <f>VLOOKUP($E1187,Customer_Dim!$A$2:$F$501,6,FALSE)</f>
        <v>Bronze</v>
      </c>
      <c r="P1187" t="str">
        <f>VLOOKUP($A1187,Store_Dim!$A$2:$F$21,3,FALSE)</f>
        <v>SouthNorth Nancyview</v>
      </c>
    </row>
    <row r="1188" spans="1:16" x14ac:dyDescent="0.25">
      <c r="A1188" t="s">
        <v>789</v>
      </c>
      <c r="B1188" t="s">
        <v>2317</v>
      </c>
      <c r="C1188" t="s">
        <v>628</v>
      </c>
      <c r="D1188" s="2">
        <v>45890</v>
      </c>
      <c r="E1188" t="s">
        <v>234</v>
      </c>
      <c r="F1188" t="str">
        <f>VLOOKUP($C1188,Product_Dim!$A$2:$D$101,3,FALSE)</f>
        <v>Reed-Schmidt</v>
      </c>
      <c r="G1188" t="str">
        <f>VLOOKUP($C1188,Product_Dim!$A$2:$D$101,2,FALSE)</f>
        <v>Electronics</v>
      </c>
      <c r="H1188">
        <v>2</v>
      </c>
      <c r="I1188">
        <v>182.89</v>
      </c>
      <c r="J1188">
        <v>0.11</v>
      </c>
      <c r="K1188" s="3">
        <v>325.54419999999999</v>
      </c>
      <c r="L1188" t="s">
        <v>852</v>
      </c>
      <c r="M1188" t="str">
        <f>VLOOKUP($E1188,Customer_Dim!$A$2:$F$501,3,FALSE)</f>
        <v>Male</v>
      </c>
      <c r="N1188" t="str">
        <f>VLOOKUP($E1188,Customer_Dim!$A$2:$F$501,5,FALSE)</f>
        <v>USA</v>
      </c>
      <c r="O1188" t="str">
        <f>VLOOKUP($E1188,Customer_Dim!$A$2:$F$501,6,FALSE)</f>
        <v>Gold</v>
      </c>
      <c r="P1188" t="str">
        <f>VLOOKUP($A1188,Store_Dim!$A$2:$F$21,3,FALSE)</f>
        <v>SouthNorth Nancyview</v>
      </c>
    </row>
    <row r="1189" spans="1:16" hidden="1" x14ac:dyDescent="0.25">
      <c r="A1189" t="s">
        <v>789</v>
      </c>
      <c r="B1189" t="s">
        <v>1027</v>
      </c>
      <c r="C1189" t="s">
        <v>628</v>
      </c>
      <c r="D1189" s="2">
        <v>45314</v>
      </c>
      <c r="E1189" t="s">
        <v>552</v>
      </c>
      <c r="F1189" t="str">
        <f>VLOOKUP($C1189,Product_Dim!$A$2:$D$101,3,FALSE)</f>
        <v>Reed-Schmidt</v>
      </c>
      <c r="G1189" t="str">
        <f>VLOOKUP($C1189,Product_Dim!$A$2:$D$101,2,FALSE)</f>
        <v>Electronics</v>
      </c>
      <c r="H1189">
        <v>2</v>
      </c>
      <c r="I1189">
        <v>593.47</v>
      </c>
      <c r="J1189">
        <v>0.1</v>
      </c>
      <c r="K1189" s="3">
        <v>1068.2460000000001</v>
      </c>
      <c r="L1189" t="s">
        <v>857</v>
      </c>
      <c r="M1189" t="str">
        <f>VLOOKUP($E1189,Customer_Dim!$A$2:$F$501,3,FALSE)</f>
        <v>Female</v>
      </c>
      <c r="N1189" t="str">
        <f>VLOOKUP($E1189,Customer_Dim!$A$2:$F$501,5,FALSE)</f>
        <v>USA</v>
      </c>
      <c r="O1189" t="str">
        <f>VLOOKUP($E1189,Customer_Dim!$A$2:$F$501,6,FALSE)</f>
        <v>Bronze</v>
      </c>
      <c r="P1189" t="str">
        <f>VLOOKUP($A1189,Store_Dim!$A$2:$F$21,3,FALSE)</f>
        <v>SouthNorth Nancyview</v>
      </c>
    </row>
    <row r="1190" spans="1:16" x14ac:dyDescent="0.25">
      <c r="A1190" t="s">
        <v>789</v>
      </c>
      <c r="B1190" t="s">
        <v>1662</v>
      </c>
      <c r="C1190" t="s">
        <v>632</v>
      </c>
      <c r="D1190" s="2">
        <v>45623</v>
      </c>
      <c r="E1190" t="s">
        <v>288</v>
      </c>
      <c r="F1190" t="str">
        <f>VLOOKUP($C1190,Product_Dim!$A$2:$D$101,3,FALSE)</f>
        <v>Burns-Hansen</v>
      </c>
      <c r="G1190" t="str">
        <f>VLOOKUP($C1190,Product_Dim!$A$2:$D$101,2,FALSE)</f>
        <v>Sports</v>
      </c>
      <c r="H1190">
        <v>1</v>
      </c>
      <c r="I1190">
        <v>974.47</v>
      </c>
      <c r="J1190">
        <v>0.05</v>
      </c>
      <c r="K1190" s="3">
        <v>925.74649999999997</v>
      </c>
      <c r="L1190" t="s">
        <v>852</v>
      </c>
      <c r="M1190" t="str">
        <f>VLOOKUP($E1190,Customer_Dim!$A$2:$F$501,3,FALSE)</f>
        <v>Male</v>
      </c>
      <c r="N1190" t="str">
        <f>VLOOKUP($E1190,Customer_Dim!$A$2:$F$501,5,FALSE)</f>
        <v>USA</v>
      </c>
      <c r="O1190" t="str">
        <f>VLOOKUP($E1190,Customer_Dim!$A$2:$F$501,6,FALSE)</f>
        <v>Platinum</v>
      </c>
      <c r="P1190" t="str">
        <f>VLOOKUP($A1190,Store_Dim!$A$2:$F$21,3,FALSE)</f>
        <v>SouthNorth Nancyview</v>
      </c>
    </row>
    <row r="1191" spans="1:16" hidden="1" x14ac:dyDescent="0.25">
      <c r="A1191" t="s">
        <v>789</v>
      </c>
      <c r="B1191" t="s">
        <v>2831</v>
      </c>
      <c r="C1191" t="s">
        <v>634</v>
      </c>
      <c r="D1191" s="2">
        <v>45793</v>
      </c>
      <c r="E1191" t="s">
        <v>432</v>
      </c>
      <c r="F1191" t="str">
        <f>VLOOKUP($C1191,Product_Dim!$A$2:$D$101,3,FALSE)</f>
        <v>Hoffman Group</v>
      </c>
      <c r="G1191" t="str">
        <f>VLOOKUP($C1191,Product_Dim!$A$2:$D$101,2,FALSE)</f>
        <v>Home</v>
      </c>
      <c r="H1191">
        <v>1</v>
      </c>
      <c r="I1191">
        <v>722.57</v>
      </c>
      <c r="J1191">
        <v>0.18</v>
      </c>
      <c r="K1191" s="3">
        <v>592.50740000000008</v>
      </c>
      <c r="L1191" t="s">
        <v>852</v>
      </c>
      <c r="M1191" t="str">
        <f>VLOOKUP($E1191,Customer_Dim!$A$2:$F$501,3,FALSE)</f>
        <v>Female</v>
      </c>
      <c r="N1191" t="str">
        <f>VLOOKUP($E1191,Customer_Dim!$A$2:$F$501,5,FALSE)</f>
        <v>USA</v>
      </c>
      <c r="O1191" t="str">
        <f>VLOOKUP($E1191,Customer_Dim!$A$2:$F$501,6,FALSE)</f>
        <v>Platinum</v>
      </c>
      <c r="P1191" t="str">
        <f>VLOOKUP($A1191,Store_Dim!$A$2:$F$21,3,FALSE)</f>
        <v>SouthNorth Nancyview</v>
      </c>
    </row>
    <row r="1192" spans="1:16" x14ac:dyDescent="0.25">
      <c r="A1192" t="s">
        <v>789</v>
      </c>
      <c r="B1192" t="s">
        <v>1588</v>
      </c>
      <c r="C1192" t="s">
        <v>579</v>
      </c>
      <c r="D1192" s="2">
        <v>45371</v>
      </c>
      <c r="E1192" t="s">
        <v>263</v>
      </c>
      <c r="F1192" t="str">
        <f>VLOOKUP($C1192,Product_Dim!$A$2:$D$101,3,FALSE)</f>
        <v>Pineda Ltd</v>
      </c>
      <c r="G1192" t="str">
        <f>VLOOKUP($C1192,Product_Dim!$A$2:$D$101,2,FALSE)</f>
        <v>Clothing</v>
      </c>
      <c r="H1192">
        <v>2</v>
      </c>
      <c r="I1192">
        <v>371.03</v>
      </c>
      <c r="J1192">
        <v>0.23</v>
      </c>
      <c r="K1192" s="3">
        <v>571.38619999999992</v>
      </c>
      <c r="L1192" t="s">
        <v>854</v>
      </c>
      <c r="M1192" t="str">
        <f>VLOOKUP($E1192,Customer_Dim!$A$2:$F$501,3,FALSE)</f>
        <v>Male</v>
      </c>
      <c r="N1192" t="str">
        <f>VLOOKUP($E1192,Customer_Dim!$A$2:$F$501,5,FALSE)</f>
        <v>USA</v>
      </c>
      <c r="O1192" t="str">
        <f>VLOOKUP($E1192,Customer_Dim!$A$2:$F$501,6,FALSE)</f>
        <v>Bronze</v>
      </c>
      <c r="P1192" t="str">
        <f>VLOOKUP($A1192,Store_Dim!$A$2:$F$21,3,FALSE)</f>
        <v>SouthNorth Nancyview</v>
      </c>
    </row>
    <row r="1193" spans="1:16" hidden="1" x14ac:dyDescent="0.25">
      <c r="A1193" t="s">
        <v>789</v>
      </c>
      <c r="B1193" t="s">
        <v>1332</v>
      </c>
      <c r="C1193" t="s">
        <v>636</v>
      </c>
      <c r="D1193" s="2">
        <v>45924</v>
      </c>
      <c r="E1193" t="s">
        <v>374</v>
      </c>
      <c r="F1193" t="str">
        <f>VLOOKUP($C1193,Product_Dim!$A$2:$D$101,3,FALSE)</f>
        <v>Stevens, Fernandez and Martin</v>
      </c>
      <c r="G1193" t="str">
        <f>VLOOKUP($C1193,Product_Dim!$A$2:$D$101,2,FALSE)</f>
        <v>Home</v>
      </c>
      <c r="H1193">
        <v>1</v>
      </c>
      <c r="I1193">
        <v>790.73</v>
      </c>
      <c r="J1193">
        <v>0.24</v>
      </c>
      <c r="K1193" s="3">
        <v>600.95479999999998</v>
      </c>
      <c r="L1193" t="s">
        <v>854</v>
      </c>
      <c r="M1193" t="str">
        <f>VLOOKUP($E1193,Customer_Dim!$A$2:$F$501,3,FALSE)</f>
        <v>Female</v>
      </c>
      <c r="N1193" t="str">
        <f>VLOOKUP($E1193,Customer_Dim!$A$2:$F$501,5,FALSE)</f>
        <v>USA</v>
      </c>
      <c r="O1193" t="str">
        <f>VLOOKUP($E1193,Customer_Dim!$A$2:$F$501,6,FALSE)</f>
        <v>Bronze</v>
      </c>
      <c r="P1193" t="str">
        <f>VLOOKUP($A1193,Store_Dim!$A$2:$F$21,3,FALSE)</f>
        <v>SouthNorth Nancyview</v>
      </c>
    </row>
    <row r="1194" spans="1:16" hidden="1" x14ac:dyDescent="0.25">
      <c r="A1194" t="s">
        <v>789</v>
      </c>
      <c r="B1194" t="s">
        <v>2778</v>
      </c>
      <c r="C1194" t="s">
        <v>636</v>
      </c>
      <c r="D1194" s="2">
        <v>45849</v>
      </c>
      <c r="E1194" t="s">
        <v>501</v>
      </c>
      <c r="F1194" t="str">
        <f>VLOOKUP($C1194,Product_Dim!$A$2:$D$101,3,FALSE)</f>
        <v>Stevens, Fernandez and Martin</v>
      </c>
      <c r="G1194" t="str">
        <f>VLOOKUP($C1194,Product_Dim!$A$2:$D$101,2,FALSE)</f>
        <v>Home</v>
      </c>
      <c r="H1194">
        <v>1</v>
      </c>
      <c r="I1194">
        <v>788.45</v>
      </c>
      <c r="J1194">
        <v>0.28999999999999998</v>
      </c>
      <c r="K1194" s="3">
        <v>559.79949999999997</v>
      </c>
      <c r="L1194" t="s">
        <v>854</v>
      </c>
      <c r="M1194" t="str">
        <f>VLOOKUP($E1194,Customer_Dim!$A$2:$F$501,3,FALSE)</f>
        <v>Female</v>
      </c>
      <c r="N1194" t="str">
        <f>VLOOKUP($E1194,Customer_Dim!$A$2:$F$501,5,FALSE)</f>
        <v>USA</v>
      </c>
      <c r="O1194" t="str">
        <f>VLOOKUP($E1194,Customer_Dim!$A$2:$F$501,6,FALSE)</f>
        <v>Gold</v>
      </c>
      <c r="P1194" t="str">
        <f>VLOOKUP($A1194,Store_Dim!$A$2:$F$21,3,FALSE)</f>
        <v>SouthNorth Nancyview</v>
      </c>
    </row>
    <row r="1195" spans="1:16" hidden="1" x14ac:dyDescent="0.25">
      <c r="A1195" t="s">
        <v>789</v>
      </c>
      <c r="B1195" t="s">
        <v>1963</v>
      </c>
      <c r="C1195" t="s">
        <v>638</v>
      </c>
      <c r="D1195" s="2">
        <v>45387</v>
      </c>
      <c r="E1195" t="s">
        <v>405</v>
      </c>
      <c r="F1195" t="str">
        <f>VLOOKUP($C1195,Product_Dim!$A$2:$D$101,3,FALSE)</f>
        <v>Nolan-Snow</v>
      </c>
      <c r="G1195" t="str">
        <f>VLOOKUP($C1195,Product_Dim!$A$2:$D$101,2,FALSE)</f>
        <v>Sports</v>
      </c>
      <c r="H1195">
        <v>3</v>
      </c>
      <c r="I1195">
        <v>826.15</v>
      </c>
      <c r="J1195">
        <v>0</v>
      </c>
      <c r="K1195" s="3">
        <v>2478.4499999999998</v>
      </c>
      <c r="L1195" t="s">
        <v>854</v>
      </c>
      <c r="M1195" t="str">
        <f>VLOOKUP($E1195,Customer_Dim!$A$2:$F$501,3,FALSE)</f>
        <v>Female</v>
      </c>
      <c r="N1195" t="str">
        <f>VLOOKUP($E1195,Customer_Dim!$A$2:$F$501,5,FALSE)</f>
        <v>USA</v>
      </c>
      <c r="O1195" t="str">
        <f>VLOOKUP($E1195,Customer_Dim!$A$2:$F$501,6,FALSE)</f>
        <v>Silver</v>
      </c>
      <c r="P1195" t="str">
        <f>VLOOKUP($A1195,Store_Dim!$A$2:$F$21,3,FALSE)</f>
        <v>SouthNorth Nancyview</v>
      </c>
    </row>
    <row r="1196" spans="1:16" x14ac:dyDescent="0.25">
      <c r="A1196" t="s">
        <v>789</v>
      </c>
      <c r="B1196" t="s">
        <v>1113</v>
      </c>
      <c r="C1196" t="s">
        <v>646</v>
      </c>
      <c r="D1196" s="2">
        <v>45773</v>
      </c>
      <c r="E1196" t="s">
        <v>314</v>
      </c>
      <c r="F1196" t="str">
        <f>VLOOKUP($C1196,Product_Dim!$A$2:$D$101,3,FALSE)</f>
        <v>Jones LLC</v>
      </c>
      <c r="G1196" t="str">
        <f>VLOOKUP($C1196,Product_Dim!$A$2:$D$101,2,FALSE)</f>
        <v>Home</v>
      </c>
      <c r="H1196">
        <v>2</v>
      </c>
      <c r="I1196">
        <v>355.3</v>
      </c>
      <c r="J1196">
        <f>K1196/(H1196*I1196)</f>
        <v>0.83</v>
      </c>
      <c r="K1196" s="3">
        <v>589.798</v>
      </c>
      <c r="L1196" t="s">
        <v>854</v>
      </c>
      <c r="M1196" t="str">
        <f>VLOOKUP($E1196,Customer_Dim!$A$2:$F$501,3,FALSE)</f>
        <v>Male</v>
      </c>
      <c r="N1196" t="str">
        <f>VLOOKUP($E1196,Customer_Dim!$A$2:$F$501,5,FALSE)</f>
        <v>USA</v>
      </c>
      <c r="O1196" t="str">
        <f>VLOOKUP($E1196,Customer_Dim!$A$2:$F$501,6,FALSE)</f>
        <v>Gold</v>
      </c>
      <c r="P1196" t="str">
        <f>VLOOKUP($A1196,Store_Dim!$A$2:$F$21,3,FALSE)</f>
        <v>SouthNorth Nancyview</v>
      </c>
    </row>
    <row r="1197" spans="1:16" hidden="1" x14ac:dyDescent="0.25">
      <c r="A1197" t="s">
        <v>789</v>
      </c>
      <c r="B1197" t="s">
        <v>2798</v>
      </c>
      <c r="C1197" t="s">
        <v>652</v>
      </c>
      <c r="D1197" s="2">
        <v>45795</v>
      </c>
      <c r="E1197" t="s">
        <v>154</v>
      </c>
      <c r="F1197" t="str">
        <f>VLOOKUP($C1197,Product_Dim!$A$2:$D$101,3,FALSE)</f>
        <v>Sims-Smith</v>
      </c>
      <c r="G1197" t="str">
        <f>VLOOKUP($C1197,Product_Dim!$A$2:$D$101,2,FALSE)</f>
        <v>Sports</v>
      </c>
      <c r="H1197">
        <v>3</v>
      </c>
      <c r="I1197">
        <v>410.04</v>
      </c>
      <c r="J1197">
        <v>0.09</v>
      </c>
      <c r="K1197" s="3">
        <v>1119.4092000000001</v>
      </c>
      <c r="L1197" t="s">
        <v>857</v>
      </c>
      <c r="M1197" t="str">
        <f>VLOOKUP($E1197,Customer_Dim!$A$2:$F$501,3,FALSE)</f>
        <v>Female</v>
      </c>
      <c r="N1197" t="str">
        <f>VLOOKUP($E1197,Customer_Dim!$A$2:$F$501,5,FALSE)</f>
        <v>USA</v>
      </c>
      <c r="O1197" t="str">
        <f>VLOOKUP($E1197,Customer_Dim!$A$2:$F$501,6,FALSE)</f>
        <v>Gold</v>
      </c>
      <c r="P1197" t="str">
        <f>VLOOKUP($A1197,Store_Dim!$A$2:$F$21,3,FALSE)</f>
        <v>SouthNorth Nancyview</v>
      </c>
    </row>
    <row r="1198" spans="1:16" hidden="1" x14ac:dyDescent="0.25">
      <c r="A1198" t="s">
        <v>789</v>
      </c>
      <c r="B1198" t="s">
        <v>2313</v>
      </c>
      <c r="C1198" t="s">
        <v>654</v>
      </c>
      <c r="D1198" s="2">
        <v>45929</v>
      </c>
      <c r="E1198" t="s">
        <v>553</v>
      </c>
      <c r="F1198" t="str">
        <f>VLOOKUP($C1198,Product_Dim!$A$2:$D$101,3,FALSE)</f>
        <v>Cummings and Sons</v>
      </c>
      <c r="G1198" t="str">
        <f>VLOOKUP($C1198,Product_Dim!$A$2:$D$101,2,FALSE)</f>
        <v>Electronics</v>
      </c>
      <c r="H1198">
        <v>3</v>
      </c>
      <c r="I1198">
        <v>824.75</v>
      </c>
      <c r="J1198">
        <v>0.23</v>
      </c>
      <c r="K1198" s="3">
        <v>1905.1724999999999</v>
      </c>
      <c r="L1198" t="s">
        <v>852</v>
      </c>
      <c r="M1198" t="str">
        <f>VLOOKUP($E1198,Customer_Dim!$A$2:$F$501,3,FALSE)</f>
        <v>Female</v>
      </c>
      <c r="N1198" t="str">
        <f>VLOOKUP($E1198,Customer_Dim!$A$2:$F$501,5,FALSE)</f>
        <v>USA</v>
      </c>
      <c r="O1198" t="str">
        <f>VLOOKUP($E1198,Customer_Dim!$A$2:$F$501,6,FALSE)</f>
        <v>Bronze</v>
      </c>
      <c r="P1198" t="str">
        <f>VLOOKUP($A1198,Store_Dim!$A$2:$F$21,3,FALSE)</f>
        <v>SouthNorth Nancyview</v>
      </c>
    </row>
    <row r="1199" spans="1:16" hidden="1" x14ac:dyDescent="0.25">
      <c r="A1199" t="s">
        <v>789</v>
      </c>
      <c r="B1199" t="s">
        <v>1081</v>
      </c>
      <c r="C1199" t="s">
        <v>654</v>
      </c>
      <c r="D1199" s="2">
        <v>45406</v>
      </c>
      <c r="E1199" t="s">
        <v>566</v>
      </c>
      <c r="F1199" t="str">
        <f>VLOOKUP($C1199,Product_Dim!$A$2:$D$101,3,FALSE)</f>
        <v>Cummings and Sons</v>
      </c>
      <c r="G1199" t="str">
        <f>VLOOKUP($C1199,Product_Dim!$A$2:$D$101,2,FALSE)</f>
        <v>Electronics</v>
      </c>
      <c r="H1199">
        <v>2</v>
      </c>
      <c r="I1199">
        <v>999.89</v>
      </c>
      <c r="J1199">
        <v>0.09</v>
      </c>
      <c r="K1199" s="3">
        <v>1819.7998</v>
      </c>
      <c r="L1199" t="s">
        <v>852</v>
      </c>
      <c r="M1199" t="str">
        <f>VLOOKUP($E1199,Customer_Dim!$A$2:$F$501,3,FALSE)</f>
        <v>Female</v>
      </c>
      <c r="N1199" t="str">
        <f>VLOOKUP($E1199,Customer_Dim!$A$2:$F$501,5,FALSE)</f>
        <v>USA</v>
      </c>
      <c r="O1199" t="str">
        <f>VLOOKUP($E1199,Customer_Dim!$A$2:$F$501,6,FALSE)</f>
        <v>Platinum</v>
      </c>
      <c r="P1199" t="str">
        <f>VLOOKUP($A1199,Store_Dim!$A$2:$F$21,3,FALSE)</f>
        <v>SouthNorth Nancyview</v>
      </c>
    </row>
    <row r="1200" spans="1:16" hidden="1" x14ac:dyDescent="0.25">
      <c r="A1200" t="s">
        <v>789</v>
      </c>
      <c r="B1200" t="s">
        <v>1339</v>
      </c>
      <c r="C1200" t="s">
        <v>581</v>
      </c>
      <c r="D1200" s="2">
        <v>45919</v>
      </c>
      <c r="E1200" t="s">
        <v>91</v>
      </c>
      <c r="F1200" t="str">
        <f>VLOOKUP($C1200,Product_Dim!$A$2:$D$101,3,FALSE)</f>
        <v>Gonzales-Davis</v>
      </c>
      <c r="G1200" t="str">
        <f>VLOOKUP($C1200,Product_Dim!$A$2:$D$101,2,FALSE)</f>
        <v>Clothing</v>
      </c>
      <c r="H1200">
        <v>2</v>
      </c>
      <c r="I1200">
        <v>409</v>
      </c>
      <c r="J1200">
        <v>0.17</v>
      </c>
      <c r="K1200" s="3">
        <v>678.93999999999994</v>
      </c>
      <c r="L1200" t="s">
        <v>852</v>
      </c>
      <c r="M1200" t="str">
        <f>VLOOKUP($E1200,Customer_Dim!$A$2:$F$501,3,FALSE)</f>
        <v>Female</v>
      </c>
      <c r="N1200" t="str">
        <f>VLOOKUP($E1200,Customer_Dim!$A$2:$F$501,5,FALSE)</f>
        <v>USA</v>
      </c>
      <c r="O1200" t="str">
        <f>VLOOKUP($E1200,Customer_Dim!$A$2:$F$501,6,FALSE)</f>
        <v>Silver</v>
      </c>
      <c r="P1200" t="str">
        <f>VLOOKUP($A1200,Store_Dim!$A$2:$F$21,3,FALSE)</f>
        <v>SouthNorth Nancyview</v>
      </c>
    </row>
    <row r="1201" spans="1:16" x14ac:dyDescent="0.25">
      <c r="A1201" t="s">
        <v>789</v>
      </c>
      <c r="B1201" t="s">
        <v>2404</v>
      </c>
      <c r="C1201" t="s">
        <v>656</v>
      </c>
      <c r="D1201" s="2">
        <v>45258</v>
      </c>
      <c r="E1201" t="s">
        <v>503</v>
      </c>
      <c r="F1201" t="str">
        <f>VLOOKUP($C1201,Product_Dim!$A$2:$D$101,3,FALSE)</f>
        <v>Taylor-Hart</v>
      </c>
      <c r="G1201" t="str">
        <f>VLOOKUP($C1201,Product_Dim!$A$2:$D$101,2,FALSE)</f>
        <v>Electronics</v>
      </c>
      <c r="H1201">
        <v>4</v>
      </c>
      <c r="I1201">
        <v>54.4</v>
      </c>
      <c r="J1201">
        <v>0.22</v>
      </c>
      <c r="K1201" s="3">
        <v>169.72800000000001</v>
      </c>
      <c r="L1201" t="s">
        <v>852</v>
      </c>
      <c r="M1201" t="str">
        <f>VLOOKUP($E1201,Customer_Dim!$A$2:$F$501,3,FALSE)</f>
        <v>Male</v>
      </c>
      <c r="N1201" t="str">
        <f>VLOOKUP($E1201,Customer_Dim!$A$2:$F$501,5,FALSE)</f>
        <v>USA</v>
      </c>
      <c r="O1201" t="str">
        <f>VLOOKUP($E1201,Customer_Dim!$A$2:$F$501,6,FALSE)</f>
        <v>Gold</v>
      </c>
      <c r="P1201" t="str">
        <f>VLOOKUP($A1201,Store_Dim!$A$2:$F$21,3,FALSE)</f>
        <v>SouthNorth Nancyview</v>
      </c>
    </row>
    <row r="1202" spans="1:16" hidden="1" x14ac:dyDescent="0.25">
      <c r="A1202" t="s">
        <v>789</v>
      </c>
      <c r="B1202" t="s">
        <v>977</v>
      </c>
      <c r="C1202" t="s">
        <v>656</v>
      </c>
      <c r="D1202" s="2">
        <v>45674</v>
      </c>
      <c r="E1202" t="s">
        <v>543</v>
      </c>
      <c r="F1202" t="str">
        <f>VLOOKUP($C1202,Product_Dim!$A$2:$D$101,3,FALSE)</f>
        <v>Taylor-Hart</v>
      </c>
      <c r="G1202" t="str">
        <f>VLOOKUP($C1202,Product_Dim!$A$2:$D$101,2,FALSE)</f>
        <v>Electronics</v>
      </c>
      <c r="H1202">
        <v>3</v>
      </c>
      <c r="I1202">
        <v>334.6</v>
      </c>
      <c r="J1202">
        <v>0.11</v>
      </c>
      <c r="K1202" s="3">
        <v>893.38200000000006</v>
      </c>
      <c r="L1202" t="s">
        <v>854</v>
      </c>
      <c r="M1202" t="str">
        <f>VLOOKUP($E1202,Customer_Dim!$A$2:$F$501,3,FALSE)</f>
        <v>Female</v>
      </c>
      <c r="N1202" t="str">
        <f>VLOOKUP($E1202,Customer_Dim!$A$2:$F$501,5,FALSE)</f>
        <v>USA</v>
      </c>
      <c r="O1202" t="str">
        <f>VLOOKUP($E1202,Customer_Dim!$A$2:$F$501,6,FALSE)</f>
        <v>Gold</v>
      </c>
      <c r="P1202" t="str">
        <f>VLOOKUP($A1202,Store_Dim!$A$2:$F$21,3,FALSE)</f>
        <v>SouthNorth Nancyview</v>
      </c>
    </row>
    <row r="1203" spans="1:16" hidden="1" x14ac:dyDescent="0.25">
      <c r="A1203" t="s">
        <v>789</v>
      </c>
      <c r="B1203" t="s">
        <v>1376</v>
      </c>
      <c r="C1203" t="s">
        <v>660</v>
      </c>
      <c r="D1203" s="2">
        <v>45766</v>
      </c>
      <c r="E1203" t="s">
        <v>327</v>
      </c>
      <c r="F1203" t="str">
        <f>VLOOKUP($C1203,Product_Dim!$A$2:$D$101,3,FALSE)</f>
        <v>Holmes LLC</v>
      </c>
      <c r="G1203" t="str">
        <f>VLOOKUP($C1203,Product_Dim!$A$2:$D$101,2,FALSE)</f>
        <v>Electronics</v>
      </c>
      <c r="H1203">
        <v>2</v>
      </c>
      <c r="I1203">
        <v>42.97</v>
      </c>
      <c r="J1203">
        <v>0.18</v>
      </c>
      <c r="K1203" s="3">
        <v>70.470799999999997</v>
      </c>
      <c r="L1203" t="s">
        <v>854</v>
      </c>
      <c r="M1203" t="str">
        <f>VLOOKUP($E1203,Customer_Dim!$A$2:$F$501,3,FALSE)</f>
        <v>Female</v>
      </c>
      <c r="N1203" t="str">
        <f>VLOOKUP($E1203,Customer_Dim!$A$2:$F$501,5,FALSE)</f>
        <v>USA</v>
      </c>
      <c r="O1203" t="str">
        <f>VLOOKUP($E1203,Customer_Dim!$A$2:$F$501,6,FALSE)</f>
        <v>Silver</v>
      </c>
      <c r="P1203" t="str">
        <f>VLOOKUP($A1203,Store_Dim!$A$2:$F$21,3,FALSE)</f>
        <v>SouthNorth Nancyview</v>
      </c>
    </row>
    <row r="1204" spans="1:16" hidden="1" x14ac:dyDescent="0.25">
      <c r="A1204" t="s">
        <v>789</v>
      </c>
      <c r="B1204" t="s">
        <v>1405</v>
      </c>
      <c r="C1204" t="s">
        <v>662</v>
      </c>
      <c r="D1204" s="2">
        <v>45222</v>
      </c>
      <c r="E1204" t="s">
        <v>252</v>
      </c>
      <c r="F1204" t="str">
        <f>VLOOKUP($C1204,Product_Dim!$A$2:$D$101,3,FALSE)</f>
        <v>Robinson Inc</v>
      </c>
      <c r="G1204" t="str">
        <f>VLOOKUP($C1204,Product_Dim!$A$2:$D$101,2,FALSE)</f>
        <v>Electronics</v>
      </c>
      <c r="H1204">
        <v>3</v>
      </c>
      <c r="I1204">
        <v>137.77000000000001</v>
      </c>
      <c r="J1204">
        <v>0.26</v>
      </c>
      <c r="K1204" s="3">
        <v>305.84940000000012</v>
      </c>
      <c r="L1204" t="s">
        <v>854</v>
      </c>
      <c r="M1204" t="str">
        <f>VLOOKUP($E1204,Customer_Dim!$A$2:$F$501,3,FALSE)</f>
        <v>Female</v>
      </c>
      <c r="N1204" t="str">
        <f>VLOOKUP($E1204,Customer_Dim!$A$2:$F$501,5,FALSE)</f>
        <v>USA</v>
      </c>
      <c r="O1204" t="str">
        <f>VLOOKUP($E1204,Customer_Dim!$A$2:$F$501,6,FALSE)</f>
        <v>Platinum</v>
      </c>
      <c r="P1204" t="str">
        <f>VLOOKUP($A1204,Store_Dim!$A$2:$F$21,3,FALSE)</f>
        <v>SouthNorth Nancyview</v>
      </c>
    </row>
    <row r="1205" spans="1:16" hidden="1" x14ac:dyDescent="0.25">
      <c r="A1205" t="s">
        <v>789</v>
      </c>
      <c r="B1205" t="s">
        <v>1356</v>
      </c>
      <c r="C1205" t="s">
        <v>664</v>
      </c>
      <c r="D1205" s="2">
        <v>45899</v>
      </c>
      <c r="E1205" t="s">
        <v>555</v>
      </c>
      <c r="F1205" t="str">
        <f>VLOOKUP($C1205,Product_Dim!$A$2:$D$101,3,FALSE)</f>
        <v>Cox Inc</v>
      </c>
      <c r="G1205" t="str">
        <f>VLOOKUP($C1205,Product_Dim!$A$2:$D$101,2,FALSE)</f>
        <v>Sports</v>
      </c>
      <c r="H1205">
        <v>1</v>
      </c>
      <c r="I1205">
        <v>230.53</v>
      </c>
      <c r="J1205">
        <v>0.06</v>
      </c>
      <c r="K1205" s="3">
        <v>216.69820000000001</v>
      </c>
      <c r="L1205" t="s">
        <v>857</v>
      </c>
      <c r="M1205" t="str">
        <f>VLOOKUP($E1205,Customer_Dim!$A$2:$F$501,3,FALSE)</f>
        <v>Female</v>
      </c>
      <c r="N1205" t="str">
        <f>VLOOKUP($E1205,Customer_Dim!$A$2:$F$501,5,FALSE)</f>
        <v>USA</v>
      </c>
      <c r="O1205" t="str">
        <f>VLOOKUP($E1205,Customer_Dim!$A$2:$F$501,6,FALSE)</f>
        <v>Platinum</v>
      </c>
      <c r="P1205" t="str">
        <f>VLOOKUP($A1205,Store_Dim!$A$2:$F$21,3,FALSE)</f>
        <v>SouthNorth Nancyview</v>
      </c>
    </row>
    <row r="1206" spans="1:16" hidden="1" x14ac:dyDescent="0.25">
      <c r="A1206" t="s">
        <v>789</v>
      </c>
      <c r="B1206" t="s">
        <v>2704</v>
      </c>
      <c r="C1206" t="s">
        <v>668</v>
      </c>
      <c r="D1206" s="2">
        <v>45465</v>
      </c>
      <c r="E1206" t="s">
        <v>174</v>
      </c>
      <c r="F1206" t="str">
        <f>VLOOKUP($C1206,Product_Dim!$A$2:$D$101,3,FALSE)</f>
        <v>Kelly, Smith and Perez</v>
      </c>
      <c r="G1206" t="str">
        <f>VLOOKUP($C1206,Product_Dim!$A$2:$D$101,2,FALSE)</f>
        <v>Clothing</v>
      </c>
      <c r="H1206">
        <v>1</v>
      </c>
      <c r="I1206">
        <v>780.24</v>
      </c>
      <c r="J1206">
        <v>0.04</v>
      </c>
      <c r="K1206" s="3">
        <v>749.03039999999999</v>
      </c>
      <c r="L1206" t="s">
        <v>857</v>
      </c>
      <c r="M1206" t="str">
        <f>VLOOKUP($E1206,Customer_Dim!$A$2:$F$501,3,FALSE)</f>
        <v>Female</v>
      </c>
      <c r="N1206" t="str">
        <f>VLOOKUP($E1206,Customer_Dim!$A$2:$F$501,5,FALSE)</f>
        <v>USA</v>
      </c>
      <c r="O1206" t="str">
        <f>VLOOKUP($E1206,Customer_Dim!$A$2:$F$501,6,FALSE)</f>
        <v>Silver</v>
      </c>
      <c r="P1206" t="str">
        <f>VLOOKUP($A1206,Store_Dim!$A$2:$F$21,3,FALSE)</f>
        <v>SouthNorth Nancyview</v>
      </c>
    </row>
    <row r="1207" spans="1:16" hidden="1" x14ac:dyDescent="0.25">
      <c r="A1207" t="s">
        <v>789</v>
      </c>
      <c r="B1207" t="s">
        <v>1755</v>
      </c>
      <c r="C1207" t="s">
        <v>668</v>
      </c>
      <c r="D1207" s="2">
        <v>45784</v>
      </c>
      <c r="E1207" t="s">
        <v>249</v>
      </c>
      <c r="F1207" t="str">
        <f>VLOOKUP($C1207,Product_Dim!$A$2:$D$101,3,FALSE)</f>
        <v>Kelly, Smith and Perez</v>
      </c>
      <c r="G1207" t="str">
        <f>VLOOKUP($C1207,Product_Dim!$A$2:$D$101,2,FALSE)</f>
        <v>Clothing</v>
      </c>
      <c r="H1207">
        <v>2</v>
      </c>
      <c r="I1207">
        <v>71.48</v>
      </c>
      <c r="J1207">
        <v>0.14000000000000001</v>
      </c>
      <c r="K1207" s="3">
        <v>122.9456</v>
      </c>
      <c r="L1207" t="s">
        <v>857</v>
      </c>
      <c r="M1207" t="str">
        <f>VLOOKUP($E1207,Customer_Dim!$A$2:$F$501,3,FALSE)</f>
        <v>Female</v>
      </c>
      <c r="N1207" t="str">
        <f>VLOOKUP($E1207,Customer_Dim!$A$2:$F$501,5,FALSE)</f>
        <v>USA</v>
      </c>
      <c r="O1207" t="str">
        <f>VLOOKUP($E1207,Customer_Dim!$A$2:$F$501,6,FALSE)</f>
        <v>Silver</v>
      </c>
      <c r="P1207" t="str">
        <f>VLOOKUP($A1207,Store_Dim!$A$2:$F$21,3,FALSE)</f>
        <v>SouthNorth Nancyview</v>
      </c>
    </row>
    <row r="1208" spans="1:16" hidden="1" x14ac:dyDescent="0.25">
      <c r="A1208" t="s">
        <v>789</v>
      </c>
      <c r="B1208" t="s">
        <v>1217</v>
      </c>
      <c r="C1208" t="s">
        <v>668</v>
      </c>
      <c r="D1208" s="2">
        <v>45712</v>
      </c>
      <c r="E1208" t="s">
        <v>401</v>
      </c>
      <c r="F1208" t="str">
        <f>VLOOKUP($C1208,Product_Dim!$A$2:$D$101,3,FALSE)</f>
        <v>Kelly, Smith and Perez</v>
      </c>
      <c r="G1208" t="str">
        <f>VLOOKUP($C1208,Product_Dim!$A$2:$D$101,2,FALSE)</f>
        <v>Clothing</v>
      </c>
      <c r="H1208">
        <v>1</v>
      </c>
      <c r="I1208">
        <v>669.53</v>
      </c>
      <c r="J1208">
        <v>0.2</v>
      </c>
      <c r="K1208" s="3">
        <v>535.62400000000002</v>
      </c>
      <c r="L1208" t="s">
        <v>852</v>
      </c>
      <c r="M1208" t="str">
        <f>VLOOKUP($E1208,Customer_Dim!$A$2:$F$501,3,FALSE)</f>
        <v>Female</v>
      </c>
      <c r="N1208" t="str">
        <f>VLOOKUP($E1208,Customer_Dim!$A$2:$F$501,5,FALSE)</f>
        <v>USA</v>
      </c>
      <c r="O1208" t="str">
        <f>VLOOKUP($E1208,Customer_Dim!$A$2:$F$501,6,FALSE)</f>
        <v>Silver</v>
      </c>
      <c r="P1208" t="str">
        <f>VLOOKUP($A1208,Store_Dim!$A$2:$F$21,3,FALSE)</f>
        <v>SouthNorth Nancyview</v>
      </c>
    </row>
    <row r="1209" spans="1:16" hidden="1" x14ac:dyDescent="0.25">
      <c r="A1209" t="s">
        <v>789</v>
      </c>
      <c r="B1209" t="s">
        <v>1358</v>
      </c>
      <c r="C1209" t="s">
        <v>670</v>
      </c>
      <c r="D1209" s="2">
        <v>45943</v>
      </c>
      <c r="E1209" t="s">
        <v>231</v>
      </c>
      <c r="F1209" t="str">
        <f>VLOOKUP($C1209,Product_Dim!$A$2:$D$101,3,FALSE)</f>
        <v>Cook Inc</v>
      </c>
      <c r="G1209" t="str">
        <f>VLOOKUP($C1209,Product_Dim!$A$2:$D$101,2,FALSE)</f>
        <v>Beauty</v>
      </c>
      <c r="H1209">
        <v>3</v>
      </c>
      <c r="I1209">
        <v>843.44</v>
      </c>
      <c r="J1209">
        <v>0.22</v>
      </c>
      <c r="K1209" s="3">
        <v>1973.6496</v>
      </c>
      <c r="L1209" t="s">
        <v>852</v>
      </c>
      <c r="M1209" t="str">
        <f>VLOOKUP($E1209,Customer_Dim!$A$2:$F$501,3,FALSE)</f>
        <v>Female</v>
      </c>
      <c r="N1209" t="str">
        <f>VLOOKUP($E1209,Customer_Dim!$A$2:$F$501,5,FALSE)</f>
        <v>USA</v>
      </c>
      <c r="O1209" t="str">
        <f>VLOOKUP($E1209,Customer_Dim!$A$2:$F$501,6,FALSE)</f>
        <v>Gold</v>
      </c>
      <c r="P1209" t="str">
        <f>VLOOKUP($A1209,Store_Dim!$A$2:$F$21,3,FALSE)</f>
        <v>SouthNorth Nancyview</v>
      </c>
    </row>
    <row r="1210" spans="1:16" hidden="1" x14ac:dyDescent="0.25">
      <c r="A1210" t="s">
        <v>789</v>
      </c>
      <c r="B1210" t="s">
        <v>2677</v>
      </c>
      <c r="C1210" t="s">
        <v>670</v>
      </c>
      <c r="D1210" s="2">
        <v>45594</v>
      </c>
      <c r="E1210" t="s">
        <v>399</v>
      </c>
      <c r="F1210" t="str">
        <f>VLOOKUP($C1210,Product_Dim!$A$2:$D$101,3,FALSE)</f>
        <v>Cook Inc</v>
      </c>
      <c r="G1210" t="str">
        <f>VLOOKUP($C1210,Product_Dim!$A$2:$D$101,2,FALSE)</f>
        <v>Beauty</v>
      </c>
      <c r="H1210">
        <v>3</v>
      </c>
      <c r="I1210">
        <v>469.33</v>
      </c>
      <c r="J1210">
        <v>0.14000000000000001</v>
      </c>
      <c r="K1210" s="3">
        <v>1210.8714</v>
      </c>
      <c r="L1210" t="s">
        <v>854</v>
      </c>
      <c r="M1210" t="str">
        <f>VLOOKUP($E1210,Customer_Dim!$A$2:$F$501,3,FALSE)</f>
        <v>Female</v>
      </c>
      <c r="N1210" t="str">
        <f>VLOOKUP($E1210,Customer_Dim!$A$2:$F$501,5,FALSE)</f>
        <v>USA</v>
      </c>
      <c r="O1210" t="str">
        <f>VLOOKUP($E1210,Customer_Dim!$A$2:$F$501,6,FALSE)</f>
        <v>Bronze</v>
      </c>
      <c r="P1210" t="str">
        <f>VLOOKUP($A1210,Store_Dim!$A$2:$F$21,3,FALSE)</f>
        <v>SouthNorth Nancyview</v>
      </c>
    </row>
    <row r="1211" spans="1:16" hidden="1" x14ac:dyDescent="0.25">
      <c r="A1211" t="s">
        <v>789</v>
      </c>
      <c r="B1211" t="s">
        <v>1547</v>
      </c>
      <c r="C1211" t="s">
        <v>672</v>
      </c>
      <c r="D1211" s="2">
        <v>45520</v>
      </c>
      <c r="E1211" t="s">
        <v>12</v>
      </c>
      <c r="F1211" t="str">
        <f>VLOOKUP($C1211,Product_Dim!$A$2:$D$101,3,FALSE)</f>
        <v>Byrd, Stewart and Valdez</v>
      </c>
      <c r="G1211" t="str">
        <f>VLOOKUP($C1211,Product_Dim!$A$2:$D$101,2,FALSE)</f>
        <v>Electronics</v>
      </c>
      <c r="H1211">
        <v>1</v>
      </c>
      <c r="I1211">
        <v>301.24</v>
      </c>
      <c r="J1211">
        <v>0.11</v>
      </c>
      <c r="K1211" s="3">
        <v>268.10359999999997</v>
      </c>
      <c r="L1211" t="s">
        <v>854</v>
      </c>
      <c r="M1211" t="str">
        <f>VLOOKUP($E1211,Customer_Dim!$A$2:$F$501,3,FALSE)</f>
        <v>Female</v>
      </c>
      <c r="N1211" t="str">
        <f>VLOOKUP($E1211,Customer_Dim!$A$2:$F$501,5,FALSE)</f>
        <v>USA</v>
      </c>
      <c r="O1211" t="str">
        <f>VLOOKUP($E1211,Customer_Dim!$A$2:$F$501,6,FALSE)</f>
        <v>Platinum</v>
      </c>
      <c r="P1211" t="str">
        <f>VLOOKUP($A1211,Store_Dim!$A$2:$F$21,3,FALSE)</f>
        <v>SouthNorth Nancyview</v>
      </c>
    </row>
    <row r="1212" spans="1:16" hidden="1" x14ac:dyDescent="0.25">
      <c r="A1212" t="s">
        <v>789</v>
      </c>
      <c r="B1212" t="s">
        <v>1475</v>
      </c>
      <c r="C1212" t="s">
        <v>672</v>
      </c>
      <c r="D1212" s="2">
        <v>45923</v>
      </c>
      <c r="E1212" t="s">
        <v>420</v>
      </c>
      <c r="F1212" t="str">
        <f>VLOOKUP($C1212,Product_Dim!$A$2:$D$101,3,FALSE)</f>
        <v>Byrd, Stewart and Valdez</v>
      </c>
      <c r="G1212" t="str">
        <f>VLOOKUP($C1212,Product_Dim!$A$2:$D$101,2,FALSE)</f>
        <v>Electronics</v>
      </c>
      <c r="H1212">
        <v>4</v>
      </c>
      <c r="I1212">
        <v>395.45</v>
      </c>
      <c r="J1212">
        <v>0.01</v>
      </c>
      <c r="K1212" s="3">
        <v>1565.982</v>
      </c>
      <c r="L1212" t="s">
        <v>852</v>
      </c>
      <c r="M1212" t="str">
        <f>VLOOKUP($E1212,Customer_Dim!$A$2:$F$501,3,FALSE)</f>
        <v>Female</v>
      </c>
      <c r="N1212" t="str">
        <f>VLOOKUP($E1212,Customer_Dim!$A$2:$F$501,5,FALSE)</f>
        <v>USA</v>
      </c>
      <c r="O1212" t="str">
        <f>VLOOKUP($E1212,Customer_Dim!$A$2:$F$501,6,FALSE)</f>
        <v>Platinum</v>
      </c>
      <c r="P1212" t="str">
        <f>VLOOKUP($A1212,Store_Dim!$A$2:$F$21,3,FALSE)</f>
        <v>SouthNorth Nancyview</v>
      </c>
    </row>
    <row r="1213" spans="1:16" hidden="1" x14ac:dyDescent="0.25">
      <c r="A1213" t="s">
        <v>789</v>
      </c>
      <c r="B1213" t="s">
        <v>1008</v>
      </c>
      <c r="C1213" t="s">
        <v>672</v>
      </c>
      <c r="D1213" s="2">
        <v>45613</v>
      </c>
      <c r="E1213" t="s">
        <v>472</v>
      </c>
      <c r="F1213" t="str">
        <f>VLOOKUP($C1213,Product_Dim!$A$2:$D$101,3,FALSE)</f>
        <v>Byrd, Stewart and Valdez</v>
      </c>
      <c r="G1213" t="str">
        <f>VLOOKUP($C1213,Product_Dim!$A$2:$D$101,2,FALSE)</f>
        <v>Electronics</v>
      </c>
      <c r="H1213">
        <v>1</v>
      </c>
      <c r="I1213">
        <v>345.06</v>
      </c>
      <c r="J1213">
        <v>0.13</v>
      </c>
      <c r="K1213" s="3">
        <v>300.2022</v>
      </c>
      <c r="L1213" t="s">
        <v>857</v>
      </c>
      <c r="M1213" t="str">
        <f>VLOOKUP($E1213,Customer_Dim!$A$2:$F$501,3,FALSE)</f>
        <v>Female</v>
      </c>
      <c r="N1213" t="str">
        <f>VLOOKUP($E1213,Customer_Dim!$A$2:$F$501,5,FALSE)</f>
        <v>USA</v>
      </c>
      <c r="O1213" t="str">
        <f>VLOOKUP($E1213,Customer_Dim!$A$2:$F$501,6,FALSE)</f>
        <v>Gold</v>
      </c>
      <c r="P1213" t="str">
        <f>VLOOKUP($A1213,Store_Dim!$A$2:$F$21,3,FALSE)</f>
        <v>SouthNorth Nancyview</v>
      </c>
    </row>
    <row r="1214" spans="1:16" hidden="1" x14ac:dyDescent="0.25">
      <c r="A1214" t="s">
        <v>789</v>
      </c>
      <c r="B1214" t="s">
        <v>1305</v>
      </c>
      <c r="C1214" t="s">
        <v>674</v>
      </c>
      <c r="D1214" s="2">
        <v>45508</v>
      </c>
      <c r="E1214" t="s">
        <v>489</v>
      </c>
      <c r="F1214" t="str">
        <f>VLOOKUP($C1214,Product_Dim!$A$2:$D$101,3,FALSE)</f>
        <v>Sullivan and Sons</v>
      </c>
      <c r="G1214" t="str">
        <f>VLOOKUP($C1214,Product_Dim!$A$2:$D$101,2,FALSE)</f>
        <v>Beauty</v>
      </c>
      <c r="H1214">
        <v>4</v>
      </c>
      <c r="I1214">
        <v>829.36</v>
      </c>
      <c r="J1214">
        <v>0.11</v>
      </c>
      <c r="K1214" s="3">
        <v>2952.5216</v>
      </c>
      <c r="L1214" t="s">
        <v>854</v>
      </c>
      <c r="M1214" t="str">
        <f>VLOOKUP($E1214,Customer_Dim!$A$2:$F$501,3,FALSE)</f>
        <v>Female</v>
      </c>
      <c r="N1214" t="str">
        <f>VLOOKUP($E1214,Customer_Dim!$A$2:$F$501,5,FALSE)</f>
        <v>USA</v>
      </c>
      <c r="O1214" t="str">
        <f>VLOOKUP($E1214,Customer_Dim!$A$2:$F$501,6,FALSE)</f>
        <v>Platinum</v>
      </c>
      <c r="P1214" t="str">
        <f>VLOOKUP($A1214,Store_Dim!$A$2:$F$21,3,FALSE)</f>
        <v>SouthNorth Nancyview</v>
      </c>
    </row>
    <row r="1215" spans="1:16" hidden="1" x14ac:dyDescent="0.25">
      <c r="A1215" t="s">
        <v>789</v>
      </c>
      <c r="B1215" t="s">
        <v>2492</v>
      </c>
      <c r="C1215" t="s">
        <v>583</v>
      </c>
      <c r="D1215" s="2">
        <v>45520</v>
      </c>
      <c r="E1215" t="s">
        <v>123</v>
      </c>
      <c r="F1215" t="str">
        <f>VLOOKUP($C1215,Product_Dim!$A$2:$D$101,3,FALSE)</f>
        <v>Baldwin, Garza and Gonzalez</v>
      </c>
      <c r="G1215" t="str">
        <f>VLOOKUP($C1215,Product_Dim!$A$2:$D$101,2,FALSE)</f>
        <v>Clothing</v>
      </c>
      <c r="H1215">
        <v>4</v>
      </c>
      <c r="I1215">
        <v>796.89</v>
      </c>
      <c r="J1215">
        <v>0.17</v>
      </c>
      <c r="K1215" s="3">
        <v>2645.6747999999998</v>
      </c>
      <c r="L1215" t="s">
        <v>852</v>
      </c>
      <c r="M1215" t="str">
        <f>VLOOKUP($E1215,Customer_Dim!$A$2:$F$501,3,FALSE)</f>
        <v>Female</v>
      </c>
      <c r="N1215" t="str">
        <f>VLOOKUP($E1215,Customer_Dim!$A$2:$F$501,5,FALSE)</f>
        <v>USA</v>
      </c>
      <c r="O1215" t="str">
        <f>VLOOKUP($E1215,Customer_Dim!$A$2:$F$501,6,FALSE)</f>
        <v>Gold</v>
      </c>
      <c r="P1215" t="str">
        <f>VLOOKUP($A1215,Store_Dim!$A$2:$F$21,3,FALSE)</f>
        <v>SouthNorth Nancyview</v>
      </c>
    </row>
    <row r="1216" spans="1:16" hidden="1" x14ac:dyDescent="0.25">
      <c r="A1216" t="s">
        <v>789</v>
      </c>
      <c r="B1216" t="s">
        <v>1064</v>
      </c>
      <c r="C1216" t="s">
        <v>676</v>
      </c>
      <c r="D1216" s="2">
        <v>45497</v>
      </c>
      <c r="E1216" t="s">
        <v>155</v>
      </c>
      <c r="F1216" t="str">
        <f>VLOOKUP($C1216,Product_Dim!$A$2:$D$101,3,FALSE)</f>
        <v>Smith-King</v>
      </c>
      <c r="G1216" t="str">
        <f>VLOOKUP($C1216,Product_Dim!$A$2:$D$101,2,FALSE)</f>
        <v>Sports</v>
      </c>
      <c r="H1216">
        <v>1</v>
      </c>
      <c r="I1216">
        <v>823.26</v>
      </c>
      <c r="J1216">
        <v>0.27</v>
      </c>
      <c r="K1216" s="3">
        <v>600.97979999999995</v>
      </c>
      <c r="L1216" t="s">
        <v>857</v>
      </c>
      <c r="M1216" t="str">
        <f>VLOOKUP($E1216,Customer_Dim!$A$2:$F$501,3,FALSE)</f>
        <v>Female</v>
      </c>
      <c r="N1216" t="str">
        <f>VLOOKUP($E1216,Customer_Dim!$A$2:$F$501,5,FALSE)</f>
        <v>USA</v>
      </c>
      <c r="O1216" t="str">
        <f>VLOOKUP($E1216,Customer_Dim!$A$2:$F$501,6,FALSE)</f>
        <v>Gold</v>
      </c>
      <c r="P1216" t="str">
        <f>VLOOKUP($A1216,Store_Dim!$A$2:$F$21,3,FALSE)</f>
        <v>SouthNorth Nancyview</v>
      </c>
    </row>
    <row r="1217" spans="1:16" hidden="1" x14ac:dyDescent="0.25">
      <c r="A1217" t="s">
        <v>789</v>
      </c>
      <c r="B1217" t="s">
        <v>1924</v>
      </c>
      <c r="C1217" t="s">
        <v>676</v>
      </c>
      <c r="D1217" s="2">
        <v>45576</v>
      </c>
      <c r="E1217" t="s">
        <v>215</v>
      </c>
      <c r="F1217" t="str">
        <f>VLOOKUP($C1217,Product_Dim!$A$2:$D$101,3,FALSE)</f>
        <v>Smith-King</v>
      </c>
      <c r="G1217" t="str">
        <f>VLOOKUP($C1217,Product_Dim!$A$2:$D$101,2,FALSE)</f>
        <v>Sports</v>
      </c>
      <c r="H1217">
        <v>4</v>
      </c>
      <c r="I1217">
        <v>694.61</v>
      </c>
      <c r="J1217">
        <v>0.18</v>
      </c>
      <c r="K1217" s="3">
        <v>2278.3208</v>
      </c>
      <c r="L1217" t="s">
        <v>857</v>
      </c>
      <c r="M1217" t="str">
        <f>VLOOKUP($E1217,Customer_Dim!$A$2:$F$501,3,FALSE)</f>
        <v>Female</v>
      </c>
      <c r="N1217" t="str">
        <f>VLOOKUP($E1217,Customer_Dim!$A$2:$F$501,5,FALSE)</f>
        <v>USA</v>
      </c>
      <c r="O1217" t="str">
        <f>VLOOKUP($E1217,Customer_Dim!$A$2:$F$501,6,FALSE)</f>
        <v>Gold</v>
      </c>
      <c r="P1217" t="str">
        <f>VLOOKUP($A1217,Store_Dim!$A$2:$F$21,3,FALSE)</f>
        <v>SouthNorth Nancyview</v>
      </c>
    </row>
    <row r="1218" spans="1:16" x14ac:dyDescent="0.25">
      <c r="A1218" t="s">
        <v>789</v>
      </c>
      <c r="B1218" t="s">
        <v>1167</v>
      </c>
      <c r="C1218" t="s">
        <v>676</v>
      </c>
      <c r="D1218" s="2">
        <v>45389</v>
      </c>
      <c r="E1218" t="s">
        <v>371</v>
      </c>
      <c r="F1218" t="str">
        <f>VLOOKUP($C1218,Product_Dim!$A$2:$D$101,3,FALSE)</f>
        <v>Smith-King</v>
      </c>
      <c r="G1218" t="str">
        <f>VLOOKUP($C1218,Product_Dim!$A$2:$D$101,2,FALSE)</f>
        <v>Sports</v>
      </c>
      <c r="H1218">
        <v>1</v>
      </c>
      <c r="I1218">
        <v>88.92</v>
      </c>
      <c r="J1218">
        <v>0.19</v>
      </c>
      <c r="K1218" s="3">
        <v>72.025200000000012</v>
      </c>
      <c r="L1218" t="s">
        <v>854</v>
      </c>
      <c r="M1218" t="str">
        <f>VLOOKUP($E1218,Customer_Dim!$A$2:$F$501,3,FALSE)</f>
        <v>Male</v>
      </c>
      <c r="N1218" t="str">
        <f>VLOOKUP($E1218,Customer_Dim!$A$2:$F$501,5,FALSE)</f>
        <v>USA</v>
      </c>
      <c r="O1218" t="str">
        <f>VLOOKUP($E1218,Customer_Dim!$A$2:$F$501,6,FALSE)</f>
        <v>Silver</v>
      </c>
      <c r="P1218" t="str">
        <f>VLOOKUP($A1218,Store_Dim!$A$2:$F$21,3,FALSE)</f>
        <v>SouthNorth Nancyview</v>
      </c>
    </row>
    <row r="1219" spans="1:16" x14ac:dyDescent="0.25">
      <c r="A1219" t="s">
        <v>789</v>
      </c>
      <c r="B1219" t="s">
        <v>2465</v>
      </c>
      <c r="C1219" t="s">
        <v>682</v>
      </c>
      <c r="D1219" s="2">
        <v>45619</v>
      </c>
      <c r="E1219" t="s">
        <v>372</v>
      </c>
      <c r="F1219" t="str">
        <f>VLOOKUP($C1219,Product_Dim!$A$2:$D$101,3,FALSE)</f>
        <v>Hamilton, Woods and Walker</v>
      </c>
      <c r="G1219" t="str">
        <f>VLOOKUP($C1219,Product_Dim!$A$2:$D$101,2,FALSE)</f>
        <v>Clothing</v>
      </c>
      <c r="H1219">
        <v>4</v>
      </c>
      <c r="I1219">
        <v>456.32</v>
      </c>
      <c r="J1219">
        <v>0.22</v>
      </c>
      <c r="K1219" s="3">
        <v>1423.7184</v>
      </c>
      <c r="L1219" t="s">
        <v>857</v>
      </c>
      <c r="M1219" t="str">
        <f>VLOOKUP($E1219,Customer_Dim!$A$2:$F$501,3,FALSE)</f>
        <v>Male</v>
      </c>
      <c r="N1219" t="str">
        <f>VLOOKUP($E1219,Customer_Dim!$A$2:$F$501,5,FALSE)</f>
        <v>USA</v>
      </c>
      <c r="O1219" t="str">
        <f>VLOOKUP($E1219,Customer_Dim!$A$2:$F$501,6,FALSE)</f>
        <v>Platinum</v>
      </c>
      <c r="P1219" t="str">
        <f>VLOOKUP($A1219,Store_Dim!$A$2:$F$21,3,FALSE)</f>
        <v>SouthNorth Nancyview</v>
      </c>
    </row>
    <row r="1220" spans="1:16" hidden="1" x14ac:dyDescent="0.25">
      <c r="A1220" t="s">
        <v>789</v>
      </c>
      <c r="B1220" t="s">
        <v>2795</v>
      </c>
      <c r="C1220" t="s">
        <v>690</v>
      </c>
      <c r="D1220" s="2">
        <v>45590</v>
      </c>
      <c r="E1220" t="s">
        <v>225</v>
      </c>
      <c r="F1220" t="str">
        <f>VLOOKUP($C1220,Product_Dim!$A$2:$D$101,3,FALSE)</f>
        <v>Atkinson, Camacho and Oliver</v>
      </c>
      <c r="G1220" t="str">
        <f>VLOOKUP($C1220,Product_Dim!$A$2:$D$101,2,FALSE)</f>
        <v>Sports</v>
      </c>
      <c r="H1220">
        <v>3</v>
      </c>
      <c r="I1220">
        <v>878.62</v>
      </c>
      <c r="J1220">
        <v>0.05</v>
      </c>
      <c r="K1220" s="3">
        <v>2504.067</v>
      </c>
      <c r="L1220" t="s">
        <v>854</v>
      </c>
      <c r="M1220" t="str">
        <f>VLOOKUP($E1220,Customer_Dim!$A$2:$F$501,3,FALSE)</f>
        <v>Female</v>
      </c>
      <c r="N1220" t="str">
        <f>VLOOKUP($E1220,Customer_Dim!$A$2:$F$501,5,FALSE)</f>
        <v>USA</v>
      </c>
      <c r="O1220" t="str">
        <f>VLOOKUP($E1220,Customer_Dim!$A$2:$F$501,6,FALSE)</f>
        <v>Silver</v>
      </c>
      <c r="P1220" t="str">
        <f>VLOOKUP($A1220,Store_Dim!$A$2:$F$21,3,FALSE)</f>
        <v>SouthNorth Nancyview</v>
      </c>
    </row>
    <row r="1221" spans="1:16" x14ac:dyDescent="0.25">
      <c r="A1221" t="s">
        <v>789</v>
      </c>
      <c r="B1221" t="s">
        <v>1287</v>
      </c>
      <c r="C1221" t="s">
        <v>694</v>
      </c>
      <c r="D1221" s="2">
        <v>45699</v>
      </c>
      <c r="E1221" t="s">
        <v>177</v>
      </c>
      <c r="F1221" t="str">
        <f>VLOOKUP($C1221,Product_Dim!$A$2:$D$101,3,FALSE)</f>
        <v>Cline-Mccarthy</v>
      </c>
      <c r="G1221" t="str">
        <f>VLOOKUP($C1221,Product_Dim!$A$2:$D$101,2,FALSE)</f>
        <v>Beauty</v>
      </c>
      <c r="H1221">
        <v>2</v>
      </c>
      <c r="I1221">
        <v>64.7</v>
      </c>
      <c r="J1221">
        <v>0</v>
      </c>
      <c r="K1221" s="3">
        <v>129.4</v>
      </c>
      <c r="L1221" t="s">
        <v>852</v>
      </c>
      <c r="M1221" t="str">
        <f>VLOOKUP($E1221,Customer_Dim!$A$2:$F$501,3,FALSE)</f>
        <v>Male</v>
      </c>
      <c r="N1221" t="str">
        <f>VLOOKUP($E1221,Customer_Dim!$A$2:$F$501,5,FALSE)</f>
        <v>USA</v>
      </c>
      <c r="O1221" t="str">
        <f>VLOOKUP($E1221,Customer_Dim!$A$2:$F$501,6,FALSE)</f>
        <v>Bronze</v>
      </c>
      <c r="P1221" t="str">
        <f>VLOOKUP($A1221,Store_Dim!$A$2:$F$21,3,FALSE)</f>
        <v>SouthNorth Nancyview</v>
      </c>
    </row>
    <row r="1222" spans="1:16" x14ac:dyDescent="0.25">
      <c r="A1222" t="s">
        <v>789</v>
      </c>
      <c r="B1222" t="s">
        <v>1854</v>
      </c>
      <c r="C1222" t="s">
        <v>694</v>
      </c>
      <c r="D1222" s="2">
        <v>45456</v>
      </c>
      <c r="E1222" t="s">
        <v>255</v>
      </c>
      <c r="F1222" t="str">
        <f>VLOOKUP($C1222,Product_Dim!$A$2:$D$101,3,FALSE)</f>
        <v>Cline-Mccarthy</v>
      </c>
      <c r="G1222" t="str">
        <f>VLOOKUP($C1222,Product_Dim!$A$2:$D$101,2,FALSE)</f>
        <v>Beauty</v>
      </c>
      <c r="H1222">
        <v>2</v>
      </c>
      <c r="I1222">
        <v>909.51</v>
      </c>
      <c r="J1222">
        <v>0.27</v>
      </c>
      <c r="K1222" s="3">
        <v>1327.8846000000001</v>
      </c>
      <c r="L1222" t="s">
        <v>852</v>
      </c>
      <c r="M1222" t="str">
        <f>VLOOKUP($E1222,Customer_Dim!$A$2:$F$501,3,FALSE)</f>
        <v>Male</v>
      </c>
      <c r="N1222" t="str">
        <f>VLOOKUP($E1222,Customer_Dim!$A$2:$F$501,5,FALSE)</f>
        <v>USA</v>
      </c>
      <c r="O1222" t="str">
        <f>VLOOKUP($E1222,Customer_Dim!$A$2:$F$501,6,FALSE)</f>
        <v>Bronze</v>
      </c>
      <c r="P1222" t="str">
        <f>VLOOKUP($A1222,Store_Dim!$A$2:$F$21,3,FALSE)</f>
        <v>SouthNorth Nancyview</v>
      </c>
    </row>
    <row r="1223" spans="1:16" hidden="1" x14ac:dyDescent="0.25">
      <c r="A1223" t="s">
        <v>789</v>
      </c>
      <c r="B1223" t="s">
        <v>1554</v>
      </c>
      <c r="C1223" t="s">
        <v>585</v>
      </c>
      <c r="D1223" s="2">
        <v>45401</v>
      </c>
      <c r="E1223" t="s">
        <v>352</v>
      </c>
      <c r="F1223" t="str">
        <f>VLOOKUP($C1223,Product_Dim!$A$2:$D$101,3,FALSE)</f>
        <v>Davidson PLC</v>
      </c>
      <c r="G1223" t="str">
        <f>VLOOKUP($C1223,Product_Dim!$A$2:$D$101,2,FALSE)</f>
        <v>Beauty</v>
      </c>
      <c r="H1223">
        <v>4</v>
      </c>
      <c r="I1223">
        <v>254.94</v>
      </c>
      <c r="J1223">
        <v>0.06</v>
      </c>
      <c r="K1223" s="3">
        <v>958.57439999999997</v>
      </c>
      <c r="L1223" t="s">
        <v>854</v>
      </c>
      <c r="M1223" t="str">
        <f>VLOOKUP($E1223,Customer_Dim!$A$2:$F$501,3,FALSE)</f>
        <v>Female</v>
      </c>
      <c r="N1223" t="str">
        <f>VLOOKUP($E1223,Customer_Dim!$A$2:$F$501,5,FALSE)</f>
        <v>USA</v>
      </c>
      <c r="O1223" t="str">
        <f>VLOOKUP($E1223,Customer_Dim!$A$2:$F$501,6,FALSE)</f>
        <v>Silver</v>
      </c>
      <c r="P1223" t="str">
        <f>VLOOKUP($A1223,Store_Dim!$A$2:$F$21,3,FALSE)</f>
        <v>SouthNorth Nancyview</v>
      </c>
    </row>
    <row r="1224" spans="1:16" hidden="1" x14ac:dyDescent="0.25">
      <c r="A1224" t="s">
        <v>789</v>
      </c>
      <c r="B1224" t="s">
        <v>2248</v>
      </c>
      <c r="C1224" t="s">
        <v>700</v>
      </c>
      <c r="D1224" s="2">
        <v>45577</v>
      </c>
      <c r="E1224" t="s">
        <v>298</v>
      </c>
      <c r="F1224" t="str">
        <f>VLOOKUP($C1224,Product_Dim!$A$2:$D$101,3,FALSE)</f>
        <v>Murray, Gould and Ware</v>
      </c>
      <c r="G1224" t="str">
        <f>VLOOKUP($C1224,Product_Dim!$A$2:$D$101,2,FALSE)</f>
        <v>Electronics</v>
      </c>
      <c r="H1224">
        <v>4</v>
      </c>
      <c r="I1224">
        <v>111.66</v>
      </c>
      <c r="J1224">
        <v>0.14000000000000001</v>
      </c>
      <c r="K1224" s="3">
        <v>384.11040000000003</v>
      </c>
      <c r="L1224" t="s">
        <v>852</v>
      </c>
      <c r="M1224" t="str">
        <f>VLOOKUP($E1224,Customer_Dim!$A$2:$F$501,3,FALSE)</f>
        <v>Female</v>
      </c>
      <c r="N1224" t="str">
        <f>VLOOKUP($E1224,Customer_Dim!$A$2:$F$501,5,FALSE)</f>
        <v>USA</v>
      </c>
      <c r="O1224" t="str">
        <f>VLOOKUP($E1224,Customer_Dim!$A$2:$F$501,6,FALSE)</f>
        <v>Platinum</v>
      </c>
      <c r="P1224" t="str">
        <f>VLOOKUP($A1224,Store_Dim!$A$2:$F$21,3,FALSE)</f>
        <v>SouthNorth Nancyview</v>
      </c>
    </row>
    <row r="1225" spans="1:16" x14ac:dyDescent="0.25">
      <c r="A1225" t="s">
        <v>789</v>
      </c>
      <c r="B1225" t="s">
        <v>2184</v>
      </c>
      <c r="C1225" t="s">
        <v>700</v>
      </c>
      <c r="D1225" s="2">
        <v>45261</v>
      </c>
      <c r="E1225" t="s">
        <v>516</v>
      </c>
      <c r="F1225" t="str">
        <f>VLOOKUP($C1225,Product_Dim!$A$2:$D$101,3,FALSE)</f>
        <v>Murray, Gould and Ware</v>
      </c>
      <c r="G1225" t="str">
        <f>VLOOKUP($C1225,Product_Dim!$A$2:$D$101,2,FALSE)</f>
        <v>Electronics</v>
      </c>
      <c r="H1225">
        <v>1</v>
      </c>
      <c r="I1225">
        <v>195.24</v>
      </c>
      <c r="J1225">
        <v>0.27</v>
      </c>
      <c r="K1225" s="3">
        <v>142.52520000000001</v>
      </c>
      <c r="L1225" t="s">
        <v>854</v>
      </c>
      <c r="M1225" t="str">
        <f>VLOOKUP($E1225,Customer_Dim!$A$2:$F$501,3,FALSE)</f>
        <v>Male</v>
      </c>
      <c r="N1225" t="str">
        <f>VLOOKUP($E1225,Customer_Dim!$A$2:$F$501,5,FALSE)</f>
        <v>USA</v>
      </c>
      <c r="O1225" t="str">
        <f>VLOOKUP($E1225,Customer_Dim!$A$2:$F$501,6,FALSE)</f>
        <v>Bronze</v>
      </c>
      <c r="P1225" t="str">
        <f>VLOOKUP($A1225,Store_Dim!$A$2:$F$21,3,FALSE)</f>
        <v>SouthNorth Nancyview</v>
      </c>
    </row>
    <row r="1226" spans="1:16" hidden="1" x14ac:dyDescent="0.25">
      <c r="A1226" t="s">
        <v>789</v>
      </c>
      <c r="B1226" t="s">
        <v>1421</v>
      </c>
      <c r="C1226" t="s">
        <v>702</v>
      </c>
      <c r="D1226" s="2">
        <v>45602</v>
      </c>
      <c r="E1226" t="s">
        <v>519</v>
      </c>
      <c r="F1226" t="str">
        <f>VLOOKUP($C1226,Product_Dim!$A$2:$D$101,3,FALSE)</f>
        <v>Anderson-Riley</v>
      </c>
      <c r="G1226" t="str">
        <f>VLOOKUP($C1226,Product_Dim!$A$2:$D$101,2,FALSE)</f>
        <v>Beauty</v>
      </c>
      <c r="H1226">
        <v>4</v>
      </c>
      <c r="I1226">
        <v>282.48</v>
      </c>
      <c r="J1226">
        <v>0.11</v>
      </c>
      <c r="K1226" s="3">
        <v>1005.6288</v>
      </c>
      <c r="L1226" t="s">
        <v>854</v>
      </c>
      <c r="M1226" t="str">
        <f>VLOOKUP($E1226,Customer_Dim!$A$2:$F$501,3,FALSE)</f>
        <v>Female</v>
      </c>
      <c r="N1226" t="str">
        <f>VLOOKUP($E1226,Customer_Dim!$A$2:$F$501,5,FALSE)</f>
        <v>USA</v>
      </c>
      <c r="O1226" t="str">
        <f>VLOOKUP($E1226,Customer_Dim!$A$2:$F$501,6,FALSE)</f>
        <v>Bronze</v>
      </c>
      <c r="P1226" t="str">
        <f>VLOOKUP($A1226,Store_Dim!$A$2:$F$21,3,FALSE)</f>
        <v>SouthNorth Nancyview</v>
      </c>
    </row>
    <row r="1227" spans="1:16" hidden="1" x14ac:dyDescent="0.25">
      <c r="A1227" t="s">
        <v>789</v>
      </c>
      <c r="B1227" t="s">
        <v>1164</v>
      </c>
      <c r="C1227" t="s">
        <v>704</v>
      </c>
      <c r="D1227" s="2">
        <v>45504</v>
      </c>
      <c r="E1227" t="s">
        <v>91</v>
      </c>
      <c r="F1227" t="str">
        <f>VLOOKUP($C1227,Product_Dim!$A$2:$D$101,3,FALSE)</f>
        <v>Zhang Inc</v>
      </c>
      <c r="G1227" t="str">
        <f>VLOOKUP($C1227,Product_Dim!$A$2:$D$101,2,FALSE)</f>
        <v>Beauty</v>
      </c>
      <c r="H1227">
        <v>2</v>
      </c>
      <c r="I1227">
        <v>138.41</v>
      </c>
      <c r="J1227">
        <v>0.02</v>
      </c>
      <c r="K1227" s="3">
        <v>271.28359999999998</v>
      </c>
      <c r="L1227" t="s">
        <v>852</v>
      </c>
      <c r="M1227" t="str">
        <f>VLOOKUP($E1227,Customer_Dim!$A$2:$F$501,3,FALSE)</f>
        <v>Female</v>
      </c>
      <c r="N1227" t="str">
        <f>VLOOKUP($E1227,Customer_Dim!$A$2:$F$501,5,FALSE)</f>
        <v>USA</v>
      </c>
      <c r="O1227" t="str">
        <f>VLOOKUP($E1227,Customer_Dim!$A$2:$F$501,6,FALSE)</f>
        <v>Silver</v>
      </c>
      <c r="P1227" t="str">
        <f>VLOOKUP($A1227,Store_Dim!$A$2:$F$21,3,FALSE)</f>
        <v>SouthNorth Nancyview</v>
      </c>
    </row>
    <row r="1228" spans="1:16" hidden="1" x14ac:dyDescent="0.25">
      <c r="A1228" t="s">
        <v>789</v>
      </c>
      <c r="B1228" t="s">
        <v>2171</v>
      </c>
      <c r="C1228" t="s">
        <v>704</v>
      </c>
      <c r="D1228" s="2">
        <v>45223</v>
      </c>
      <c r="E1228" t="s">
        <v>180</v>
      </c>
      <c r="F1228" t="str">
        <f>VLOOKUP($C1228,Product_Dim!$A$2:$D$101,3,FALSE)</f>
        <v>Zhang Inc</v>
      </c>
      <c r="G1228" t="str">
        <f>VLOOKUP($C1228,Product_Dim!$A$2:$D$101,2,FALSE)</f>
        <v>Beauty</v>
      </c>
      <c r="H1228">
        <v>4</v>
      </c>
      <c r="I1228">
        <v>950.21</v>
      </c>
      <c r="J1228">
        <v>0.27</v>
      </c>
      <c r="K1228" s="3">
        <v>2774.6131999999998</v>
      </c>
      <c r="L1228" t="s">
        <v>857</v>
      </c>
      <c r="M1228" t="str">
        <f>VLOOKUP($E1228,Customer_Dim!$A$2:$F$501,3,FALSE)</f>
        <v>Female</v>
      </c>
      <c r="N1228" t="str">
        <f>VLOOKUP($E1228,Customer_Dim!$A$2:$F$501,5,FALSE)</f>
        <v>USA</v>
      </c>
      <c r="O1228" t="str">
        <f>VLOOKUP($E1228,Customer_Dim!$A$2:$F$501,6,FALSE)</f>
        <v>Platinum</v>
      </c>
      <c r="P1228" t="str">
        <f>VLOOKUP($A1228,Store_Dim!$A$2:$F$21,3,FALSE)</f>
        <v>SouthNorth Nancyview</v>
      </c>
    </row>
    <row r="1229" spans="1:16" hidden="1" x14ac:dyDescent="0.25">
      <c r="A1229" t="s">
        <v>789</v>
      </c>
      <c r="B1229" t="s">
        <v>2721</v>
      </c>
      <c r="C1229" t="s">
        <v>704</v>
      </c>
      <c r="D1229" s="2">
        <v>45602</v>
      </c>
      <c r="E1229" t="s">
        <v>212</v>
      </c>
      <c r="F1229" t="str">
        <f>VLOOKUP($C1229,Product_Dim!$A$2:$D$101,3,FALSE)</f>
        <v>Zhang Inc</v>
      </c>
      <c r="G1229" t="str">
        <f>VLOOKUP($C1229,Product_Dim!$A$2:$D$101,2,FALSE)</f>
        <v>Beauty</v>
      </c>
      <c r="H1229">
        <v>4</v>
      </c>
      <c r="I1229">
        <v>838.99</v>
      </c>
      <c r="J1229">
        <v>0.16</v>
      </c>
      <c r="K1229" s="3">
        <v>2819.0064000000002</v>
      </c>
      <c r="L1229" t="s">
        <v>852</v>
      </c>
      <c r="M1229" t="str">
        <f>VLOOKUP($E1229,Customer_Dim!$A$2:$F$501,3,FALSE)</f>
        <v>Female</v>
      </c>
      <c r="N1229" t="str">
        <f>VLOOKUP($E1229,Customer_Dim!$A$2:$F$501,5,FALSE)</f>
        <v>USA</v>
      </c>
      <c r="O1229" t="str">
        <f>VLOOKUP($E1229,Customer_Dim!$A$2:$F$501,6,FALSE)</f>
        <v>Bronze</v>
      </c>
      <c r="P1229" t="str">
        <f>VLOOKUP($A1229,Store_Dim!$A$2:$F$21,3,FALSE)</f>
        <v>SouthNorth Nancyview</v>
      </c>
    </row>
    <row r="1230" spans="1:16" x14ac:dyDescent="0.25">
      <c r="A1230" t="s">
        <v>789</v>
      </c>
      <c r="B1230" t="s">
        <v>2428</v>
      </c>
      <c r="C1230" t="s">
        <v>704</v>
      </c>
      <c r="D1230" s="2">
        <v>45472</v>
      </c>
      <c r="E1230" t="s">
        <v>340</v>
      </c>
      <c r="F1230" t="str">
        <f>VLOOKUP($C1230,Product_Dim!$A$2:$D$101,3,FALSE)</f>
        <v>Zhang Inc</v>
      </c>
      <c r="G1230" t="str">
        <f>VLOOKUP($C1230,Product_Dim!$A$2:$D$101,2,FALSE)</f>
        <v>Beauty</v>
      </c>
      <c r="H1230">
        <v>1</v>
      </c>
      <c r="I1230">
        <v>644.15</v>
      </c>
      <c r="J1230">
        <v>0.06</v>
      </c>
      <c r="K1230" s="3">
        <v>605.50099999999998</v>
      </c>
      <c r="L1230" t="s">
        <v>852</v>
      </c>
      <c r="M1230" t="str">
        <f>VLOOKUP($E1230,Customer_Dim!$A$2:$F$501,3,FALSE)</f>
        <v>Male</v>
      </c>
      <c r="N1230" t="str">
        <f>VLOOKUP($E1230,Customer_Dim!$A$2:$F$501,5,FALSE)</f>
        <v>USA</v>
      </c>
      <c r="O1230" t="str">
        <f>VLOOKUP($E1230,Customer_Dim!$A$2:$F$501,6,FALSE)</f>
        <v>Bronze</v>
      </c>
      <c r="P1230" t="str">
        <f>VLOOKUP($A1230,Store_Dim!$A$2:$F$21,3,FALSE)</f>
        <v>SouthNorth Nancyview</v>
      </c>
    </row>
    <row r="1231" spans="1:16" hidden="1" x14ac:dyDescent="0.25">
      <c r="A1231" t="s">
        <v>789</v>
      </c>
      <c r="B1231" t="s">
        <v>1451</v>
      </c>
      <c r="C1231" t="s">
        <v>704</v>
      </c>
      <c r="D1231" s="2">
        <v>45382</v>
      </c>
      <c r="E1231" t="s">
        <v>345</v>
      </c>
      <c r="F1231" t="str">
        <f>VLOOKUP($C1231,Product_Dim!$A$2:$D$101,3,FALSE)</f>
        <v>Zhang Inc</v>
      </c>
      <c r="G1231" t="str">
        <f>VLOOKUP($C1231,Product_Dim!$A$2:$D$101,2,FALSE)</f>
        <v>Beauty</v>
      </c>
      <c r="H1231">
        <v>2</v>
      </c>
      <c r="I1231">
        <v>552.72</v>
      </c>
      <c r="J1231">
        <v>0.06</v>
      </c>
      <c r="K1231" s="3">
        <v>1039.1135999999999</v>
      </c>
      <c r="L1231" t="s">
        <v>854</v>
      </c>
      <c r="M1231" t="str">
        <f>VLOOKUP($E1231,Customer_Dim!$A$2:$F$501,3,FALSE)</f>
        <v>Female</v>
      </c>
      <c r="N1231" t="str">
        <f>VLOOKUP($E1231,Customer_Dim!$A$2:$F$501,5,FALSE)</f>
        <v>USA</v>
      </c>
      <c r="O1231" t="str">
        <f>VLOOKUP($E1231,Customer_Dim!$A$2:$F$501,6,FALSE)</f>
        <v>Platinum</v>
      </c>
      <c r="P1231" t="str">
        <f>VLOOKUP($A1231,Store_Dim!$A$2:$F$21,3,FALSE)</f>
        <v>SouthNorth Nancyview</v>
      </c>
    </row>
    <row r="1232" spans="1:16" hidden="1" x14ac:dyDescent="0.25">
      <c r="A1232" t="s">
        <v>789</v>
      </c>
      <c r="B1232" t="s">
        <v>2054</v>
      </c>
      <c r="C1232" t="s">
        <v>708</v>
      </c>
      <c r="D1232" s="2">
        <v>45313</v>
      </c>
      <c r="E1232" t="s">
        <v>495</v>
      </c>
      <c r="F1232" t="str">
        <f>VLOOKUP($C1232,Product_Dim!$A$2:$D$101,3,FALSE)</f>
        <v>Torres, Spencer and Potter</v>
      </c>
      <c r="G1232" t="str">
        <f>VLOOKUP($C1232,Product_Dim!$A$2:$D$101,2,FALSE)</f>
        <v>Beauty</v>
      </c>
      <c r="H1232">
        <v>1</v>
      </c>
      <c r="I1232">
        <v>743.55</v>
      </c>
      <c r="J1232">
        <v>0.11</v>
      </c>
      <c r="K1232" s="3">
        <v>661.7595</v>
      </c>
      <c r="L1232" t="s">
        <v>857</v>
      </c>
      <c r="M1232" t="str">
        <f>VLOOKUP($E1232,Customer_Dim!$A$2:$F$501,3,FALSE)</f>
        <v>Female</v>
      </c>
      <c r="N1232" t="str">
        <f>VLOOKUP($E1232,Customer_Dim!$A$2:$F$501,5,FALSE)</f>
        <v>USA</v>
      </c>
      <c r="O1232" t="str">
        <f>VLOOKUP($E1232,Customer_Dim!$A$2:$F$501,6,FALSE)</f>
        <v>Bronze</v>
      </c>
      <c r="P1232" t="str">
        <f>VLOOKUP($A1232,Store_Dim!$A$2:$F$21,3,FALSE)</f>
        <v>SouthNorth Nancyview</v>
      </c>
    </row>
    <row r="1233" spans="1:16" hidden="1" x14ac:dyDescent="0.25">
      <c r="A1233" t="s">
        <v>789</v>
      </c>
      <c r="B1233" t="s">
        <v>2836</v>
      </c>
      <c r="C1233" t="s">
        <v>712</v>
      </c>
      <c r="D1233" s="2">
        <v>45500</v>
      </c>
      <c r="E1233" t="s">
        <v>270</v>
      </c>
      <c r="F1233" t="str">
        <f>VLOOKUP($C1233,Product_Dim!$A$2:$D$101,3,FALSE)</f>
        <v>Wolfe, Ross and Hester</v>
      </c>
      <c r="G1233" t="str">
        <f>VLOOKUP($C1233,Product_Dim!$A$2:$D$101,2,FALSE)</f>
        <v>Home</v>
      </c>
      <c r="H1233">
        <v>3</v>
      </c>
      <c r="I1233">
        <v>901.49</v>
      </c>
      <c r="J1233">
        <v>0</v>
      </c>
      <c r="K1233" s="3">
        <v>2704.47</v>
      </c>
      <c r="L1233" t="s">
        <v>852</v>
      </c>
      <c r="M1233" t="str">
        <f>VLOOKUP($E1233,Customer_Dim!$A$2:$F$501,3,FALSE)</f>
        <v>Female</v>
      </c>
      <c r="N1233" t="str">
        <f>VLOOKUP($E1233,Customer_Dim!$A$2:$F$501,5,FALSE)</f>
        <v>USA</v>
      </c>
      <c r="O1233" t="str">
        <f>VLOOKUP($E1233,Customer_Dim!$A$2:$F$501,6,FALSE)</f>
        <v>Gold</v>
      </c>
      <c r="P1233" t="str">
        <f>VLOOKUP($A1233,Store_Dim!$A$2:$F$21,3,FALSE)</f>
        <v>SouthNorth Nancyview</v>
      </c>
    </row>
    <row r="1234" spans="1:16" x14ac:dyDescent="0.25">
      <c r="A1234" t="s">
        <v>789</v>
      </c>
      <c r="B1234" t="s">
        <v>1558</v>
      </c>
      <c r="C1234" t="s">
        <v>712</v>
      </c>
      <c r="D1234" s="2">
        <v>45386</v>
      </c>
      <c r="E1234" t="s">
        <v>549</v>
      </c>
      <c r="F1234" t="str">
        <f>VLOOKUP($C1234,Product_Dim!$A$2:$D$101,3,FALSE)</f>
        <v>Wolfe, Ross and Hester</v>
      </c>
      <c r="G1234" t="str">
        <f>VLOOKUP($C1234,Product_Dim!$A$2:$D$101,2,FALSE)</f>
        <v>Home</v>
      </c>
      <c r="H1234">
        <v>3</v>
      </c>
      <c r="I1234">
        <v>212.72</v>
      </c>
      <c r="J1234">
        <v>0.22</v>
      </c>
      <c r="K1234" s="3">
        <v>497.76479999999998</v>
      </c>
      <c r="L1234" t="s">
        <v>854</v>
      </c>
      <c r="M1234" t="str">
        <f>VLOOKUP($E1234,Customer_Dim!$A$2:$F$501,3,FALSE)</f>
        <v>Male</v>
      </c>
      <c r="N1234" t="str">
        <f>VLOOKUP($E1234,Customer_Dim!$A$2:$F$501,5,FALSE)</f>
        <v>USA</v>
      </c>
      <c r="O1234" t="str">
        <f>VLOOKUP($E1234,Customer_Dim!$A$2:$F$501,6,FALSE)</f>
        <v>Platinum</v>
      </c>
      <c r="P1234" t="str">
        <f>VLOOKUP($A1234,Store_Dim!$A$2:$F$21,3,FALSE)</f>
        <v>SouthNorth Nancyview</v>
      </c>
    </row>
    <row r="1235" spans="1:16" hidden="1" x14ac:dyDescent="0.25">
      <c r="A1235" t="s">
        <v>789</v>
      </c>
      <c r="B1235" t="s">
        <v>1175</v>
      </c>
      <c r="C1235" t="s">
        <v>714</v>
      </c>
      <c r="D1235" s="2">
        <v>45380</v>
      </c>
      <c r="E1235" t="s">
        <v>364</v>
      </c>
      <c r="F1235" t="str">
        <f>VLOOKUP($C1235,Product_Dim!$A$2:$D$101,3,FALSE)</f>
        <v>Fitzpatrick Ltd</v>
      </c>
      <c r="G1235" t="str">
        <f>VLOOKUP($C1235,Product_Dim!$A$2:$D$101,2,FALSE)</f>
        <v>Clothing</v>
      </c>
      <c r="H1235">
        <v>1</v>
      </c>
      <c r="I1235">
        <v>564.1</v>
      </c>
      <c r="J1235">
        <v>0.03</v>
      </c>
      <c r="K1235" s="3">
        <v>547.17700000000002</v>
      </c>
      <c r="L1235" t="s">
        <v>852</v>
      </c>
      <c r="M1235" t="str">
        <f>VLOOKUP($E1235,Customer_Dim!$A$2:$F$501,3,FALSE)</f>
        <v>Female</v>
      </c>
      <c r="N1235" t="str">
        <f>VLOOKUP($E1235,Customer_Dim!$A$2:$F$501,5,FALSE)</f>
        <v>USA</v>
      </c>
      <c r="O1235" t="str">
        <f>VLOOKUP($E1235,Customer_Dim!$A$2:$F$501,6,FALSE)</f>
        <v>Silver</v>
      </c>
      <c r="P1235" t="str">
        <f>VLOOKUP($A1235,Store_Dim!$A$2:$F$21,3,FALSE)</f>
        <v>SouthNorth Nancyview</v>
      </c>
    </row>
    <row r="1236" spans="1:16" hidden="1" x14ac:dyDescent="0.25">
      <c r="A1236" t="s">
        <v>789</v>
      </c>
      <c r="B1236" t="s">
        <v>2345</v>
      </c>
      <c r="C1236" t="s">
        <v>718</v>
      </c>
      <c r="D1236" s="2">
        <v>45849</v>
      </c>
      <c r="E1236" t="s">
        <v>79</v>
      </c>
      <c r="F1236" t="str">
        <f>VLOOKUP($C1236,Product_Dim!$A$2:$D$101,3,FALSE)</f>
        <v>Hopkins Ltd</v>
      </c>
      <c r="G1236" t="str">
        <f>VLOOKUP($C1236,Product_Dim!$A$2:$D$101,2,FALSE)</f>
        <v>Beauty</v>
      </c>
      <c r="H1236">
        <v>3</v>
      </c>
      <c r="I1236">
        <v>769.62</v>
      </c>
      <c r="J1236">
        <v>0.09</v>
      </c>
      <c r="K1236" s="3">
        <v>2101.0626000000002</v>
      </c>
      <c r="L1236" t="s">
        <v>854</v>
      </c>
      <c r="M1236" t="str">
        <f>VLOOKUP($E1236,Customer_Dim!$A$2:$F$501,3,FALSE)</f>
        <v>Female</v>
      </c>
      <c r="N1236" t="str">
        <f>VLOOKUP($E1236,Customer_Dim!$A$2:$F$501,5,FALSE)</f>
        <v>USA</v>
      </c>
      <c r="O1236" t="str">
        <f>VLOOKUP($E1236,Customer_Dim!$A$2:$F$501,6,FALSE)</f>
        <v>Gold</v>
      </c>
      <c r="P1236" t="str">
        <f>VLOOKUP($A1236,Store_Dim!$A$2:$F$21,3,FALSE)</f>
        <v>SouthNorth Nancyview</v>
      </c>
    </row>
    <row r="1237" spans="1:16" x14ac:dyDescent="0.25">
      <c r="A1237" t="s">
        <v>789</v>
      </c>
      <c r="B1237" t="s">
        <v>1345</v>
      </c>
      <c r="C1237" t="s">
        <v>720</v>
      </c>
      <c r="D1237" s="2">
        <v>45462</v>
      </c>
      <c r="E1237" t="s">
        <v>289</v>
      </c>
      <c r="F1237" t="str">
        <f>VLOOKUP($C1237,Product_Dim!$A$2:$D$101,3,FALSE)</f>
        <v>Davis PLC</v>
      </c>
      <c r="G1237" t="str">
        <f>VLOOKUP($C1237,Product_Dim!$A$2:$D$101,2,FALSE)</f>
        <v>Sports</v>
      </c>
      <c r="H1237">
        <v>3</v>
      </c>
      <c r="I1237">
        <v>480.51</v>
      </c>
      <c r="J1237">
        <v>0.03</v>
      </c>
      <c r="K1237" s="3">
        <v>1398.2841000000001</v>
      </c>
      <c r="L1237" t="s">
        <v>852</v>
      </c>
      <c r="M1237" t="str">
        <f>VLOOKUP($E1237,Customer_Dim!$A$2:$F$501,3,FALSE)</f>
        <v>Male</v>
      </c>
      <c r="N1237" t="str">
        <f>VLOOKUP($E1237,Customer_Dim!$A$2:$F$501,5,FALSE)</f>
        <v>USA</v>
      </c>
      <c r="O1237" t="str">
        <f>VLOOKUP($E1237,Customer_Dim!$A$2:$F$501,6,FALSE)</f>
        <v>Platinum</v>
      </c>
      <c r="P1237" t="str">
        <f>VLOOKUP($A1237,Store_Dim!$A$2:$F$21,3,FALSE)</f>
        <v>SouthNorth Nancyview</v>
      </c>
    </row>
    <row r="1238" spans="1:16" x14ac:dyDescent="0.25">
      <c r="A1238" t="s">
        <v>789</v>
      </c>
      <c r="B1238" t="s">
        <v>1391</v>
      </c>
      <c r="C1238" t="s">
        <v>720</v>
      </c>
      <c r="D1238" s="2">
        <v>45793</v>
      </c>
      <c r="E1238" t="s">
        <v>321</v>
      </c>
      <c r="F1238" t="str">
        <f>VLOOKUP($C1238,Product_Dim!$A$2:$D$101,3,FALSE)</f>
        <v>Davis PLC</v>
      </c>
      <c r="G1238" t="str">
        <f>VLOOKUP($C1238,Product_Dim!$A$2:$D$101,2,FALSE)</f>
        <v>Sports</v>
      </c>
      <c r="H1238">
        <v>2</v>
      </c>
      <c r="I1238">
        <v>245.52</v>
      </c>
      <c r="J1238">
        <v>0.11</v>
      </c>
      <c r="K1238" s="3">
        <v>437.0256</v>
      </c>
      <c r="L1238" t="s">
        <v>857</v>
      </c>
      <c r="M1238" t="str">
        <f>VLOOKUP($E1238,Customer_Dim!$A$2:$F$501,3,FALSE)</f>
        <v>Male</v>
      </c>
      <c r="N1238" t="str">
        <f>VLOOKUP($E1238,Customer_Dim!$A$2:$F$501,5,FALSE)</f>
        <v>USA</v>
      </c>
      <c r="O1238" t="str">
        <f>VLOOKUP($E1238,Customer_Dim!$A$2:$F$501,6,FALSE)</f>
        <v>Gold</v>
      </c>
      <c r="P1238" t="str">
        <f>VLOOKUP($A1238,Store_Dim!$A$2:$F$21,3,FALSE)</f>
        <v>SouthNorth Nancyview</v>
      </c>
    </row>
    <row r="1239" spans="1:16" x14ac:dyDescent="0.25">
      <c r="A1239" t="s">
        <v>789</v>
      </c>
      <c r="B1239" t="s">
        <v>1216</v>
      </c>
      <c r="C1239" t="s">
        <v>722</v>
      </c>
      <c r="D1239" s="2">
        <v>45856</v>
      </c>
      <c r="E1239" t="s">
        <v>427</v>
      </c>
      <c r="F1239" t="str">
        <f>VLOOKUP($C1239,Product_Dim!$A$2:$D$101,3,FALSE)</f>
        <v>French Ltd</v>
      </c>
      <c r="G1239" t="str">
        <f>VLOOKUP($C1239,Product_Dim!$A$2:$D$101,2,FALSE)</f>
        <v>Sports</v>
      </c>
      <c r="H1239">
        <v>2</v>
      </c>
      <c r="I1239">
        <v>934</v>
      </c>
      <c r="J1239">
        <v>0.3</v>
      </c>
      <c r="K1239" s="3">
        <v>1307.5999999999999</v>
      </c>
      <c r="L1239" t="s">
        <v>857</v>
      </c>
      <c r="M1239" t="str">
        <f>VLOOKUP($E1239,Customer_Dim!$A$2:$F$501,3,FALSE)</f>
        <v>Male</v>
      </c>
      <c r="N1239" t="str">
        <f>VLOOKUP($E1239,Customer_Dim!$A$2:$F$501,5,FALSE)</f>
        <v>USA</v>
      </c>
      <c r="O1239" t="str">
        <f>VLOOKUP($E1239,Customer_Dim!$A$2:$F$501,6,FALSE)</f>
        <v>Platinum</v>
      </c>
      <c r="P1239" t="str">
        <f>VLOOKUP($A1239,Store_Dim!$A$2:$F$21,3,FALSE)</f>
        <v>SouthNorth Nancyview</v>
      </c>
    </row>
    <row r="1240" spans="1:16" x14ac:dyDescent="0.25">
      <c r="A1240" t="s">
        <v>789</v>
      </c>
      <c r="B1240" t="s">
        <v>1861</v>
      </c>
      <c r="C1240" t="s">
        <v>726</v>
      </c>
      <c r="D1240" s="2">
        <v>45217</v>
      </c>
      <c r="E1240" t="s">
        <v>263</v>
      </c>
      <c r="F1240" t="str">
        <f>VLOOKUP($C1240,Product_Dim!$A$2:$D$101,3,FALSE)</f>
        <v>Poole PLC</v>
      </c>
      <c r="G1240" t="str">
        <f>VLOOKUP($C1240,Product_Dim!$A$2:$D$101,2,FALSE)</f>
        <v>Clothing</v>
      </c>
      <c r="H1240">
        <v>2</v>
      </c>
      <c r="I1240">
        <v>541.52</v>
      </c>
      <c r="J1240">
        <v>0.26</v>
      </c>
      <c r="K1240" s="3">
        <v>801.44959999999992</v>
      </c>
      <c r="L1240" t="s">
        <v>854</v>
      </c>
      <c r="M1240" t="str">
        <f>VLOOKUP($E1240,Customer_Dim!$A$2:$F$501,3,FALSE)</f>
        <v>Male</v>
      </c>
      <c r="N1240" t="str">
        <f>VLOOKUP($E1240,Customer_Dim!$A$2:$F$501,5,FALSE)</f>
        <v>USA</v>
      </c>
      <c r="O1240" t="str">
        <f>VLOOKUP($E1240,Customer_Dim!$A$2:$F$501,6,FALSE)</f>
        <v>Bronze</v>
      </c>
      <c r="P1240" t="str">
        <f>VLOOKUP($A1240,Store_Dim!$A$2:$F$21,3,FALSE)</f>
        <v>SouthNorth Nancyview</v>
      </c>
    </row>
    <row r="1241" spans="1:16" hidden="1" x14ac:dyDescent="0.25">
      <c r="A1241" t="s">
        <v>789</v>
      </c>
      <c r="B1241" t="s">
        <v>1627</v>
      </c>
      <c r="C1241" t="s">
        <v>728</v>
      </c>
      <c r="D1241" s="2">
        <v>45683</v>
      </c>
      <c r="E1241" t="s">
        <v>94</v>
      </c>
      <c r="F1241" t="str">
        <f>VLOOKUP($C1241,Product_Dim!$A$2:$D$101,3,FALSE)</f>
        <v>Larson Ltd</v>
      </c>
      <c r="G1241" t="str">
        <f>VLOOKUP($C1241,Product_Dim!$A$2:$D$101,2,FALSE)</f>
        <v>Electronics</v>
      </c>
      <c r="H1241">
        <v>4</v>
      </c>
      <c r="I1241">
        <v>402.11</v>
      </c>
      <c r="J1241">
        <v>0.14000000000000001</v>
      </c>
      <c r="K1241" s="3">
        <v>1383.2583999999999</v>
      </c>
      <c r="L1241" t="s">
        <v>854</v>
      </c>
      <c r="M1241" t="str">
        <f>VLOOKUP($E1241,Customer_Dim!$A$2:$F$501,3,FALSE)</f>
        <v>Female</v>
      </c>
      <c r="N1241" t="str">
        <f>VLOOKUP($E1241,Customer_Dim!$A$2:$F$501,5,FALSE)</f>
        <v>USA</v>
      </c>
      <c r="O1241" t="str">
        <f>VLOOKUP($E1241,Customer_Dim!$A$2:$F$501,6,FALSE)</f>
        <v>Gold</v>
      </c>
      <c r="P1241" t="str">
        <f>VLOOKUP($A1241,Store_Dim!$A$2:$F$21,3,FALSE)</f>
        <v>SouthNorth Nancyview</v>
      </c>
    </row>
    <row r="1242" spans="1:16" x14ac:dyDescent="0.25">
      <c r="A1242" t="s">
        <v>789</v>
      </c>
      <c r="B1242" t="s">
        <v>2028</v>
      </c>
      <c r="C1242" t="s">
        <v>728</v>
      </c>
      <c r="D1242" s="2">
        <v>45742</v>
      </c>
      <c r="E1242" t="s">
        <v>533</v>
      </c>
      <c r="F1242" t="str">
        <f>VLOOKUP($C1242,Product_Dim!$A$2:$D$101,3,FALSE)</f>
        <v>Larson Ltd</v>
      </c>
      <c r="G1242" t="str">
        <f>VLOOKUP($C1242,Product_Dim!$A$2:$D$101,2,FALSE)</f>
        <v>Electronics</v>
      </c>
      <c r="H1242">
        <v>4</v>
      </c>
      <c r="I1242">
        <v>934.79</v>
      </c>
      <c r="J1242">
        <v>0.08</v>
      </c>
      <c r="K1242" s="3">
        <v>3440.0272</v>
      </c>
      <c r="L1242" t="s">
        <v>854</v>
      </c>
      <c r="M1242" t="str">
        <f>VLOOKUP($E1242,Customer_Dim!$A$2:$F$501,3,FALSE)</f>
        <v>Male</v>
      </c>
      <c r="N1242" t="str">
        <f>VLOOKUP($E1242,Customer_Dim!$A$2:$F$501,5,FALSE)</f>
        <v>USA</v>
      </c>
      <c r="O1242" t="str">
        <f>VLOOKUP($E1242,Customer_Dim!$A$2:$F$501,6,FALSE)</f>
        <v>Silver</v>
      </c>
      <c r="P1242" t="str">
        <f>VLOOKUP($A1242,Store_Dim!$A$2:$F$21,3,FALSE)</f>
        <v>SouthNorth Nancyview</v>
      </c>
    </row>
    <row r="1243" spans="1:16" hidden="1" x14ac:dyDescent="0.25">
      <c r="A1243" t="s">
        <v>789</v>
      </c>
      <c r="B1243" t="s">
        <v>1993</v>
      </c>
      <c r="C1243" t="s">
        <v>730</v>
      </c>
      <c r="D1243" s="2">
        <v>45518</v>
      </c>
      <c r="E1243" t="s">
        <v>55</v>
      </c>
      <c r="F1243" t="str">
        <f>VLOOKUP($C1243,Product_Dim!$A$2:$D$101,3,FALSE)</f>
        <v>White, Reeves and Woods</v>
      </c>
      <c r="G1243" t="str">
        <f>VLOOKUP($C1243,Product_Dim!$A$2:$D$101,2,FALSE)</f>
        <v>Electronics</v>
      </c>
      <c r="H1243">
        <v>2</v>
      </c>
      <c r="I1243">
        <v>257.45</v>
      </c>
      <c r="J1243">
        <v>0</v>
      </c>
      <c r="K1243" s="3">
        <v>514.9</v>
      </c>
      <c r="L1243" t="s">
        <v>857</v>
      </c>
      <c r="M1243" t="str">
        <f>VLOOKUP($E1243,Customer_Dim!$A$2:$F$501,3,FALSE)</f>
        <v>Female</v>
      </c>
      <c r="N1243" t="str">
        <f>VLOOKUP($E1243,Customer_Dim!$A$2:$F$501,5,FALSE)</f>
        <v>USA</v>
      </c>
      <c r="O1243" t="str">
        <f>VLOOKUP($E1243,Customer_Dim!$A$2:$F$501,6,FALSE)</f>
        <v>Silver</v>
      </c>
      <c r="P1243" t="str">
        <f>VLOOKUP($A1243,Store_Dim!$A$2:$F$21,3,FALSE)</f>
        <v>SouthNorth Nancyview</v>
      </c>
    </row>
    <row r="1244" spans="1:16" hidden="1" x14ac:dyDescent="0.25">
      <c r="A1244" t="s">
        <v>789</v>
      </c>
      <c r="B1244" t="s">
        <v>920</v>
      </c>
      <c r="C1244" t="s">
        <v>730</v>
      </c>
      <c r="D1244" s="2">
        <v>45213</v>
      </c>
      <c r="E1244" t="s">
        <v>336</v>
      </c>
      <c r="F1244" t="str">
        <f>VLOOKUP($C1244,Product_Dim!$A$2:$D$101,3,FALSE)</f>
        <v>White, Reeves and Woods</v>
      </c>
      <c r="G1244" t="str">
        <f>VLOOKUP($C1244,Product_Dim!$A$2:$D$101,2,FALSE)</f>
        <v>Electronics</v>
      </c>
      <c r="H1244">
        <v>4</v>
      </c>
      <c r="I1244">
        <v>814.25</v>
      </c>
      <c r="J1244">
        <v>0.18</v>
      </c>
      <c r="K1244" s="3">
        <v>2670.74</v>
      </c>
      <c r="L1244" t="s">
        <v>852</v>
      </c>
      <c r="M1244" t="str">
        <f>VLOOKUP($E1244,Customer_Dim!$A$2:$F$501,3,FALSE)</f>
        <v>Female</v>
      </c>
      <c r="N1244" t="str">
        <f>VLOOKUP($E1244,Customer_Dim!$A$2:$F$501,5,FALSE)</f>
        <v>USA</v>
      </c>
      <c r="O1244" t="str">
        <f>VLOOKUP($E1244,Customer_Dim!$A$2:$F$501,6,FALSE)</f>
        <v>Silver</v>
      </c>
      <c r="P1244" t="str">
        <f>VLOOKUP($A1244,Store_Dim!$A$2:$F$21,3,FALSE)</f>
        <v>SouthNorth Nancyview</v>
      </c>
    </row>
    <row r="1245" spans="1:16" hidden="1" x14ac:dyDescent="0.25">
      <c r="A1245" t="s">
        <v>789</v>
      </c>
      <c r="B1245" t="s">
        <v>1067</v>
      </c>
      <c r="C1245" t="s">
        <v>732</v>
      </c>
      <c r="D1245" s="2">
        <v>45314</v>
      </c>
      <c r="E1245" t="s">
        <v>374</v>
      </c>
      <c r="F1245" t="str">
        <f>VLOOKUP($C1245,Product_Dim!$A$2:$D$101,3,FALSE)</f>
        <v>Hernandez Inc</v>
      </c>
      <c r="G1245" t="str">
        <f>VLOOKUP($C1245,Product_Dim!$A$2:$D$101,2,FALSE)</f>
        <v>Home</v>
      </c>
      <c r="H1245">
        <v>1</v>
      </c>
      <c r="I1245">
        <v>575.66</v>
      </c>
      <c r="J1245">
        <v>0.03</v>
      </c>
      <c r="K1245" s="3">
        <v>558.39019999999994</v>
      </c>
      <c r="L1245" t="s">
        <v>854</v>
      </c>
      <c r="M1245" t="str">
        <f>VLOOKUP($E1245,Customer_Dim!$A$2:$F$501,3,FALSE)</f>
        <v>Female</v>
      </c>
      <c r="N1245" t="str">
        <f>VLOOKUP($E1245,Customer_Dim!$A$2:$F$501,5,FALSE)</f>
        <v>USA</v>
      </c>
      <c r="O1245" t="str">
        <f>VLOOKUP($E1245,Customer_Dim!$A$2:$F$501,6,FALSE)</f>
        <v>Bronze</v>
      </c>
      <c r="P1245" t="str">
        <f>VLOOKUP($A1245,Store_Dim!$A$2:$F$21,3,FALSE)</f>
        <v>SouthNorth Nancyview</v>
      </c>
    </row>
    <row r="1246" spans="1:16" hidden="1" x14ac:dyDescent="0.25">
      <c r="A1246" t="s">
        <v>789</v>
      </c>
      <c r="B1246" t="s">
        <v>1713</v>
      </c>
      <c r="C1246" t="s">
        <v>734</v>
      </c>
      <c r="D1246" s="2">
        <v>45614</v>
      </c>
      <c r="E1246" t="s">
        <v>199</v>
      </c>
      <c r="F1246" t="str">
        <f>VLOOKUP($C1246,Product_Dim!$A$2:$D$101,3,FALSE)</f>
        <v>Ramirez-Hanson</v>
      </c>
      <c r="G1246" t="str">
        <f>VLOOKUP($C1246,Product_Dim!$A$2:$D$101,2,FALSE)</f>
        <v>Home</v>
      </c>
      <c r="H1246">
        <v>3</v>
      </c>
      <c r="I1246">
        <v>448.55</v>
      </c>
      <c r="J1246">
        <v>0.05</v>
      </c>
      <c r="K1246" s="3">
        <v>1278.3675000000001</v>
      </c>
      <c r="L1246" t="s">
        <v>852</v>
      </c>
      <c r="M1246" t="str">
        <f>VLOOKUP($E1246,Customer_Dim!$A$2:$F$501,3,FALSE)</f>
        <v>Female</v>
      </c>
      <c r="N1246" t="str">
        <f>VLOOKUP($E1246,Customer_Dim!$A$2:$F$501,5,FALSE)</f>
        <v>USA</v>
      </c>
      <c r="O1246" t="str">
        <f>VLOOKUP($E1246,Customer_Dim!$A$2:$F$501,6,FALSE)</f>
        <v>Platinum</v>
      </c>
      <c r="P1246" t="str">
        <f>VLOOKUP($A1246,Store_Dim!$A$2:$F$21,3,FALSE)</f>
        <v>SouthNorth Nancyview</v>
      </c>
    </row>
    <row r="1247" spans="1:16" x14ac:dyDescent="0.25">
      <c r="A1247" t="s">
        <v>789</v>
      </c>
      <c r="B1247" t="s">
        <v>2284</v>
      </c>
      <c r="C1247" t="s">
        <v>734</v>
      </c>
      <c r="D1247" s="2">
        <v>45263</v>
      </c>
      <c r="E1247" t="s">
        <v>288</v>
      </c>
      <c r="F1247" t="str">
        <f>VLOOKUP($C1247,Product_Dim!$A$2:$D$101,3,FALSE)</f>
        <v>Ramirez-Hanson</v>
      </c>
      <c r="G1247" t="str">
        <f>VLOOKUP($C1247,Product_Dim!$A$2:$D$101,2,FALSE)</f>
        <v>Home</v>
      </c>
      <c r="H1247">
        <v>1</v>
      </c>
      <c r="I1247">
        <v>462.23</v>
      </c>
      <c r="J1247">
        <v>0.3</v>
      </c>
      <c r="K1247" s="3">
        <v>323.56099999999998</v>
      </c>
      <c r="L1247" t="s">
        <v>854</v>
      </c>
      <c r="M1247" t="str">
        <f>VLOOKUP($E1247,Customer_Dim!$A$2:$F$501,3,FALSE)</f>
        <v>Male</v>
      </c>
      <c r="N1247" t="str">
        <f>VLOOKUP($E1247,Customer_Dim!$A$2:$F$501,5,FALSE)</f>
        <v>USA</v>
      </c>
      <c r="O1247" t="str">
        <f>VLOOKUP($E1247,Customer_Dim!$A$2:$F$501,6,FALSE)</f>
        <v>Platinum</v>
      </c>
      <c r="P1247" t="str">
        <f>VLOOKUP($A1247,Store_Dim!$A$2:$F$21,3,FALSE)</f>
        <v>SouthNorth Nancyview</v>
      </c>
    </row>
    <row r="1248" spans="1:16" hidden="1" x14ac:dyDescent="0.25">
      <c r="A1248" t="s">
        <v>789</v>
      </c>
      <c r="B1248" t="s">
        <v>1165</v>
      </c>
      <c r="C1248" t="s">
        <v>736</v>
      </c>
      <c r="D1248" s="2">
        <v>45679</v>
      </c>
      <c r="E1248" t="s">
        <v>190</v>
      </c>
      <c r="F1248" t="str">
        <f>VLOOKUP($C1248,Product_Dim!$A$2:$D$101,3,FALSE)</f>
        <v>Allison Ltd</v>
      </c>
      <c r="G1248" t="str">
        <f>VLOOKUP($C1248,Product_Dim!$A$2:$D$101,2,FALSE)</f>
        <v>Home</v>
      </c>
      <c r="H1248">
        <v>4</v>
      </c>
      <c r="I1248">
        <v>741.51</v>
      </c>
      <c r="J1248">
        <v>0.09</v>
      </c>
      <c r="K1248" s="3">
        <v>2699.0963999999999</v>
      </c>
      <c r="L1248" t="s">
        <v>857</v>
      </c>
      <c r="M1248" t="str">
        <f>VLOOKUP($E1248,Customer_Dim!$A$2:$F$501,3,FALSE)</f>
        <v>Female</v>
      </c>
      <c r="N1248" t="str">
        <f>VLOOKUP($E1248,Customer_Dim!$A$2:$F$501,5,FALSE)</f>
        <v>USA</v>
      </c>
      <c r="O1248" t="str">
        <f>VLOOKUP($E1248,Customer_Dim!$A$2:$F$501,6,FALSE)</f>
        <v>Gold</v>
      </c>
      <c r="P1248" t="str">
        <f>VLOOKUP($A1248,Store_Dim!$A$2:$F$21,3,FALSE)</f>
        <v>SouthNorth Nancyview</v>
      </c>
    </row>
    <row r="1249" spans="1:16" x14ac:dyDescent="0.25">
      <c r="A1249" t="s">
        <v>789</v>
      </c>
      <c r="B1249" t="s">
        <v>1530</v>
      </c>
      <c r="C1249" t="s">
        <v>736</v>
      </c>
      <c r="D1249" s="2">
        <v>45255</v>
      </c>
      <c r="E1249" t="s">
        <v>192</v>
      </c>
      <c r="F1249" t="str">
        <f>VLOOKUP($C1249,Product_Dim!$A$2:$D$101,3,FALSE)</f>
        <v>Allison Ltd</v>
      </c>
      <c r="G1249" t="str">
        <f>VLOOKUP($C1249,Product_Dim!$A$2:$D$101,2,FALSE)</f>
        <v>Home</v>
      </c>
      <c r="H1249">
        <v>2</v>
      </c>
      <c r="I1249">
        <v>111.28</v>
      </c>
      <c r="J1249">
        <v>0.14000000000000001</v>
      </c>
      <c r="K1249" s="3">
        <v>191.4016</v>
      </c>
      <c r="L1249" t="s">
        <v>852</v>
      </c>
      <c r="M1249" t="str">
        <f>VLOOKUP($E1249,Customer_Dim!$A$2:$F$501,3,FALSE)</f>
        <v>Male</v>
      </c>
      <c r="N1249" t="str">
        <f>VLOOKUP($E1249,Customer_Dim!$A$2:$F$501,5,FALSE)</f>
        <v>USA</v>
      </c>
      <c r="O1249" t="str">
        <f>VLOOKUP($E1249,Customer_Dim!$A$2:$F$501,6,FALSE)</f>
        <v>Silver</v>
      </c>
      <c r="P1249" t="str">
        <f>VLOOKUP($A1249,Store_Dim!$A$2:$F$21,3,FALSE)</f>
        <v>SouthNorth Nancyview</v>
      </c>
    </row>
    <row r="1250" spans="1:16" hidden="1" x14ac:dyDescent="0.25">
      <c r="A1250" t="s">
        <v>789</v>
      </c>
      <c r="B1250" t="s">
        <v>2193</v>
      </c>
      <c r="C1250" t="s">
        <v>736</v>
      </c>
      <c r="D1250" s="2">
        <v>45921</v>
      </c>
      <c r="E1250" t="s">
        <v>451</v>
      </c>
      <c r="F1250" t="str">
        <f>VLOOKUP($C1250,Product_Dim!$A$2:$D$101,3,FALSE)</f>
        <v>Allison Ltd</v>
      </c>
      <c r="G1250" t="str">
        <f>VLOOKUP($C1250,Product_Dim!$A$2:$D$101,2,FALSE)</f>
        <v>Home</v>
      </c>
      <c r="H1250">
        <v>4</v>
      </c>
      <c r="I1250">
        <v>806.99</v>
      </c>
      <c r="J1250">
        <v>0.06</v>
      </c>
      <c r="K1250" s="3">
        <v>3034.2824000000001</v>
      </c>
      <c r="L1250" t="s">
        <v>852</v>
      </c>
      <c r="M1250" t="str">
        <f>VLOOKUP($E1250,Customer_Dim!$A$2:$F$501,3,FALSE)</f>
        <v>Female</v>
      </c>
      <c r="N1250" t="str">
        <f>VLOOKUP($E1250,Customer_Dim!$A$2:$F$501,5,FALSE)</f>
        <v>USA</v>
      </c>
      <c r="O1250" t="str">
        <f>VLOOKUP($E1250,Customer_Dim!$A$2:$F$501,6,FALSE)</f>
        <v>Bronze</v>
      </c>
      <c r="P1250" t="str">
        <f>VLOOKUP($A1250,Store_Dim!$A$2:$F$21,3,FALSE)</f>
        <v>SouthNorth Nancyview</v>
      </c>
    </row>
    <row r="1251" spans="1:16" x14ac:dyDescent="0.25">
      <c r="A1251" t="s">
        <v>789</v>
      </c>
      <c r="B1251" t="s">
        <v>1968</v>
      </c>
      <c r="C1251" t="s">
        <v>750</v>
      </c>
      <c r="D1251" s="2">
        <v>45791</v>
      </c>
      <c r="E1251" t="s">
        <v>533</v>
      </c>
      <c r="F1251" t="str">
        <f>VLOOKUP($C1251,Product_Dim!$A$2:$D$101,3,FALSE)</f>
        <v>Aguilar, Horton and Lewis</v>
      </c>
      <c r="G1251" t="str">
        <f>VLOOKUP($C1251,Product_Dim!$A$2:$D$101,2,FALSE)</f>
        <v>Home</v>
      </c>
      <c r="H1251">
        <v>2</v>
      </c>
      <c r="I1251">
        <v>121.52</v>
      </c>
      <c r="J1251">
        <v>0.18</v>
      </c>
      <c r="K1251" s="3">
        <v>199.2928</v>
      </c>
      <c r="L1251" t="s">
        <v>857</v>
      </c>
      <c r="M1251" t="str">
        <f>VLOOKUP($E1251,Customer_Dim!$A$2:$F$501,3,FALSE)</f>
        <v>Male</v>
      </c>
      <c r="N1251" t="str">
        <f>VLOOKUP($E1251,Customer_Dim!$A$2:$F$501,5,FALSE)</f>
        <v>USA</v>
      </c>
      <c r="O1251" t="str">
        <f>VLOOKUP($E1251,Customer_Dim!$A$2:$F$501,6,FALSE)</f>
        <v>Silver</v>
      </c>
      <c r="P1251" t="str">
        <f>VLOOKUP($A1251,Store_Dim!$A$2:$F$21,3,FALSE)</f>
        <v>SouthNorth Nancyview</v>
      </c>
    </row>
    <row r="1252" spans="1:16" hidden="1" x14ac:dyDescent="0.25">
      <c r="A1252" t="s">
        <v>789</v>
      </c>
      <c r="B1252" t="s">
        <v>1431</v>
      </c>
      <c r="C1252" t="s">
        <v>752</v>
      </c>
      <c r="D1252" s="2">
        <v>45360</v>
      </c>
      <c r="E1252" t="s">
        <v>28</v>
      </c>
      <c r="F1252" t="str">
        <f>VLOOKUP($C1252,Product_Dim!$A$2:$D$101,3,FALSE)</f>
        <v>Olsen-Daniels</v>
      </c>
      <c r="G1252" t="str">
        <f>VLOOKUP($C1252,Product_Dim!$A$2:$D$101,2,FALSE)</f>
        <v>Sports</v>
      </c>
      <c r="H1252">
        <v>2</v>
      </c>
      <c r="I1252">
        <v>994.32</v>
      </c>
      <c r="J1252">
        <v>0.27</v>
      </c>
      <c r="K1252" s="3">
        <v>1451.7072000000001</v>
      </c>
      <c r="L1252" t="s">
        <v>854</v>
      </c>
      <c r="M1252" t="str">
        <f>VLOOKUP($E1252,Customer_Dim!$A$2:$F$501,3,FALSE)</f>
        <v>Female</v>
      </c>
      <c r="N1252" t="str">
        <f>VLOOKUP($E1252,Customer_Dim!$A$2:$F$501,5,FALSE)</f>
        <v>USA</v>
      </c>
      <c r="O1252" t="str">
        <f>VLOOKUP($E1252,Customer_Dim!$A$2:$F$501,6,FALSE)</f>
        <v>Bronze</v>
      </c>
      <c r="P1252" t="str">
        <f>VLOOKUP($A1252,Store_Dim!$A$2:$F$21,3,FALSE)</f>
        <v>SouthNorth Nancyview</v>
      </c>
    </row>
    <row r="1253" spans="1:16" hidden="1" x14ac:dyDescent="0.25">
      <c r="A1253" t="s">
        <v>789</v>
      </c>
      <c r="B1253" t="s">
        <v>2072</v>
      </c>
      <c r="C1253" t="s">
        <v>752</v>
      </c>
      <c r="D1253" s="2">
        <v>45560</v>
      </c>
      <c r="E1253" t="s">
        <v>104</v>
      </c>
      <c r="F1253" t="str">
        <f>VLOOKUP($C1253,Product_Dim!$A$2:$D$101,3,FALSE)</f>
        <v>Olsen-Daniels</v>
      </c>
      <c r="G1253" t="str">
        <f>VLOOKUP($C1253,Product_Dim!$A$2:$D$101,2,FALSE)</f>
        <v>Sports</v>
      </c>
      <c r="H1253">
        <v>2</v>
      </c>
      <c r="I1253">
        <v>898.45</v>
      </c>
      <c r="J1253">
        <v>0.28999999999999998</v>
      </c>
      <c r="K1253" s="3">
        <v>1275.799</v>
      </c>
      <c r="L1253" t="s">
        <v>857</v>
      </c>
      <c r="M1253" t="str">
        <f>VLOOKUP($E1253,Customer_Dim!$A$2:$F$501,3,FALSE)</f>
        <v>Female</v>
      </c>
      <c r="N1253" t="str">
        <f>VLOOKUP($E1253,Customer_Dim!$A$2:$F$501,5,FALSE)</f>
        <v>USA</v>
      </c>
      <c r="O1253" t="str">
        <f>VLOOKUP($E1253,Customer_Dim!$A$2:$F$501,6,FALSE)</f>
        <v>Gold</v>
      </c>
      <c r="P1253" t="str">
        <f>VLOOKUP($A1253,Store_Dim!$A$2:$F$21,3,FALSE)</f>
        <v>SouthNorth Nancyview</v>
      </c>
    </row>
    <row r="1254" spans="1:16" hidden="1" x14ac:dyDescent="0.25">
      <c r="A1254" t="s">
        <v>789</v>
      </c>
      <c r="B1254" t="s">
        <v>1409</v>
      </c>
      <c r="C1254" t="s">
        <v>752</v>
      </c>
      <c r="D1254" s="2">
        <v>45677</v>
      </c>
      <c r="E1254" t="s">
        <v>345</v>
      </c>
      <c r="F1254" t="str">
        <f>VLOOKUP($C1254,Product_Dim!$A$2:$D$101,3,FALSE)</f>
        <v>Olsen-Daniels</v>
      </c>
      <c r="G1254" t="str">
        <f>VLOOKUP($C1254,Product_Dim!$A$2:$D$101,2,FALSE)</f>
        <v>Sports</v>
      </c>
      <c r="H1254">
        <v>3</v>
      </c>
      <c r="I1254">
        <v>691.02</v>
      </c>
      <c r="J1254">
        <v>0.12</v>
      </c>
      <c r="K1254" s="3">
        <v>1824.2927999999999</v>
      </c>
      <c r="L1254" t="s">
        <v>857</v>
      </c>
      <c r="M1254" t="str">
        <f>VLOOKUP($E1254,Customer_Dim!$A$2:$F$501,3,FALSE)</f>
        <v>Female</v>
      </c>
      <c r="N1254" t="str">
        <f>VLOOKUP($E1254,Customer_Dim!$A$2:$F$501,5,FALSE)</f>
        <v>USA</v>
      </c>
      <c r="O1254" t="str">
        <f>VLOOKUP($E1254,Customer_Dim!$A$2:$F$501,6,FALSE)</f>
        <v>Platinum</v>
      </c>
      <c r="P1254" t="str">
        <f>VLOOKUP($A1254,Store_Dim!$A$2:$F$21,3,FALSE)</f>
        <v>SouthNorth Nancyview</v>
      </c>
    </row>
    <row r="1255" spans="1:16" x14ac:dyDescent="0.25">
      <c r="A1255" t="s">
        <v>789</v>
      </c>
      <c r="B1255" t="s">
        <v>1360</v>
      </c>
      <c r="C1255" t="s">
        <v>754</v>
      </c>
      <c r="D1255" s="2">
        <v>45772</v>
      </c>
      <c r="E1255" t="s">
        <v>84</v>
      </c>
      <c r="F1255" t="str">
        <f>VLOOKUP($C1255,Product_Dim!$A$2:$D$101,3,FALSE)</f>
        <v>Taylor-Elliott</v>
      </c>
      <c r="G1255" t="str">
        <f>VLOOKUP($C1255,Product_Dim!$A$2:$D$101,2,FALSE)</f>
        <v>Beauty</v>
      </c>
      <c r="H1255">
        <v>3</v>
      </c>
      <c r="I1255">
        <v>21.59</v>
      </c>
      <c r="J1255">
        <v>0.16</v>
      </c>
      <c r="K1255" s="3">
        <v>54.406799999999997</v>
      </c>
      <c r="L1255" t="s">
        <v>857</v>
      </c>
      <c r="M1255" t="str">
        <f>VLOOKUP($E1255,Customer_Dim!$A$2:$F$501,3,FALSE)</f>
        <v>Male</v>
      </c>
      <c r="N1255" t="str">
        <f>VLOOKUP($E1255,Customer_Dim!$A$2:$F$501,5,FALSE)</f>
        <v>USA</v>
      </c>
      <c r="O1255" t="str">
        <f>VLOOKUP($E1255,Customer_Dim!$A$2:$F$501,6,FALSE)</f>
        <v>Platinum</v>
      </c>
      <c r="P1255" t="str">
        <f>VLOOKUP($A1255,Store_Dim!$A$2:$F$21,3,FALSE)</f>
        <v>SouthNorth Nancyview</v>
      </c>
    </row>
    <row r="1256" spans="1:16" hidden="1" x14ac:dyDescent="0.25">
      <c r="A1256" t="s">
        <v>789</v>
      </c>
      <c r="B1256" t="s">
        <v>1925</v>
      </c>
      <c r="C1256" t="s">
        <v>754</v>
      </c>
      <c r="D1256" s="2">
        <v>45215</v>
      </c>
      <c r="E1256" t="s">
        <v>291</v>
      </c>
      <c r="F1256" t="str">
        <f>VLOOKUP($C1256,Product_Dim!$A$2:$D$101,3,FALSE)</f>
        <v>Taylor-Elliott</v>
      </c>
      <c r="G1256" t="str">
        <f>VLOOKUP($C1256,Product_Dim!$A$2:$D$101,2,FALSE)</f>
        <v>Beauty</v>
      </c>
      <c r="H1256">
        <v>4</v>
      </c>
      <c r="I1256">
        <v>753.83</v>
      </c>
      <c r="J1256">
        <v>0.24</v>
      </c>
      <c r="K1256" s="3">
        <v>2291.6432</v>
      </c>
      <c r="L1256" t="s">
        <v>852</v>
      </c>
      <c r="M1256" t="str">
        <f>VLOOKUP($E1256,Customer_Dim!$A$2:$F$501,3,FALSE)</f>
        <v>Female</v>
      </c>
      <c r="N1256" t="str">
        <f>VLOOKUP($E1256,Customer_Dim!$A$2:$F$501,5,FALSE)</f>
        <v>USA</v>
      </c>
      <c r="O1256" t="str">
        <f>VLOOKUP($E1256,Customer_Dim!$A$2:$F$501,6,FALSE)</f>
        <v>Platinum</v>
      </c>
      <c r="P1256" t="str">
        <f>VLOOKUP($A1256,Store_Dim!$A$2:$F$21,3,FALSE)</f>
        <v>SouthNorth Nancyview</v>
      </c>
    </row>
    <row r="1257" spans="1:16" hidden="1" x14ac:dyDescent="0.25">
      <c r="A1257" t="s">
        <v>789</v>
      </c>
      <c r="B1257" t="s">
        <v>1453</v>
      </c>
      <c r="C1257" t="s">
        <v>593</v>
      </c>
      <c r="D1257" s="2">
        <v>45806</v>
      </c>
      <c r="E1257" t="s">
        <v>406</v>
      </c>
      <c r="F1257" t="str">
        <f>VLOOKUP($C1257,Product_Dim!$A$2:$D$101,3,FALSE)</f>
        <v>Hill PLC</v>
      </c>
      <c r="G1257" t="str">
        <f>VLOOKUP($C1257,Product_Dim!$A$2:$D$101,2,FALSE)</f>
        <v>Sports</v>
      </c>
      <c r="H1257">
        <v>2</v>
      </c>
      <c r="I1257">
        <v>823.03</v>
      </c>
      <c r="J1257">
        <v>0.18</v>
      </c>
      <c r="K1257" s="3">
        <v>1349.7692</v>
      </c>
      <c r="L1257" t="s">
        <v>854</v>
      </c>
      <c r="M1257" t="str">
        <f>VLOOKUP($E1257,Customer_Dim!$A$2:$F$501,3,FALSE)</f>
        <v>Female</v>
      </c>
      <c r="N1257" t="str">
        <f>VLOOKUP($E1257,Customer_Dim!$A$2:$F$501,5,FALSE)</f>
        <v>USA</v>
      </c>
      <c r="O1257" t="str">
        <f>VLOOKUP($E1257,Customer_Dim!$A$2:$F$501,6,FALSE)</f>
        <v>Platinum</v>
      </c>
      <c r="P1257" t="str">
        <f>VLOOKUP($A1257,Store_Dim!$A$2:$F$21,3,FALSE)</f>
        <v>SouthNorth Nancyview</v>
      </c>
    </row>
    <row r="1258" spans="1:16" hidden="1" x14ac:dyDescent="0.25">
      <c r="A1258" t="s">
        <v>789</v>
      </c>
      <c r="B1258" t="s">
        <v>1468</v>
      </c>
      <c r="C1258" t="s">
        <v>593</v>
      </c>
      <c r="D1258" s="2">
        <v>45338</v>
      </c>
      <c r="E1258" t="s">
        <v>558</v>
      </c>
      <c r="F1258" t="str">
        <f>VLOOKUP($C1258,Product_Dim!$A$2:$D$101,3,FALSE)</f>
        <v>Hill PLC</v>
      </c>
      <c r="G1258" t="str">
        <f>VLOOKUP($C1258,Product_Dim!$A$2:$D$101,2,FALSE)</f>
        <v>Sports</v>
      </c>
      <c r="H1258">
        <v>1</v>
      </c>
      <c r="I1258">
        <v>312.91000000000003</v>
      </c>
      <c r="J1258">
        <v>0.12</v>
      </c>
      <c r="K1258" s="3">
        <v>275.36079999999998</v>
      </c>
      <c r="L1258" t="s">
        <v>854</v>
      </c>
      <c r="M1258" t="str">
        <f>VLOOKUP($E1258,Customer_Dim!$A$2:$F$501,3,FALSE)</f>
        <v>Female</v>
      </c>
      <c r="N1258" t="str">
        <f>VLOOKUP($E1258,Customer_Dim!$A$2:$F$501,5,FALSE)</f>
        <v>USA</v>
      </c>
      <c r="O1258" t="str">
        <f>VLOOKUP($E1258,Customer_Dim!$A$2:$F$501,6,FALSE)</f>
        <v>Gold</v>
      </c>
      <c r="P1258" t="str">
        <f>VLOOKUP($A1258,Store_Dim!$A$2:$F$21,3,FALSE)</f>
        <v>SouthNorth Nancyview</v>
      </c>
    </row>
    <row r="1259" spans="1:16" x14ac:dyDescent="0.25">
      <c r="A1259" t="s">
        <v>789</v>
      </c>
      <c r="B1259" t="s">
        <v>2595</v>
      </c>
      <c r="C1259" t="s">
        <v>768</v>
      </c>
      <c r="D1259" s="2">
        <v>45880</v>
      </c>
      <c r="E1259" t="s">
        <v>32</v>
      </c>
      <c r="F1259" t="str">
        <f>VLOOKUP($C1259,Product_Dim!$A$2:$D$101,3,FALSE)</f>
        <v>Phillips and Sons</v>
      </c>
      <c r="G1259" t="str">
        <f>VLOOKUP($C1259,Product_Dim!$A$2:$D$101,2,FALSE)</f>
        <v>Clothing</v>
      </c>
      <c r="H1259">
        <v>2</v>
      </c>
      <c r="I1259">
        <v>939.66</v>
      </c>
      <c r="J1259">
        <v>0.14000000000000001</v>
      </c>
      <c r="K1259" s="3">
        <v>1616.2152000000001</v>
      </c>
      <c r="L1259" t="s">
        <v>854</v>
      </c>
      <c r="M1259" t="str">
        <f>VLOOKUP($E1259,Customer_Dim!$A$2:$F$501,3,FALSE)</f>
        <v>Male</v>
      </c>
      <c r="N1259" t="str">
        <f>VLOOKUP($E1259,Customer_Dim!$A$2:$F$501,5,FALSE)</f>
        <v>USA</v>
      </c>
      <c r="O1259" t="str">
        <f>VLOOKUP($E1259,Customer_Dim!$A$2:$F$501,6,FALSE)</f>
        <v>Platinum</v>
      </c>
      <c r="P1259" t="str">
        <f>VLOOKUP($A1259,Store_Dim!$A$2:$F$21,3,FALSE)</f>
        <v>SouthNorth Nancyview</v>
      </c>
    </row>
    <row r="1260" spans="1:16" x14ac:dyDescent="0.25">
      <c r="A1260" t="s">
        <v>789</v>
      </c>
      <c r="B1260" t="s">
        <v>2052</v>
      </c>
      <c r="C1260" t="s">
        <v>768</v>
      </c>
      <c r="D1260" s="2">
        <v>45919</v>
      </c>
      <c r="E1260" t="s">
        <v>158</v>
      </c>
      <c r="F1260" t="str">
        <f>VLOOKUP($C1260,Product_Dim!$A$2:$D$101,3,FALSE)</f>
        <v>Phillips and Sons</v>
      </c>
      <c r="G1260" t="str">
        <f>VLOOKUP($C1260,Product_Dim!$A$2:$D$101,2,FALSE)</f>
        <v>Clothing</v>
      </c>
      <c r="H1260">
        <v>3</v>
      </c>
      <c r="I1260">
        <v>583.52</v>
      </c>
      <c r="J1260">
        <v>7.0000000000000007E-2</v>
      </c>
      <c r="K1260" s="3">
        <v>1628.0208</v>
      </c>
      <c r="L1260" t="s">
        <v>854</v>
      </c>
      <c r="M1260" t="str">
        <f>VLOOKUP($E1260,Customer_Dim!$A$2:$F$501,3,FALSE)</f>
        <v>Male</v>
      </c>
      <c r="N1260" t="str">
        <f>VLOOKUP($E1260,Customer_Dim!$A$2:$F$501,5,FALSE)</f>
        <v>USA</v>
      </c>
      <c r="O1260" t="str">
        <f>VLOOKUP($E1260,Customer_Dim!$A$2:$F$501,6,FALSE)</f>
        <v>Silver</v>
      </c>
      <c r="P1260" t="str">
        <f>VLOOKUP($A1260,Store_Dim!$A$2:$F$21,3,FALSE)</f>
        <v>SouthNorth Nancyview</v>
      </c>
    </row>
    <row r="1261" spans="1:16" hidden="1" x14ac:dyDescent="0.25">
      <c r="A1261" t="s">
        <v>789</v>
      </c>
      <c r="B1261" t="s">
        <v>2670</v>
      </c>
      <c r="C1261" t="s">
        <v>768</v>
      </c>
      <c r="D1261" s="2">
        <v>45930</v>
      </c>
      <c r="E1261" t="s">
        <v>467</v>
      </c>
      <c r="F1261" t="str">
        <f>VLOOKUP($C1261,Product_Dim!$A$2:$D$101,3,FALSE)</f>
        <v>Phillips and Sons</v>
      </c>
      <c r="G1261" t="str">
        <f>VLOOKUP($C1261,Product_Dim!$A$2:$D$101,2,FALSE)</f>
        <v>Clothing</v>
      </c>
      <c r="H1261">
        <v>4</v>
      </c>
      <c r="I1261">
        <v>827.09</v>
      </c>
      <c r="J1261">
        <v>0.3</v>
      </c>
      <c r="K1261" s="3">
        <v>2315.8519999999999</v>
      </c>
      <c r="L1261" t="s">
        <v>852</v>
      </c>
      <c r="M1261" t="str">
        <f>VLOOKUP($E1261,Customer_Dim!$A$2:$F$501,3,FALSE)</f>
        <v>Female</v>
      </c>
      <c r="N1261" t="str">
        <f>VLOOKUP($E1261,Customer_Dim!$A$2:$F$501,5,FALSE)</f>
        <v>USA</v>
      </c>
      <c r="O1261" t="str">
        <f>VLOOKUP($E1261,Customer_Dim!$A$2:$F$501,6,FALSE)</f>
        <v>Platinum</v>
      </c>
      <c r="P1261" t="str">
        <f>VLOOKUP($A1261,Store_Dim!$A$2:$F$21,3,FALSE)</f>
        <v>SouthNorth Nancyview</v>
      </c>
    </row>
    <row r="1262" spans="1:16" hidden="1" x14ac:dyDescent="0.25">
      <c r="A1262" t="s">
        <v>789</v>
      </c>
      <c r="B1262" t="s">
        <v>2730</v>
      </c>
      <c r="C1262" t="s">
        <v>772</v>
      </c>
      <c r="D1262" s="2">
        <v>45731</v>
      </c>
      <c r="E1262" t="s">
        <v>520</v>
      </c>
      <c r="F1262" t="str">
        <f>VLOOKUP($C1262,Product_Dim!$A$2:$D$101,3,FALSE)</f>
        <v>Flores-King</v>
      </c>
      <c r="G1262" t="str">
        <f>VLOOKUP($C1262,Product_Dim!$A$2:$D$101,2,FALSE)</f>
        <v>Electronics</v>
      </c>
      <c r="H1262">
        <v>1</v>
      </c>
      <c r="I1262">
        <v>176.84</v>
      </c>
      <c r="J1262">
        <v>0.19</v>
      </c>
      <c r="K1262" s="3">
        <v>143.24039999999999</v>
      </c>
      <c r="L1262" t="s">
        <v>852</v>
      </c>
      <c r="M1262" t="str">
        <f>VLOOKUP($E1262,Customer_Dim!$A$2:$F$501,3,FALSE)</f>
        <v>Female</v>
      </c>
      <c r="N1262" t="str">
        <f>VLOOKUP($E1262,Customer_Dim!$A$2:$F$501,5,FALSE)</f>
        <v>USA</v>
      </c>
      <c r="O1262" t="str">
        <f>VLOOKUP($E1262,Customer_Dim!$A$2:$F$501,6,FALSE)</f>
        <v>Platinum</v>
      </c>
      <c r="P1262" t="str">
        <f>VLOOKUP($A1262,Store_Dim!$A$2:$F$21,3,FALSE)</f>
        <v>SouthNorth Nancyview</v>
      </c>
    </row>
    <row r="1263" spans="1:16" hidden="1" x14ac:dyDescent="0.25">
      <c r="A1263" t="s">
        <v>789</v>
      </c>
      <c r="B1263" t="s">
        <v>2768</v>
      </c>
      <c r="C1263" t="s">
        <v>774</v>
      </c>
      <c r="D1263" s="2">
        <v>45560</v>
      </c>
      <c r="E1263" t="s">
        <v>30</v>
      </c>
      <c r="F1263" t="str">
        <f>VLOOKUP($C1263,Product_Dim!$A$2:$D$101,3,FALSE)</f>
        <v>Campbell Ltd</v>
      </c>
      <c r="G1263" t="str">
        <f>VLOOKUP($C1263,Product_Dim!$A$2:$D$101,2,FALSE)</f>
        <v>Home</v>
      </c>
      <c r="H1263">
        <v>1</v>
      </c>
      <c r="I1263">
        <v>716.29</v>
      </c>
      <c r="J1263">
        <v>0.01</v>
      </c>
      <c r="K1263" s="3">
        <v>709.12709999999993</v>
      </c>
      <c r="L1263" t="s">
        <v>854</v>
      </c>
      <c r="M1263" t="str">
        <f>VLOOKUP($E1263,Customer_Dim!$A$2:$F$501,3,FALSE)</f>
        <v>Female</v>
      </c>
      <c r="N1263" t="str">
        <f>VLOOKUP($E1263,Customer_Dim!$A$2:$F$501,5,FALSE)</f>
        <v>USA</v>
      </c>
      <c r="O1263" t="str">
        <f>VLOOKUP($E1263,Customer_Dim!$A$2:$F$501,6,FALSE)</f>
        <v>Gold</v>
      </c>
      <c r="P1263" t="str">
        <f>VLOOKUP($A1263,Store_Dim!$A$2:$F$21,3,FALSE)</f>
        <v>SouthNorth Nancyview</v>
      </c>
    </row>
    <row r="1264" spans="1:16" hidden="1" x14ac:dyDescent="0.25">
      <c r="A1264" t="s">
        <v>789</v>
      </c>
      <c r="B1264" t="s">
        <v>1260</v>
      </c>
      <c r="C1264" t="s">
        <v>774</v>
      </c>
      <c r="D1264" s="2">
        <v>45244</v>
      </c>
      <c r="E1264" t="s">
        <v>95</v>
      </c>
      <c r="F1264" t="str">
        <f>VLOOKUP($C1264,Product_Dim!$A$2:$D$101,3,FALSE)</f>
        <v>Campbell Ltd</v>
      </c>
      <c r="G1264" t="str">
        <f>VLOOKUP($C1264,Product_Dim!$A$2:$D$101,2,FALSE)</f>
        <v>Home</v>
      </c>
      <c r="H1264">
        <v>1</v>
      </c>
      <c r="I1264">
        <v>848.69</v>
      </c>
      <c r="J1264">
        <v>0.04</v>
      </c>
      <c r="K1264" s="3">
        <v>814.74239999999998</v>
      </c>
      <c r="L1264" t="s">
        <v>857</v>
      </c>
      <c r="M1264" t="str">
        <f>VLOOKUP($E1264,Customer_Dim!$A$2:$F$501,3,FALSE)</f>
        <v>Female</v>
      </c>
      <c r="N1264" t="str">
        <f>VLOOKUP($E1264,Customer_Dim!$A$2:$F$501,5,FALSE)</f>
        <v>USA</v>
      </c>
      <c r="O1264" t="str">
        <f>VLOOKUP($E1264,Customer_Dim!$A$2:$F$501,6,FALSE)</f>
        <v>Gold</v>
      </c>
      <c r="P1264" t="str">
        <f>VLOOKUP($A1264,Store_Dim!$A$2:$F$21,3,FALSE)</f>
        <v>SouthNorth Nancyview</v>
      </c>
    </row>
    <row r="1265" spans="1:16" x14ac:dyDescent="0.25">
      <c r="A1265" t="s">
        <v>789</v>
      </c>
      <c r="B1265" t="s">
        <v>1448</v>
      </c>
      <c r="C1265" t="s">
        <v>774</v>
      </c>
      <c r="D1265" s="2">
        <v>45765</v>
      </c>
      <c r="E1265" t="s">
        <v>264</v>
      </c>
      <c r="F1265" t="str">
        <f>VLOOKUP($C1265,Product_Dim!$A$2:$D$101,3,FALSE)</f>
        <v>Campbell Ltd</v>
      </c>
      <c r="G1265" t="str">
        <f>VLOOKUP($C1265,Product_Dim!$A$2:$D$101,2,FALSE)</f>
        <v>Home</v>
      </c>
      <c r="H1265">
        <v>1</v>
      </c>
      <c r="I1265">
        <v>71.709999999999994</v>
      </c>
      <c r="J1265">
        <v>0.23</v>
      </c>
      <c r="K1265" s="3">
        <v>55.216700000000003</v>
      </c>
      <c r="L1265" t="s">
        <v>857</v>
      </c>
      <c r="M1265" t="str">
        <f>VLOOKUP($E1265,Customer_Dim!$A$2:$F$501,3,FALSE)</f>
        <v>Male</v>
      </c>
      <c r="N1265" t="str">
        <f>VLOOKUP($E1265,Customer_Dim!$A$2:$F$501,5,FALSE)</f>
        <v>USA</v>
      </c>
      <c r="O1265" t="str">
        <f>VLOOKUP($E1265,Customer_Dim!$A$2:$F$501,6,FALSE)</f>
        <v>Bronze</v>
      </c>
      <c r="P1265" t="str">
        <f>VLOOKUP($A1265,Store_Dim!$A$2:$F$21,3,FALSE)</f>
        <v>SouthNorth Nancyview</v>
      </c>
    </row>
    <row r="1266" spans="1:16" hidden="1" x14ac:dyDescent="0.25">
      <c r="A1266" t="s">
        <v>794</v>
      </c>
      <c r="B1266" t="s">
        <v>1951</v>
      </c>
      <c r="C1266" t="s">
        <v>571</v>
      </c>
      <c r="D1266" s="2">
        <v>45596</v>
      </c>
      <c r="E1266" t="s">
        <v>124</v>
      </c>
      <c r="F1266" t="str">
        <f>VLOOKUP($C1266,Product_Dim!$A$2:$D$101,3,FALSE)</f>
        <v>Hunt Inc</v>
      </c>
      <c r="G1266" t="str">
        <f>VLOOKUP($C1266,Product_Dim!$A$2:$D$101,2,FALSE)</f>
        <v>Electronics</v>
      </c>
      <c r="H1266">
        <v>2</v>
      </c>
      <c r="I1266">
        <v>374.42</v>
      </c>
      <c r="J1266">
        <v>0.21</v>
      </c>
      <c r="K1266" s="3">
        <v>591.58360000000005</v>
      </c>
      <c r="L1266" t="s">
        <v>857</v>
      </c>
      <c r="M1266" t="str">
        <f>VLOOKUP($E1266,Customer_Dim!$A$2:$F$501,3,FALSE)</f>
        <v>Female</v>
      </c>
      <c r="N1266" t="str">
        <f>VLOOKUP($E1266,Customer_Dim!$A$2:$F$501,5,FALSE)</f>
        <v>USA</v>
      </c>
      <c r="O1266" t="str">
        <f>VLOOKUP($E1266,Customer_Dim!$A$2:$F$501,6,FALSE)</f>
        <v>Gold</v>
      </c>
      <c r="P1266" t="str">
        <f>VLOOKUP($A1266,Store_Dim!$A$2:$F$21,3,FALSE)</f>
        <v>NorthHoodberg</v>
      </c>
    </row>
    <row r="1267" spans="1:16" x14ac:dyDescent="0.25">
      <c r="A1267" t="s">
        <v>794</v>
      </c>
      <c r="B1267" t="s">
        <v>2697</v>
      </c>
      <c r="C1267" t="s">
        <v>571</v>
      </c>
      <c r="D1267" s="2">
        <v>45379</v>
      </c>
      <c r="E1267" t="s">
        <v>213</v>
      </c>
      <c r="F1267" t="str">
        <f>VLOOKUP($C1267,Product_Dim!$A$2:$D$101,3,FALSE)</f>
        <v>Hunt Inc</v>
      </c>
      <c r="G1267" t="str">
        <f>VLOOKUP($C1267,Product_Dim!$A$2:$D$101,2,FALSE)</f>
        <v>Electronics</v>
      </c>
      <c r="H1267">
        <v>1</v>
      </c>
      <c r="I1267">
        <v>140.24</v>
      </c>
      <c r="J1267">
        <v>0.27</v>
      </c>
      <c r="K1267" s="3">
        <v>102.37520000000001</v>
      </c>
      <c r="L1267" t="s">
        <v>852</v>
      </c>
      <c r="M1267" t="str">
        <f>VLOOKUP($E1267,Customer_Dim!$A$2:$F$501,3,FALSE)</f>
        <v>Male</v>
      </c>
      <c r="N1267" t="str">
        <f>VLOOKUP($E1267,Customer_Dim!$A$2:$F$501,5,FALSE)</f>
        <v>USA</v>
      </c>
      <c r="O1267" t="str">
        <f>VLOOKUP($E1267,Customer_Dim!$A$2:$F$501,6,FALSE)</f>
        <v>Platinum</v>
      </c>
      <c r="P1267" t="str">
        <f>VLOOKUP($A1267,Store_Dim!$A$2:$F$21,3,FALSE)</f>
        <v>NorthHoodberg</v>
      </c>
    </row>
    <row r="1268" spans="1:16" hidden="1" x14ac:dyDescent="0.25">
      <c r="A1268" t="s">
        <v>794</v>
      </c>
      <c r="B1268" t="s">
        <v>2421</v>
      </c>
      <c r="C1268" t="s">
        <v>574</v>
      </c>
      <c r="D1268" s="2">
        <v>45374</v>
      </c>
      <c r="E1268" t="s">
        <v>278</v>
      </c>
      <c r="F1268" t="str">
        <f>VLOOKUP($C1268,Product_Dim!$A$2:$D$101,3,FALSE)</f>
        <v>Terry-Moore</v>
      </c>
      <c r="G1268" t="str">
        <f>VLOOKUP($C1268,Product_Dim!$A$2:$D$101,2,FALSE)</f>
        <v>Clothing</v>
      </c>
      <c r="H1268">
        <v>1</v>
      </c>
      <c r="I1268">
        <v>94.26</v>
      </c>
      <c r="J1268">
        <v>0.18</v>
      </c>
      <c r="K1268" s="3">
        <v>77.293200000000013</v>
      </c>
      <c r="L1268" t="s">
        <v>854</v>
      </c>
      <c r="M1268" t="str">
        <f>VLOOKUP($E1268,Customer_Dim!$A$2:$F$501,3,FALSE)</f>
        <v>Female</v>
      </c>
      <c r="N1268" t="str">
        <f>VLOOKUP($E1268,Customer_Dim!$A$2:$F$501,5,FALSE)</f>
        <v>USA</v>
      </c>
      <c r="O1268" t="str">
        <f>VLOOKUP($E1268,Customer_Dim!$A$2:$F$501,6,FALSE)</f>
        <v>Platinum</v>
      </c>
      <c r="P1268" t="str">
        <f>VLOOKUP($A1268,Store_Dim!$A$2:$F$21,3,FALSE)</f>
        <v>NorthHoodberg</v>
      </c>
    </row>
    <row r="1269" spans="1:16" hidden="1" x14ac:dyDescent="0.25">
      <c r="A1269" t="s">
        <v>794</v>
      </c>
      <c r="B1269" t="s">
        <v>2741</v>
      </c>
      <c r="C1269" t="s">
        <v>574</v>
      </c>
      <c r="D1269" s="2">
        <v>45797</v>
      </c>
      <c r="E1269" t="s">
        <v>419</v>
      </c>
      <c r="F1269" t="str">
        <f>VLOOKUP($C1269,Product_Dim!$A$2:$D$101,3,FALSE)</f>
        <v>Terry-Moore</v>
      </c>
      <c r="G1269" t="str">
        <f>VLOOKUP($C1269,Product_Dim!$A$2:$D$101,2,FALSE)</f>
        <v>Clothing</v>
      </c>
      <c r="H1269">
        <v>2</v>
      </c>
      <c r="I1269">
        <v>99.04</v>
      </c>
      <c r="J1269">
        <v>0.26</v>
      </c>
      <c r="K1269" s="3">
        <v>146.57919999999999</v>
      </c>
      <c r="L1269" t="s">
        <v>857</v>
      </c>
      <c r="M1269" t="str">
        <f>VLOOKUP($E1269,Customer_Dim!$A$2:$F$501,3,FALSE)</f>
        <v>Female</v>
      </c>
      <c r="N1269" t="str">
        <f>VLOOKUP($E1269,Customer_Dim!$A$2:$F$501,5,FALSE)</f>
        <v>USA</v>
      </c>
      <c r="O1269" t="str">
        <f>VLOOKUP($E1269,Customer_Dim!$A$2:$F$501,6,FALSE)</f>
        <v>Silver</v>
      </c>
      <c r="P1269" t="str">
        <f>VLOOKUP($A1269,Store_Dim!$A$2:$F$21,3,FALSE)</f>
        <v>NorthHoodberg</v>
      </c>
    </row>
    <row r="1270" spans="1:16" x14ac:dyDescent="0.25">
      <c r="A1270" t="s">
        <v>794</v>
      </c>
      <c r="B1270" t="s">
        <v>1911</v>
      </c>
      <c r="C1270" t="s">
        <v>596</v>
      </c>
      <c r="D1270" s="2">
        <v>45873</v>
      </c>
      <c r="E1270" t="s">
        <v>118</v>
      </c>
      <c r="F1270" t="str">
        <f>VLOOKUP($C1270,Product_Dim!$A$2:$D$101,3,FALSE)</f>
        <v>Hamilton Group</v>
      </c>
      <c r="G1270" t="str">
        <f>VLOOKUP($C1270,Product_Dim!$A$2:$D$101,2,FALSE)</f>
        <v>Home</v>
      </c>
      <c r="H1270">
        <v>3</v>
      </c>
      <c r="I1270">
        <v>900.63</v>
      </c>
      <c r="J1270">
        <v>0.11</v>
      </c>
      <c r="K1270" s="3">
        <v>2404.6821</v>
      </c>
      <c r="L1270" t="s">
        <v>857</v>
      </c>
      <c r="M1270" t="str">
        <f>VLOOKUP($E1270,Customer_Dim!$A$2:$F$501,3,FALSE)</f>
        <v>Male</v>
      </c>
      <c r="N1270" t="str">
        <f>VLOOKUP($E1270,Customer_Dim!$A$2:$F$501,5,FALSE)</f>
        <v>USA</v>
      </c>
      <c r="O1270" t="str">
        <f>VLOOKUP($E1270,Customer_Dim!$A$2:$F$501,6,FALSE)</f>
        <v>Silver</v>
      </c>
      <c r="P1270" t="str">
        <f>VLOOKUP($A1270,Store_Dim!$A$2:$F$21,3,FALSE)</f>
        <v>NorthHoodberg</v>
      </c>
    </row>
    <row r="1271" spans="1:16" hidden="1" x14ac:dyDescent="0.25">
      <c r="A1271" t="s">
        <v>794</v>
      </c>
      <c r="B1271" t="s">
        <v>2025</v>
      </c>
      <c r="C1271" t="s">
        <v>598</v>
      </c>
      <c r="D1271" s="2">
        <v>45308</v>
      </c>
      <c r="E1271" t="s">
        <v>100</v>
      </c>
      <c r="F1271" t="str">
        <f>VLOOKUP($C1271,Product_Dim!$A$2:$D$101,3,FALSE)</f>
        <v>Gibson, Hobbs and Weaver</v>
      </c>
      <c r="G1271" t="str">
        <f>VLOOKUP($C1271,Product_Dim!$A$2:$D$101,2,FALSE)</f>
        <v>Electronics</v>
      </c>
      <c r="H1271">
        <v>1</v>
      </c>
      <c r="I1271">
        <v>499.46</v>
      </c>
      <c r="J1271">
        <v>0.1</v>
      </c>
      <c r="K1271" s="3">
        <v>449.51400000000001</v>
      </c>
      <c r="L1271" t="s">
        <v>852</v>
      </c>
      <c r="M1271" t="str">
        <f>VLOOKUP($E1271,Customer_Dim!$A$2:$F$501,3,FALSE)</f>
        <v>Female</v>
      </c>
      <c r="N1271" t="str">
        <f>VLOOKUP($E1271,Customer_Dim!$A$2:$F$501,5,FALSE)</f>
        <v>USA</v>
      </c>
      <c r="O1271" t="str">
        <f>VLOOKUP($E1271,Customer_Dim!$A$2:$F$501,6,FALSE)</f>
        <v>Gold</v>
      </c>
      <c r="P1271" t="str">
        <f>VLOOKUP($A1271,Store_Dim!$A$2:$F$21,3,FALSE)</f>
        <v>NorthHoodberg</v>
      </c>
    </row>
    <row r="1272" spans="1:16" x14ac:dyDescent="0.25">
      <c r="A1272" t="s">
        <v>794</v>
      </c>
      <c r="B1272" t="s">
        <v>2241</v>
      </c>
      <c r="C1272" t="s">
        <v>598</v>
      </c>
      <c r="D1272" s="2">
        <v>45373</v>
      </c>
      <c r="E1272" t="s">
        <v>206</v>
      </c>
      <c r="F1272" t="str">
        <f>VLOOKUP($C1272,Product_Dim!$A$2:$D$101,3,FALSE)</f>
        <v>Gibson, Hobbs and Weaver</v>
      </c>
      <c r="G1272" t="str">
        <f>VLOOKUP($C1272,Product_Dim!$A$2:$D$101,2,FALSE)</f>
        <v>Electronics</v>
      </c>
      <c r="H1272">
        <v>3</v>
      </c>
      <c r="I1272">
        <v>250.14</v>
      </c>
      <c r="J1272">
        <v>0.23</v>
      </c>
      <c r="K1272" s="3">
        <v>577.82339999999999</v>
      </c>
      <c r="L1272" t="s">
        <v>854</v>
      </c>
      <c r="M1272" t="str">
        <f>VLOOKUP($E1272,Customer_Dim!$A$2:$F$501,3,FALSE)</f>
        <v>Male</v>
      </c>
      <c r="N1272" t="str">
        <f>VLOOKUP($E1272,Customer_Dim!$A$2:$F$501,5,FALSE)</f>
        <v>USA</v>
      </c>
      <c r="O1272" t="str">
        <f>VLOOKUP($E1272,Customer_Dim!$A$2:$F$501,6,FALSE)</f>
        <v>Bronze</v>
      </c>
      <c r="P1272" t="str">
        <f>VLOOKUP($A1272,Store_Dim!$A$2:$F$21,3,FALSE)</f>
        <v>NorthHoodberg</v>
      </c>
    </row>
    <row r="1273" spans="1:16" hidden="1" x14ac:dyDescent="0.25">
      <c r="A1273" t="s">
        <v>794</v>
      </c>
      <c r="B1273" t="s">
        <v>2349</v>
      </c>
      <c r="C1273" t="s">
        <v>602</v>
      </c>
      <c r="D1273" s="2">
        <v>45555</v>
      </c>
      <c r="E1273" t="s">
        <v>28</v>
      </c>
      <c r="F1273" t="str">
        <f>VLOOKUP($C1273,Product_Dim!$A$2:$D$101,3,FALSE)</f>
        <v>Dawson-Perkins</v>
      </c>
      <c r="G1273" t="str">
        <f>VLOOKUP($C1273,Product_Dim!$A$2:$D$101,2,FALSE)</f>
        <v>Electronics</v>
      </c>
      <c r="H1273">
        <v>3</v>
      </c>
      <c r="I1273">
        <v>162.16999999999999</v>
      </c>
      <c r="J1273">
        <v>0.15</v>
      </c>
      <c r="K1273" s="3">
        <v>413.5335</v>
      </c>
      <c r="L1273" t="s">
        <v>854</v>
      </c>
      <c r="M1273" t="str">
        <f>VLOOKUP($E1273,Customer_Dim!$A$2:$F$501,3,FALSE)</f>
        <v>Female</v>
      </c>
      <c r="N1273" t="str">
        <f>VLOOKUP($E1273,Customer_Dim!$A$2:$F$501,5,FALSE)</f>
        <v>USA</v>
      </c>
      <c r="O1273" t="str">
        <f>VLOOKUP($E1273,Customer_Dim!$A$2:$F$501,6,FALSE)</f>
        <v>Bronze</v>
      </c>
      <c r="P1273" t="str">
        <f>VLOOKUP($A1273,Store_Dim!$A$2:$F$21,3,FALSE)</f>
        <v>NorthHoodberg</v>
      </c>
    </row>
    <row r="1274" spans="1:16" hidden="1" x14ac:dyDescent="0.25">
      <c r="A1274" t="s">
        <v>794</v>
      </c>
      <c r="B1274" t="s">
        <v>1511</v>
      </c>
      <c r="C1274" t="s">
        <v>602</v>
      </c>
      <c r="D1274" s="2">
        <v>45633</v>
      </c>
      <c r="E1274" t="s">
        <v>41</v>
      </c>
      <c r="F1274" t="str">
        <f>VLOOKUP($C1274,Product_Dim!$A$2:$D$101,3,FALSE)</f>
        <v>Dawson-Perkins</v>
      </c>
      <c r="G1274" t="str">
        <f>VLOOKUP($C1274,Product_Dim!$A$2:$D$101,2,FALSE)</f>
        <v>Electronics</v>
      </c>
      <c r="H1274">
        <v>3</v>
      </c>
      <c r="I1274">
        <v>706.87</v>
      </c>
      <c r="J1274">
        <v>0.27</v>
      </c>
      <c r="K1274" s="3">
        <v>1548.0453</v>
      </c>
      <c r="L1274" t="s">
        <v>852</v>
      </c>
      <c r="M1274" t="str">
        <f>VLOOKUP($E1274,Customer_Dim!$A$2:$F$501,3,FALSE)</f>
        <v>Female</v>
      </c>
      <c r="N1274" t="str">
        <f>VLOOKUP($E1274,Customer_Dim!$A$2:$F$501,5,FALSE)</f>
        <v>USA</v>
      </c>
      <c r="O1274" t="str">
        <f>VLOOKUP($E1274,Customer_Dim!$A$2:$F$501,6,FALSE)</f>
        <v>Silver</v>
      </c>
      <c r="P1274" t="str">
        <f>VLOOKUP($A1274,Store_Dim!$A$2:$F$21,3,FALSE)</f>
        <v>NorthHoodberg</v>
      </c>
    </row>
    <row r="1275" spans="1:16" hidden="1" x14ac:dyDescent="0.25">
      <c r="A1275" t="s">
        <v>794</v>
      </c>
      <c r="B1275" t="s">
        <v>1772</v>
      </c>
      <c r="C1275" t="s">
        <v>602</v>
      </c>
      <c r="D1275" s="2">
        <v>45807</v>
      </c>
      <c r="E1275" t="s">
        <v>122</v>
      </c>
      <c r="F1275" t="str">
        <f>VLOOKUP($C1275,Product_Dim!$A$2:$D$101,3,FALSE)</f>
        <v>Dawson-Perkins</v>
      </c>
      <c r="G1275" t="str">
        <f>VLOOKUP($C1275,Product_Dim!$A$2:$D$101,2,FALSE)</f>
        <v>Electronics</v>
      </c>
      <c r="H1275">
        <v>2</v>
      </c>
      <c r="I1275">
        <v>183.85</v>
      </c>
      <c r="J1275">
        <v>0.14000000000000001</v>
      </c>
      <c r="K1275" s="3">
        <v>316.22199999999998</v>
      </c>
      <c r="L1275" t="s">
        <v>854</v>
      </c>
      <c r="M1275" t="str">
        <f>VLOOKUP($E1275,Customer_Dim!$A$2:$F$501,3,FALSE)</f>
        <v>Female</v>
      </c>
      <c r="N1275" t="str">
        <f>VLOOKUP($E1275,Customer_Dim!$A$2:$F$501,5,FALSE)</f>
        <v>USA</v>
      </c>
      <c r="O1275" t="str">
        <f>VLOOKUP($E1275,Customer_Dim!$A$2:$F$501,6,FALSE)</f>
        <v>Platinum</v>
      </c>
      <c r="P1275" t="str">
        <f>VLOOKUP($A1275,Store_Dim!$A$2:$F$21,3,FALSE)</f>
        <v>NorthHoodberg</v>
      </c>
    </row>
    <row r="1276" spans="1:16" hidden="1" x14ac:dyDescent="0.25">
      <c r="A1276" t="s">
        <v>794</v>
      </c>
      <c r="B1276" t="s">
        <v>978</v>
      </c>
      <c r="C1276" t="s">
        <v>604</v>
      </c>
      <c r="D1276" s="2">
        <v>45777</v>
      </c>
      <c r="E1276" t="s">
        <v>145</v>
      </c>
      <c r="F1276" t="str">
        <f>VLOOKUP($C1276,Product_Dim!$A$2:$D$101,3,FALSE)</f>
        <v>Luna, Anderson and Bowman</v>
      </c>
      <c r="G1276" t="str">
        <f>VLOOKUP($C1276,Product_Dim!$A$2:$D$101,2,FALSE)</f>
        <v>Home</v>
      </c>
      <c r="H1276">
        <v>2</v>
      </c>
      <c r="I1276">
        <v>44.35</v>
      </c>
      <c r="J1276">
        <v>0.2</v>
      </c>
      <c r="K1276" s="3">
        <v>70.960000000000008</v>
      </c>
      <c r="L1276" t="s">
        <v>857</v>
      </c>
      <c r="M1276" t="str">
        <f>VLOOKUP($E1276,Customer_Dim!$A$2:$F$501,3,FALSE)</f>
        <v>Female</v>
      </c>
      <c r="N1276" t="str">
        <f>VLOOKUP($E1276,Customer_Dim!$A$2:$F$501,5,FALSE)</f>
        <v>USA</v>
      </c>
      <c r="O1276" t="str">
        <f>VLOOKUP($E1276,Customer_Dim!$A$2:$F$501,6,FALSE)</f>
        <v>Bronze</v>
      </c>
      <c r="P1276" t="str">
        <f>VLOOKUP($A1276,Store_Dim!$A$2:$F$21,3,FALSE)</f>
        <v>NorthHoodberg</v>
      </c>
    </row>
    <row r="1277" spans="1:16" x14ac:dyDescent="0.25">
      <c r="A1277" t="s">
        <v>794</v>
      </c>
      <c r="B1277" t="s">
        <v>1956</v>
      </c>
      <c r="C1277" t="s">
        <v>606</v>
      </c>
      <c r="D1277" s="2">
        <v>45842</v>
      </c>
      <c r="E1277" t="s">
        <v>205</v>
      </c>
      <c r="F1277" t="str">
        <f>VLOOKUP($C1277,Product_Dim!$A$2:$D$101,3,FALSE)</f>
        <v>Thomas LLC</v>
      </c>
      <c r="G1277" t="str">
        <f>VLOOKUP($C1277,Product_Dim!$A$2:$D$101,2,FALSE)</f>
        <v>Electronics</v>
      </c>
      <c r="H1277">
        <v>4</v>
      </c>
      <c r="I1277">
        <v>243.92</v>
      </c>
      <c r="J1277">
        <v>0.02</v>
      </c>
      <c r="K1277" s="3">
        <v>956.16639999999995</v>
      </c>
      <c r="L1277" t="s">
        <v>854</v>
      </c>
      <c r="M1277" t="str">
        <f>VLOOKUP($E1277,Customer_Dim!$A$2:$F$501,3,FALSE)</f>
        <v>Male</v>
      </c>
      <c r="N1277" t="str">
        <f>VLOOKUP($E1277,Customer_Dim!$A$2:$F$501,5,FALSE)</f>
        <v>USA</v>
      </c>
      <c r="O1277" t="str">
        <f>VLOOKUP($E1277,Customer_Dim!$A$2:$F$501,6,FALSE)</f>
        <v>Bronze</v>
      </c>
      <c r="P1277" t="str">
        <f>VLOOKUP($A1277,Store_Dim!$A$2:$F$21,3,FALSE)</f>
        <v>NorthHoodberg</v>
      </c>
    </row>
    <row r="1278" spans="1:16" hidden="1" x14ac:dyDescent="0.25">
      <c r="A1278" t="s">
        <v>794</v>
      </c>
      <c r="B1278" t="s">
        <v>1959</v>
      </c>
      <c r="C1278" t="s">
        <v>606</v>
      </c>
      <c r="D1278" s="2">
        <v>45228</v>
      </c>
      <c r="E1278" t="s">
        <v>450</v>
      </c>
      <c r="F1278" t="str">
        <f>VLOOKUP($C1278,Product_Dim!$A$2:$D$101,3,FALSE)</f>
        <v>Thomas LLC</v>
      </c>
      <c r="G1278" t="str">
        <f>VLOOKUP($C1278,Product_Dim!$A$2:$D$101,2,FALSE)</f>
        <v>Electronics</v>
      </c>
      <c r="H1278">
        <v>4</v>
      </c>
      <c r="I1278">
        <v>921.83</v>
      </c>
      <c r="J1278">
        <v>0.27</v>
      </c>
      <c r="K1278" s="3">
        <v>2691.7435999999998</v>
      </c>
      <c r="L1278" t="s">
        <v>852</v>
      </c>
      <c r="M1278" t="str">
        <f>VLOOKUP($E1278,Customer_Dim!$A$2:$F$501,3,FALSE)</f>
        <v>Female</v>
      </c>
      <c r="N1278" t="str">
        <f>VLOOKUP($E1278,Customer_Dim!$A$2:$F$501,5,FALSE)</f>
        <v>USA</v>
      </c>
      <c r="O1278" t="str">
        <f>VLOOKUP($E1278,Customer_Dim!$A$2:$F$501,6,FALSE)</f>
        <v>Silver</v>
      </c>
      <c r="P1278" t="str">
        <f>VLOOKUP($A1278,Store_Dim!$A$2:$F$21,3,FALSE)</f>
        <v>NorthHoodberg</v>
      </c>
    </row>
    <row r="1279" spans="1:16" x14ac:dyDescent="0.25">
      <c r="A1279" t="s">
        <v>794</v>
      </c>
      <c r="B1279" t="s">
        <v>889</v>
      </c>
      <c r="C1279" t="s">
        <v>608</v>
      </c>
      <c r="D1279" s="2">
        <v>45878</v>
      </c>
      <c r="E1279" t="s">
        <v>283</v>
      </c>
      <c r="F1279" t="str">
        <f>VLOOKUP($C1279,Product_Dim!$A$2:$D$101,3,FALSE)</f>
        <v>Erickson-Green</v>
      </c>
      <c r="G1279" t="str">
        <f>VLOOKUP($C1279,Product_Dim!$A$2:$D$101,2,FALSE)</f>
        <v>Beauty</v>
      </c>
      <c r="H1279">
        <v>4</v>
      </c>
      <c r="I1279">
        <v>109.36</v>
      </c>
      <c r="J1279">
        <v>0.19</v>
      </c>
      <c r="K1279" s="3">
        <v>354.32639999999998</v>
      </c>
      <c r="L1279" t="s">
        <v>857</v>
      </c>
      <c r="M1279" t="str">
        <f>VLOOKUP($E1279,Customer_Dim!$A$2:$F$501,3,FALSE)</f>
        <v>Male</v>
      </c>
      <c r="N1279" t="str">
        <f>VLOOKUP($E1279,Customer_Dim!$A$2:$F$501,5,FALSE)</f>
        <v>USA</v>
      </c>
      <c r="O1279" t="str">
        <f>VLOOKUP($E1279,Customer_Dim!$A$2:$F$501,6,FALSE)</f>
        <v>Platinum</v>
      </c>
      <c r="P1279" t="str">
        <f>VLOOKUP($A1279,Store_Dim!$A$2:$F$21,3,FALSE)</f>
        <v>NorthHoodberg</v>
      </c>
    </row>
    <row r="1280" spans="1:16" x14ac:dyDescent="0.25">
      <c r="A1280" t="s">
        <v>794</v>
      </c>
      <c r="B1280" t="s">
        <v>984</v>
      </c>
      <c r="C1280" t="s">
        <v>610</v>
      </c>
      <c r="D1280" s="2">
        <v>45495</v>
      </c>
      <c r="E1280" t="s">
        <v>410</v>
      </c>
      <c r="F1280" t="str">
        <f>VLOOKUP($C1280,Product_Dim!$A$2:$D$101,3,FALSE)</f>
        <v>Ford, Murphy and Wilson</v>
      </c>
      <c r="G1280" t="str">
        <f>VLOOKUP($C1280,Product_Dim!$A$2:$D$101,2,FALSE)</f>
        <v>Sports</v>
      </c>
      <c r="H1280">
        <v>1</v>
      </c>
      <c r="I1280">
        <v>942.38</v>
      </c>
      <c r="J1280">
        <v>0.17</v>
      </c>
      <c r="K1280" s="3">
        <v>782.17539999999997</v>
      </c>
      <c r="L1280" t="s">
        <v>852</v>
      </c>
      <c r="M1280" t="str">
        <f>VLOOKUP($E1280,Customer_Dim!$A$2:$F$501,3,FALSE)</f>
        <v>Male</v>
      </c>
      <c r="N1280" t="str">
        <f>VLOOKUP($E1280,Customer_Dim!$A$2:$F$501,5,FALSE)</f>
        <v>USA</v>
      </c>
      <c r="O1280" t="str">
        <f>VLOOKUP($E1280,Customer_Dim!$A$2:$F$501,6,FALSE)</f>
        <v>Bronze</v>
      </c>
      <c r="P1280" t="str">
        <f>VLOOKUP($A1280,Store_Dim!$A$2:$F$21,3,FALSE)</f>
        <v>NorthHoodberg</v>
      </c>
    </row>
    <row r="1281" spans="1:16" x14ac:dyDescent="0.25">
      <c r="A1281" t="s">
        <v>794</v>
      </c>
      <c r="B1281" t="s">
        <v>2674</v>
      </c>
      <c r="C1281" t="s">
        <v>612</v>
      </c>
      <c r="D1281" s="2">
        <v>45312</v>
      </c>
      <c r="E1281" t="s">
        <v>88</v>
      </c>
      <c r="F1281" t="str">
        <f>VLOOKUP($C1281,Product_Dim!$A$2:$D$101,3,FALSE)</f>
        <v>Guerra-Hendrix</v>
      </c>
      <c r="G1281" t="str">
        <f>VLOOKUP($C1281,Product_Dim!$A$2:$D$101,2,FALSE)</f>
        <v>Clothing</v>
      </c>
      <c r="H1281">
        <v>2</v>
      </c>
      <c r="I1281">
        <v>603.62</v>
      </c>
      <c r="J1281">
        <v>0.18</v>
      </c>
      <c r="K1281" s="3">
        <v>989.93680000000006</v>
      </c>
      <c r="L1281" t="s">
        <v>857</v>
      </c>
      <c r="M1281" t="str">
        <f>VLOOKUP($E1281,Customer_Dim!$A$2:$F$501,3,FALSE)</f>
        <v>Male</v>
      </c>
      <c r="N1281" t="str">
        <f>VLOOKUP($E1281,Customer_Dim!$A$2:$F$501,5,FALSE)</f>
        <v>USA</v>
      </c>
      <c r="O1281" t="str">
        <f>VLOOKUP($E1281,Customer_Dim!$A$2:$F$501,6,FALSE)</f>
        <v>Bronze</v>
      </c>
      <c r="P1281" t="str">
        <f>VLOOKUP($A1281,Store_Dim!$A$2:$F$21,3,FALSE)</f>
        <v>NorthHoodberg</v>
      </c>
    </row>
    <row r="1282" spans="1:16" hidden="1" x14ac:dyDescent="0.25">
      <c r="A1282" t="s">
        <v>794</v>
      </c>
      <c r="B1282" t="s">
        <v>2012</v>
      </c>
      <c r="C1282" t="s">
        <v>612</v>
      </c>
      <c r="D1282" s="2">
        <v>45559</v>
      </c>
      <c r="E1282" t="s">
        <v>91</v>
      </c>
      <c r="F1282" t="str">
        <f>VLOOKUP($C1282,Product_Dim!$A$2:$D$101,3,FALSE)</f>
        <v>Guerra-Hendrix</v>
      </c>
      <c r="G1282" t="str">
        <f>VLOOKUP($C1282,Product_Dim!$A$2:$D$101,2,FALSE)</f>
        <v>Clothing</v>
      </c>
      <c r="H1282">
        <v>2</v>
      </c>
      <c r="I1282">
        <v>382.2</v>
      </c>
      <c r="J1282">
        <v>0.15</v>
      </c>
      <c r="K1282" s="3">
        <v>649.74</v>
      </c>
      <c r="L1282" t="s">
        <v>852</v>
      </c>
      <c r="M1282" t="str">
        <f>VLOOKUP($E1282,Customer_Dim!$A$2:$F$501,3,FALSE)</f>
        <v>Female</v>
      </c>
      <c r="N1282" t="str">
        <f>VLOOKUP($E1282,Customer_Dim!$A$2:$F$501,5,FALSE)</f>
        <v>USA</v>
      </c>
      <c r="O1282" t="str">
        <f>VLOOKUP($E1282,Customer_Dim!$A$2:$F$501,6,FALSE)</f>
        <v>Silver</v>
      </c>
      <c r="P1282" t="str">
        <f>VLOOKUP($A1282,Store_Dim!$A$2:$F$21,3,FALSE)</f>
        <v>NorthHoodberg</v>
      </c>
    </row>
    <row r="1283" spans="1:16" x14ac:dyDescent="0.25">
      <c r="A1283" t="s">
        <v>794</v>
      </c>
      <c r="B1283" t="s">
        <v>1728</v>
      </c>
      <c r="C1283" t="s">
        <v>614</v>
      </c>
      <c r="D1283" s="2">
        <v>45661</v>
      </c>
      <c r="E1283" t="s">
        <v>260</v>
      </c>
      <c r="F1283" t="str">
        <f>VLOOKUP($C1283,Product_Dim!$A$2:$D$101,3,FALSE)</f>
        <v>May-Reese</v>
      </c>
      <c r="G1283" t="str">
        <f>VLOOKUP($C1283,Product_Dim!$A$2:$D$101,2,FALSE)</f>
        <v>Sports</v>
      </c>
      <c r="H1283">
        <v>1</v>
      </c>
      <c r="I1283">
        <v>270.45</v>
      </c>
      <c r="J1283">
        <v>0.15</v>
      </c>
      <c r="K1283" s="3">
        <v>229.88249999999999</v>
      </c>
      <c r="L1283" t="s">
        <v>857</v>
      </c>
      <c r="M1283" t="str">
        <f>VLOOKUP($E1283,Customer_Dim!$A$2:$F$501,3,FALSE)</f>
        <v>Male</v>
      </c>
      <c r="N1283" t="str">
        <f>VLOOKUP($E1283,Customer_Dim!$A$2:$F$501,5,FALSE)</f>
        <v>USA</v>
      </c>
      <c r="O1283" t="str">
        <f>VLOOKUP($E1283,Customer_Dim!$A$2:$F$501,6,FALSE)</f>
        <v>Silver</v>
      </c>
      <c r="P1283" t="str">
        <f>VLOOKUP($A1283,Store_Dim!$A$2:$F$21,3,FALSE)</f>
        <v>NorthHoodberg</v>
      </c>
    </row>
    <row r="1284" spans="1:16" x14ac:dyDescent="0.25">
      <c r="A1284" t="s">
        <v>794</v>
      </c>
      <c r="B1284" t="s">
        <v>2728</v>
      </c>
      <c r="C1284" t="s">
        <v>577</v>
      </c>
      <c r="D1284" s="2">
        <v>45426</v>
      </c>
      <c r="E1284" t="s">
        <v>187</v>
      </c>
      <c r="F1284" t="str">
        <f>VLOOKUP($C1284,Product_Dim!$A$2:$D$101,3,FALSE)</f>
        <v>Sims Inc</v>
      </c>
      <c r="G1284" t="str">
        <f>VLOOKUP($C1284,Product_Dim!$A$2:$D$101,2,FALSE)</f>
        <v>Clothing</v>
      </c>
      <c r="H1284">
        <v>4</v>
      </c>
      <c r="I1284">
        <v>591.9</v>
      </c>
      <c r="J1284">
        <v>0.2</v>
      </c>
      <c r="K1284" s="3">
        <v>1894.08</v>
      </c>
      <c r="L1284" t="s">
        <v>854</v>
      </c>
      <c r="M1284" t="str">
        <f>VLOOKUP($E1284,Customer_Dim!$A$2:$F$501,3,FALSE)</f>
        <v>Male</v>
      </c>
      <c r="N1284" t="str">
        <f>VLOOKUP($E1284,Customer_Dim!$A$2:$F$501,5,FALSE)</f>
        <v>USA</v>
      </c>
      <c r="O1284" t="str">
        <f>VLOOKUP($E1284,Customer_Dim!$A$2:$F$501,6,FALSE)</f>
        <v>Bronze</v>
      </c>
      <c r="P1284" t="str">
        <f>VLOOKUP($A1284,Store_Dim!$A$2:$F$21,3,FALSE)</f>
        <v>NorthHoodberg</v>
      </c>
    </row>
    <row r="1285" spans="1:16" hidden="1" x14ac:dyDescent="0.25">
      <c r="A1285" t="s">
        <v>794</v>
      </c>
      <c r="B1285" t="s">
        <v>940</v>
      </c>
      <c r="C1285" t="s">
        <v>616</v>
      </c>
      <c r="D1285" s="2">
        <v>45545</v>
      </c>
      <c r="E1285" t="s">
        <v>370</v>
      </c>
      <c r="F1285" t="str">
        <f>VLOOKUP($C1285,Product_Dim!$A$2:$D$101,3,FALSE)</f>
        <v>Soto-Ellis</v>
      </c>
      <c r="G1285" t="str">
        <f>VLOOKUP($C1285,Product_Dim!$A$2:$D$101,2,FALSE)</f>
        <v>Sports</v>
      </c>
      <c r="H1285">
        <v>3</v>
      </c>
      <c r="I1285">
        <v>899.58</v>
      </c>
      <c r="J1285">
        <v>0.28000000000000003</v>
      </c>
      <c r="K1285" s="3">
        <v>1943.0927999999999</v>
      </c>
      <c r="L1285" t="s">
        <v>854</v>
      </c>
      <c r="M1285" t="str">
        <f>VLOOKUP($E1285,Customer_Dim!$A$2:$F$501,3,FALSE)</f>
        <v>Female</v>
      </c>
      <c r="N1285" t="str">
        <f>VLOOKUP($E1285,Customer_Dim!$A$2:$F$501,5,FALSE)</f>
        <v>USA</v>
      </c>
      <c r="O1285" t="str">
        <f>VLOOKUP($E1285,Customer_Dim!$A$2:$F$501,6,FALSE)</f>
        <v>Platinum</v>
      </c>
      <c r="P1285" t="str">
        <f>VLOOKUP($A1285,Store_Dim!$A$2:$F$21,3,FALSE)</f>
        <v>NorthHoodberg</v>
      </c>
    </row>
    <row r="1286" spans="1:16" hidden="1" x14ac:dyDescent="0.25">
      <c r="A1286" t="s">
        <v>794</v>
      </c>
      <c r="B1286" t="s">
        <v>2109</v>
      </c>
      <c r="C1286" t="s">
        <v>616</v>
      </c>
      <c r="D1286" s="2">
        <v>45402</v>
      </c>
      <c r="E1286" t="s">
        <v>564</v>
      </c>
      <c r="F1286" t="str">
        <f>VLOOKUP($C1286,Product_Dim!$A$2:$D$101,3,FALSE)</f>
        <v>Soto-Ellis</v>
      </c>
      <c r="G1286" t="str">
        <f>VLOOKUP($C1286,Product_Dim!$A$2:$D$101,2,FALSE)</f>
        <v>Sports</v>
      </c>
      <c r="H1286">
        <v>4</v>
      </c>
      <c r="I1286">
        <v>176.13</v>
      </c>
      <c r="J1286">
        <v>0.27</v>
      </c>
      <c r="K1286" s="3">
        <v>514.29959999999994</v>
      </c>
      <c r="L1286" t="s">
        <v>854</v>
      </c>
      <c r="M1286" t="str">
        <f>VLOOKUP($E1286,Customer_Dim!$A$2:$F$501,3,FALSE)</f>
        <v>Female</v>
      </c>
      <c r="N1286" t="str">
        <f>VLOOKUP($E1286,Customer_Dim!$A$2:$F$501,5,FALSE)</f>
        <v>USA</v>
      </c>
      <c r="O1286" t="str">
        <f>VLOOKUP($E1286,Customer_Dim!$A$2:$F$501,6,FALSE)</f>
        <v>Gold</v>
      </c>
      <c r="P1286" t="str">
        <f>VLOOKUP($A1286,Store_Dim!$A$2:$F$21,3,FALSE)</f>
        <v>NorthHoodberg</v>
      </c>
    </row>
    <row r="1287" spans="1:16" x14ac:dyDescent="0.25">
      <c r="A1287" t="s">
        <v>794</v>
      </c>
      <c r="B1287" t="s">
        <v>1126</v>
      </c>
      <c r="C1287" t="s">
        <v>622</v>
      </c>
      <c r="D1287" s="2">
        <v>45693</v>
      </c>
      <c r="E1287" t="s">
        <v>72</v>
      </c>
      <c r="F1287" t="str">
        <f>VLOOKUP($C1287,Product_Dim!$A$2:$D$101,3,FALSE)</f>
        <v>Moon, Mora and Santos</v>
      </c>
      <c r="G1287" t="str">
        <f>VLOOKUP($C1287,Product_Dim!$A$2:$D$101,2,FALSE)</f>
        <v>Clothing</v>
      </c>
      <c r="H1287">
        <v>3</v>
      </c>
      <c r="I1287">
        <v>610.24</v>
      </c>
      <c r="J1287">
        <v>0.17</v>
      </c>
      <c r="K1287" s="3">
        <v>1519.4975999999999</v>
      </c>
      <c r="L1287" t="s">
        <v>857</v>
      </c>
      <c r="M1287" t="str">
        <f>VLOOKUP($E1287,Customer_Dim!$A$2:$F$501,3,FALSE)</f>
        <v>Male</v>
      </c>
      <c r="N1287" t="str">
        <f>VLOOKUP($E1287,Customer_Dim!$A$2:$F$501,5,FALSE)</f>
        <v>USA</v>
      </c>
      <c r="O1287" t="str">
        <f>VLOOKUP($E1287,Customer_Dim!$A$2:$F$501,6,FALSE)</f>
        <v>Platinum</v>
      </c>
      <c r="P1287" t="str">
        <f>VLOOKUP($A1287,Store_Dim!$A$2:$F$21,3,FALSE)</f>
        <v>NorthHoodberg</v>
      </c>
    </row>
    <row r="1288" spans="1:16" hidden="1" x14ac:dyDescent="0.25">
      <c r="A1288" t="s">
        <v>794</v>
      </c>
      <c r="B1288" t="s">
        <v>1618</v>
      </c>
      <c r="C1288" t="s">
        <v>624</v>
      </c>
      <c r="D1288" s="2">
        <v>45745</v>
      </c>
      <c r="E1288" t="s">
        <v>472</v>
      </c>
      <c r="F1288" t="str">
        <f>VLOOKUP($C1288,Product_Dim!$A$2:$D$101,3,FALSE)</f>
        <v>Cook Ltd</v>
      </c>
      <c r="G1288" t="str">
        <f>VLOOKUP($C1288,Product_Dim!$A$2:$D$101,2,FALSE)</f>
        <v>Sports</v>
      </c>
      <c r="H1288">
        <v>1</v>
      </c>
      <c r="I1288">
        <v>387.99</v>
      </c>
      <c r="J1288">
        <v>0.3</v>
      </c>
      <c r="K1288" s="3">
        <v>271.59300000000002</v>
      </c>
      <c r="L1288" t="s">
        <v>852</v>
      </c>
      <c r="M1288" t="str">
        <f>VLOOKUP($E1288,Customer_Dim!$A$2:$F$501,3,FALSE)</f>
        <v>Female</v>
      </c>
      <c r="N1288" t="str">
        <f>VLOOKUP($E1288,Customer_Dim!$A$2:$F$501,5,FALSE)</f>
        <v>USA</v>
      </c>
      <c r="O1288" t="str">
        <f>VLOOKUP($E1288,Customer_Dim!$A$2:$F$501,6,FALSE)</f>
        <v>Gold</v>
      </c>
      <c r="P1288" t="str">
        <f>VLOOKUP($A1288,Store_Dim!$A$2:$F$21,3,FALSE)</f>
        <v>NorthHoodberg</v>
      </c>
    </row>
    <row r="1289" spans="1:16" hidden="1" x14ac:dyDescent="0.25">
      <c r="A1289" t="s">
        <v>794</v>
      </c>
      <c r="B1289" t="s">
        <v>2280</v>
      </c>
      <c r="C1289" t="s">
        <v>626</v>
      </c>
      <c r="D1289" s="2">
        <v>45548</v>
      </c>
      <c r="E1289" t="s">
        <v>526</v>
      </c>
      <c r="F1289" t="str">
        <f>VLOOKUP($C1289,Product_Dim!$A$2:$D$101,3,FALSE)</f>
        <v>Brown and Sons</v>
      </c>
      <c r="G1289" t="str">
        <f>VLOOKUP($C1289,Product_Dim!$A$2:$D$101,2,FALSE)</f>
        <v>Clothing</v>
      </c>
      <c r="H1289">
        <v>3</v>
      </c>
      <c r="I1289">
        <v>247.66</v>
      </c>
      <c r="J1289">
        <v>0.02</v>
      </c>
      <c r="K1289" s="3">
        <v>728.12040000000002</v>
      </c>
      <c r="L1289" t="s">
        <v>857</v>
      </c>
      <c r="M1289" t="str">
        <f>VLOOKUP($E1289,Customer_Dim!$A$2:$F$501,3,FALSE)</f>
        <v>Female</v>
      </c>
      <c r="N1289" t="str">
        <f>VLOOKUP($E1289,Customer_Dim!$A$2:$F$501,5,FALSE)</f>
        <v>USA</v>
      </c>
      <c r="O1289" t="str">
        <f>VLOOKUP($E1289,Customer_Dim!$A$2:$F$501,6,FALSE)</f>
        <v>Gold</v>
      </c>
      <c r="P1289" t="str">
        <f>VLOOKUP($A1289,Store_Dim!$A$2:$F$21,3,FALSE)</f>
        <v>NorthHoodberg</v>
      </c>
    </row>
    <row r="1290" spans="1:16" x14ac:dyDescent="0.25">
      <c r="A1290" t="s">
        <v>794</v>
      </c>
      <c r="B1290" t="s">
        <v>1851</v>
      </c>
      <c r="C1290" t="s">
        <v>630</v>
      </c>
      <c r="D1290" s="2">
        <v>45805</v>
      </c>
      <c r="E1290" t="s">
        <v>255</v>
      </c>
      <c r="F1290" t="str">
        <f>VLOOKUP($C1290,Product_Dim!$A$2:$D$101,3,FALSE)</f>
        <v>Khan, Jones and Paul</v>
      </c>
      <c r="G1290" t="str">
        <f>VLOOKUP($C1290,Product_Dim!$A$2:$D$101,2,FALSE)</f>
        <v>Home</v>
      </c>
      <c r="H1290">
        <v>3</v>
      </c>
      <c r="I1290">
        <v>530.16999999999996</v>
      </c>
      <c r="J1290">
        <v>0.18</v>
      </c>
      <c r="K1290" s="3">
        <v>1304.2182</v>
      </c>
      <c r="L1290" t="s">
        <v>854</v>
      </c>
      <c r="M1290" t="str">
        <f>VLOOKUP($E1290,Customer_Dim!$A$2:$F$501,3,FALSE)</f>
        <v>Male</v>
      </c>
      <c r="N1290" t="str">
        <f>VLOOKUP($E1290,Customer_Dim!$A$2:$F$501,5,FALSE)</f>
        <v>USA</v>
      </c>
      <c r="O1290" t="str">
        <f>VLOOKUP($E1290,Customer_Dim!$A$2:$F$501,6,FALSE)</f>
        <v>Bronze</v>
      </c>
      <c r="P1290" t="str">
        <f>VLOOKUP($A1290,Store_Dim!$A$2:$F$21,3,FALSE)</f>
        <v>NorthHoodberg</v>
      </c>
    </row>
    <row r="1291" spans="1:16" x14ac:dyDescent="0.25">
      <c r="A1291" t="s">
        <v>794</v>
      </c>
      <c r="B1291" t="s">
        <v>2578</v>
      </c>
      <c r="C1291" t="s">
        <v>630</v>
      </c>
      <c r="D1291" s="2">
        <v>45685</v>
      </c>
      <c r="E1291" t="s">
        <v>459</v>
      </c>
      <c r="F1291" t="str">
        <f>VLOOKUP($C1291,Product_Dim!$A$2:$D$101,3,FALSE)</f>
        <v>Khan, Jones and Paul</v>
      </c>
      <c r="G1291" t="str">
        <f>VLOOKUP($C1291,Product_Dim!$A$2:$D$101,2,FALSE)</f>
        <v>Home</v>
      </c>
      <c r="H1291">
        <v>3</v>
      </c>
      <c r="I1291">
        <v>523.45000000000005</v>
      </c>
      <c r="J1291">
        <v>0.17</v>
      </c>
      <c r="K1291" s="3">
        <v>1303.3905</v>
      </c>
      <c r="L1291" t="s">
        <v>852</v>
      </c>
      <c r="M1291" t="str">
        <f>VLOOKUP($E1291,Customer_Dim!$A$2:$F$501,3,FALSE)</f>
        <v>Male</v>
      </c>
      <c r="N1291" t="str">
        <f>VLOOKUP($E1291,Customer_Dim!$A$2:$F$501,5,FALSE)</f>
        <v>USA</v>
      </c>
      <c r="O1291" t="str">
        <f>VLOOKUP($E1291,Customer_Dim!$A$2:$F$501,6,FALSE)</f>
        <v>Gold</v>
      </c>
      <c r="P1291" t="str">
        <f>VLOOKUP($A1291,Store_Dim!$A$2:$F$21,3,FALSE)</f>
        <v>NorthHoodberg</v>
      </c>
    </row>
    <row r="1292" spans="1:16" hidden="1" x14ac:dyDescent="0.25">
      <c r="A1292" t="s">
        <v>794</v>
      </c>
      <c r="B1292" t="s">
        <v>2356</v>
      </c>
      <c r="C1292" t="s">
        <v>632</v>
      </c>
      <c r="D1292" s="2">
        <v>45548</v>
      </c>
      <c r="E1292" t="s">
        <v>90</v>
      </c>
      <c r="F1292" t="str">
        <f>VLOOKUP($C1292,Product_Dim!$A$2:$D$101,3,FALSE)</f>
        <v>Burns-Hansen</v>
      </c>
      <c r="G1292" t="str">
        <f>VLOOKUP($C1292,Product_Dim!$A$2:$D$101,2,FALSE)</f>
        <v>Sports</v>
      </c>
      <c r="H1292">
        <v>4</v>
      </c>
      <c r="I1292">
        <v>566.09</v>
      </c>
      <c r="J1292">
        <v>0.28000000000000003</v>
      </c>
      <c r="K1292" s="3">
        <v>1630.3391999999999</v>
      </c>
      <c r="L1292" t="s">
        <v>857</v>
      </c>
      <c r="M1292" t="str">
        <f>VLOOKUP($E1292,Customer_Dim!$A$2:$F$501,3,FALSE)</f>
        <v>Female</v>
      </c>
      <c r="N1292" t="str">
        <f>VLOOKUP($E1292,Customer_Dim!$A$2:$F$501,5,FALSE)</f>
        <v>USA</v>
      </c>
      <c r="O1292" t="str">
        <f>VLOOKUP($E1292,Customer_Dim!$A$2:$F$501,6,FALSE)</f>
        <v>Platinum</v>
      </c>
      <c r="P1292" t="str">
        <f>VLOOKUP($A1292,Store_Dim!$A$2:$F$21,3,FALSE)</f>
        <v>NorthHoodberg</v>
      </c>
    </row>
    <row r="1293" spans="1:16" hidden="1" x14ac:dyDescent="0.25">
      <c r="A1293" t="s">
        <v>794</v>
      </c>
      <c r="B1293" t="s">
        <v>1417</v>
      </c>
      <c r="C1293" t="s">
        <v>579</v>
      </c>
      <c r="D1293" s="2">
        <v>45223</v>
      </c>
      <c r="E1293" t="s">
        <v>35</v>
      </c>
      <c r="F1293" t="str">
        <f>VLOOKUP($C1293,Product_Dim!$A$2:$D$101,3,FALSE)</f>
        <v>Pineda Ltd</v>
      </c>
      <c r="G1293" t="str">
        <f>VLOOKUP($C1293,Product_Dim!$A$2:$D$101,2,FALSE)</f>
        <v>Clothing</v>
      </c>
      <c r="H1293">
        <v>3</v>
      </c>
      <c r="I1293">
        <v>728.32</v>
      </c>
      <c r="J1293">
        <v>0.01</v>
      </c>
      <c r="K1293" s="3">
        <v>2163.1104</v>
      </c>
      <c r="L1293" t="s">
        <v>852</v>
      </c>
      <c r="M1293" t="str">
        <f>VLOOKUP($E1293,Customer_Dim!$A$2:$F$501,3,FALSE)</f>
        <v>Female</v>
      </c>
      <c r="N1293" t="str">
        <f>VLOOKUP($E1293,Customer_Dim!$A$2:$F$501,5,FALSE)</f>
        <v>USA</v>
      </c>
      <c r="O1293" t="str">
        <f>VLOOKUP($E1293,Customer_Dim!$A$2:$F$501,6,FALSE)</f>
        <v>Gold</v>
      </c>
      <c r="P1293" t="str">
        <f>VLOOKUP($A1293,Store_Dim!$A$2:$F$21,3,FALSE)</f>
        <v>NorthHoodberg</v>
      </c>
    </row>
    <row r="1294" spans="1:16" hidden="1" x14ac:dyDescent="0.25">
      <c r="A1294" t="s">
        <v>794</v>
      </c>
      <c r="B1294" t="s">
        <v>951</v>
      </c>
      <c r="C1294" t="s">
        <v>579</v>
      </c>
      <c r="D1294" s="2">
        <v>45587</v>
      </c>
      <c r="E1294" t="s">
        <v>354</v>
      </c>
      <c r="F1294" t="str">
        <f>VLOOKUP($C1294,Product_Dim!$A$2:$D$101,3,FALSE)</f>
        <v>Pineda Ltd</v>
      </c>
      <c r="G1294" t="str">
        <f>VLOOKUP($C1294,Product_Dim!$A$2:$D$101,2,FALSE)</f>
        <v>Clothing</v>
      </c>
      <c r="H1294">
        <v>3</v>
      </c>
      <c r="I1294">
        <v>751.94</v>
      </c>
      <c r="J1294">
        <v>0.26</v>
      </c>
      <c r="K1294" s="3">
        <v>1669.3068000000001</v>
      </c>
      <c r="L1294" t="s">
        <v>854</v>
      </c>
      <c r="M1294" t="str">
        <f>VLOOKUP($E1294,Customer_Dim!$A$2:$F$501,3,FALSE)</f>
        <v>Female</v>
      </c>
      <c r="N1294" t="str">
        <f>VLOOKUP($E1294,Customer_Dim!$A$2:$F$501,5,FALSE)</f>
        <v>USA</v>
      </c>
      <c r="O1294" t="str">
        <f>VLOOKUP($E1294,Customer_Dim!$A$2:$F$501,6,FALSE)</f>
        <v>Gold</v>
      </c>
      <c r="P1294" t="str">
        <f>VLOOKUP($A1294,Store_Dim!$A$2:$F$21,3,FALSE)</f>
        <v>NorthHoodberg</v>
      </c>
    </row>
    <row r="1295" spans="1:16" x14ac:dyDescent="0.25">
      <c r="A1295" t="s">
        <v>794</v>
      </c>
      <c r="B1295" t="s">
        <v>2500</v>
      </c>
      <c r="C1295" t="s">
        <v>636</v>
      </c>
      <c r="D1295" s="2">
        <v>45875</v>
      </c>
      <c r="E1295" t="s">
        <v>82</v>
      </c>
      <c r="F1295" t="str">
        <f>VLOOKUP($C1295,Product_Dim!$A$2:$D$101,3,FALSE)</f>
        <v>Stevens, Fernandez and Martin</v>
      </c>
      <c r="G1295" t="str">
        <f>VLOOKUP($C1295,Product_Dim!$A$2:$D$101,2,FALSE)</f>
        <v>Home</v>
      </c>
      <c r="H1295">
        <v>2</v>
      </c>
      <c r="I1295">
        <v>379.28</v>
      </c>
      <c r="J1295">
        <v>0.26</v>
      </c>
      <c r="K1295" s="3">
        <v>561.33439999999996</v>
      </c>
      <c r="L1295" t="s">
        <v>852</v>
      </c>
      <c r="M1295" t="str">
        <f>VLOOKUP($E1295,Customer_Dim!$A$2:$F$501,3,FALSE)</f>
        <v>Male</v>
      </c>
      <c r="N1295" t="str">
        <f>VLOOKUP($E1295,Customer_Dim!$A$2:$F$501,5,FALSE)</f>
        <v>USA</v>
      </c>
      <c r="O1295" t="str">
        <f>VLOOKUP($E1295,Customer_Dim!$A$2:$F$501,6,FALSE)</f>
        <v>Platinum</v>
      </c>
      <c r="P1295" t="str">
        <f>VLOOKUP($A1295,Store_Dim!$A$2:$F$21,3,FALSE)</f>
        <v>NorthHoodberg</v>
      </c>
    </row>
    <row r="1296" spans="1:16" x14ac:dyDescent="0.25">
      <c r="A1296" t="s">
        <v>794</v>
      </c>
      <c r="B1296" t="s">
        <v>1681</v>
      </c>
      <c r="C1296" t="s">
        <v>638</v>
      </c>
      <c r="D1296" s="2">
        <v>45734</v>
      </c>
      <c r="E1296" t="s">
        <v>166</v>
      </c>
      <c r="F1296" t="str">
        <f>VLOOKUP($C1296,Product_Dim!$A$2:$D$101,3,FALSE)</f>
        <v>Nolan-Snow</v>
      </c>
      <c r="G1296" t="str">
        <f>VLOOKUP($C1296,Product_Dim!$A$2:$D$101,2,FALSE)</f>
        <v>Sports</v>
      </c>
      <c r="H1296">
        <v>1</v>
      </c>
      <c r="I1296">
        <v>36.799999999999997</v>
      </c>
      <c r="J1296">
        <v>0.18</v>
      </c>
      <c r="K1296" s="3">
        <v>30.175999999999998</v>
      </c>
      <c r="L1296" t="s">
        <v>852</v>
      </c>
      <c r="M1296" t="str">
        <f>VLOOKUP($E1296,Customer_Dim!$A$2:$F$501,3,FALSE)</f>
        <v>Male</v>
      </c>
      <c r="N1296" t="str">
        <f>VLOOKUP($E1296,Customer_Dim!$A$2:$F$501,5,FALSE)</f>
        <v>USA</v>
      </c>
      <c r="O1296" t="str">
        <f>VLOOKUP($E1296,Customer_Dim!$A$2:$F$501,6,FALSE)</f>
        <v>Silver</v>
      </c>
      <c r="P1296" t="str">
        <f>VLOOKUP($A1296,Store_Dim!$A$2:$F$21,3,FALSE)</f>
        <v>NorthHoodberg</v>
      </c>
    </row>
    <row r="1297" spans="1:16" hidden="1" x14ac:dyDescent="0.25">
      <c r="A1297" t="s">
        <v>794</v>
      </c>
      <c r="B1297" t="s">
        <v>1747</v>
      </c>
      <c r="C1297" t="s">
        <v>640</v>
      </c>
      <c r="D1297" s="2">
        <v>45614</v>
      </c>
      <c r="E1297" t="s">
        <v>154</v>
      </c>
      <c r="F1297" t="str">
        <f>VLOOKUP($C1297,Product_Dim!$A$2:$D$101,3,FALSE)</f>
        <v>Griffin Ltd</v>
      </c>
      <c r="G1297" t="str">
        <f>VLOOKUP($C1297,Product_Dim!$A$2:$D$101,2,FALSE)</f>
        <v>Beauty</v>
      </c>
      <c r="H1297">
        <v>2</v>
      </c>
      <c r="I1297">
        <v>732.67</v>
      </c>
      <c r="J1297">
        <v>0.24</v>
      </c>
      <c r="K1297" s="3">
        <v>1113.6584</v>
      </c>
      <c r="L1297" t="s">
        <v>854</v>
      </c>
      <c r="M1297" t="str">
        <f>VLOOKUP($E1297,Customer_Dim!$A$2:$F$501,3,FALSE)</f>
        <v>Female</v>
      </c>
      <c r="N1297" t="str">
        <f>VLOOKUP($E1297,Customer_Dim!$A$2:$F$501,5,FALSE)</f>
        <v>USA</v>
      </c>
      <c r="O1297" t="str">
        <f>VLOOKUP($E1297,Customer_Dim!$A$2:$F$501,6,FALSE)</f>
        <v>Gold</v>
      </c>
      <c r="P1297" t="str">
        <f>VLOOKUP($A1297,Store_Dim!$A$2:$F$21,3,FALSE)</f>
        <v>NorthHoodberg</v>
      </c>
    </row>
    <row r="1298" spans="1:16" x14ac:dyDescent="0.25">
      <c r="A1298" t="s">
        <v>794</v>
      </c>
      <c r="B1298" t="s">
        <v>2333</v>
      </c>
      <c r="C1298" t="s">
        <v>642</v>
      </c>
      <c r="D1298" s="2">
        <v>45240</v>
      </c>
      <c r="E1298" t="s">
        <v>176</v>
      </c>
      <c r="F1298" t="str">
        <f>VLOOKUP($C1298,Product_Dim!$A$2:$D$101,3,FALSE)</f>
        <v>Weiss-Watson</v>
      </c>
      <c r="G1298" t="str">
        <f>VLOOKUP($C1298,Product_Dim!$A$2:$D$101,2,FALSE)</f>
        <v>Home</v>
      </c>
      <c r="H1298">
        <v>4</v>
      </c>
      <c r="I1298">
        <v>695.97</v>
      </c>
      <c r="J1298">
        <v>0.02</v>
      </c>
      <c r="K1298" s="3">
        <v>2728.2024000000001</v>
      </c>
      <c r="L1298" t="s">
        <v>852</v>
      </c>
      <c r="M1298" t="str">
        <f>VLOOKUP($E1298,Customer_Dim!$A$2:$F$501,3,FALSE)</f>
        <v>Male</v>
      </c>
      <c r="N1298" t="str">
        <f>VLOOKUP($E1298,Customer_Dim!$A$2:$F$501,5,FALSE)</f>
        <v>USA</v>
      </c>
      <c r="O1298" t="str">
        <f>VLOOKUP($E1298,Customer_Dim!$A$2:$F$501,6,FALSE)</f>
        <v>Gold</v>
      </c>
      <c r="P1298" t="str">
        <f>VLOOKUP($A1298,Store_Dim!$A$2:$F$21,3,FALSE)</f>
        <v>NorthHoodberg</v>
      </c>
    </row>
    <row r="1299" spans="1:16" x14ac:dyDescent="0.25">
      <c r="A1299" t="s">
        <v>794</v>
      </c>
      <c r="B1299" t="s">
        <v>1604</v>
      </c>
      <c r="C1299" t="s">
        <v>644</v>
      </c>
      <c r="D1299" s="2">
        <v>45778</v>
      </c>
      <c r="E1299" t="s">
        <v>314</v>
      </c>
      <c r="F1299" t="str">
        <f>VLOOKUP($C1299,Product_Dim!$A$2:$D$101,3,FALSE)</f>
        <v>Lucero LLC</v>
      </c>
      <c r="G1299" t="str">
        <f>VLOOKUP($C1299,Product_Dim!$A$2:$D$101,2,FALSE)</f>
        <v>Electronics</v>
      </c>
      <c r="H1299">
        <v>3</v>
      </c>
      <c r="I1299">
        <v>35.159999999999997</v>
      </c>
      <c r="J1299">
        <v>0.04</v>
      </c>
      <c r="K1299" s="3">
        <v>101.2608</v>
      </c>
      <c r="L1299" t="s">
        <v>857</v>
      </c>
      <c r="M1299" t="str">
        <f>VLOOKUP($E1299,Customer_Dim!$A$2:$F$501,3,FALSE)</f>
        <v>Male</v>
      </c>
      <c r="N1299" t="str">
        <f>VLOOKUP($E1299,Customer_Dim!$A$2:$F$501,5,FALSE)</f>
        <v>USA</v>
      </c>
      <c r="O1299" t="str">
        <f>VLOOKUP($E1299,Customer_Dim!$A$2:$F$501,6,FALSE)</f>
        <v>Gold</v>
      </c>
      <c r="P1299" t="str">
        <f>VLOOKUP($A1299,Store_Dim!$A$2:$F$21,3,FALSE)</f>
        <v>NorthHoodberg</v>
      </c>
    </row>
    <row r="1300" spans="1:16" hidden="1" x14ac:dyDescent="0.25">
      <c r="A1300" t="s">
        <v>794</v>
      </c>
      <c r="B1300" t="s">
        <v>1179</v>
      </c>
      <c r="C1300" t="s">
        <v>650</v>
      </c>
      <c r="D1300" s="2">
        <v>45764</v>
      </c>
      <c r="E1300" t="s">
        <v>39</v>
      </c>
      <c r="F1300" t="str">
        <f>VLOOKUP($C1300,Product_Dim!$A$2:$D$101,3,FALSE)</f>
        <v>Hogan-Lee</v>
      </c>
      <c r="G1300" t="str">
        <f>VLOOKUP($C1300,Product_Dim!$A$2:$D$101,2,FALSE)</f>
        <v>Clothing</v>
      </c>
      <c r="H1300">
        <v>3</v>
      </c>
      <c r="I1300">
        <v>361.11</v>
      </c>
      <c r="J1300">
        <v>0.06</v>
      </c>
      <c r="K1300" s="3">
        <v>1018.3302</v>
      </c>
      <c r="L1300" t="s">
        <v>852</v>
      </c>
      <c r="M1300" t="str">
        <f>VLOOKUP($E1300,Customer_Dim!$A$2:$F$501,3,FALSE)</f>
        <v>Female</v>
      </c>
      <c r="N1300" t="str">
        <f>VLOOKUP($E1300,Customer_Dim!$A$2:$F$501,5,FALSE)</f>
        <v>USA</v>
      </c>
      <c r="O1300" t="str">
        <f>VLOOKUP($E1300,Customer_Dim!$A$2:$F$501,6,FALSE)</f>
        <v>Silver</v>
      </c>
      <c r="P1300" t="str">
        <f>VLOOKUP($A1300,Store_Dim!$A$2:$F$21,3,FALSE)</f>
        <v>NorthHoodberg</v>
      </c>
    </row>
    <row r="1301" spans="1:16" hidden="1" x14ac:dyDescent="0.25">
      <c r="A1301" t="s">
        <v>794</v>
      </c>
      <c r="B1301" t="s">
        <v>2652</v>
      </c>
      <c r="C1301" t="s">
        <v>652</v>
      </c>
      <c r="D1301" s="2">
        <v>45592</v>
      </c>
      <c r="E1301" t="s">
        <v>409</v>
      </c>
      <c r="F1301" t="str">
        <f>VLOOKUP($C1301,Product_Dim!$A$2:$D$101,3,FALSE)</f>
        <v>Sims-Smith</v>
      </c>
      <c r="G1301" t="str">
        <f>VLOOKUP($C1301,Product_Dim!$A$2:$D$101,2,FALSE)</f>
        <v>Sports</v>
      </c>
      <c r="H1301">
        <v>4</v>
      </c>
      <c r="I1301">
        <v>247.55</v>
      </c>
      <c r="J1301">
        <v>0.05</v>
      </c>
      <c r="K1301" s="3">
        <v>940.69</v>
      </c>
      <c r="L1301" t="s">
        <v>852</v>
      </c>
      <c r="M1301" t="str">
        <f>VLOOKUP($E1301,Customer_Dim!$A$2:$F$501,3,FALSE)</f>
        <v>Female</v>
      </c>
      <c r="N1301" t="str">
        <f>VLOOKUP($E1301,Customer_Dim!$A$2:$F$501,5,FALSE)</f>
        <v>USA</v>
      </c>
      <c r="O1301" t="str">
        <f>VLOOKUP($E1301,Customer_Dim!$A$2:$F$501,6,FALSE)</f>
        <v>Bronze</v>
      </c>
      <c r="P1301" t="str">
        <f>VLOOKUP($A1301,Store_Dim!$A$2:$F$21,3,FALSE)</f>
        <v>NorthHoodberg</v>
      </c>
    </row>
    <row r="1302" spans="1:16" x14ac:dyDescent="0.25">
      <c r="A1302" t="s">
        <v>794</v>
      </c>
      <c r="B1302" t="s">
        <v>1941</v>
      </c>
      <c r="C1302" t="s">
        <v>654</v>
      </c>
      <c r="D1302" s="2">
        <v>45239</v>
      </c>
      <c r="E1302" t="s">
        <v>447</v>
      </c>
      <c r="F1302" t="str">
        <f>VLOOKUP($C1302,Product_Dim!$A$2:$D$101,3,FALSE)</f>
        <v>Cummings and Sons</v>
      </c>
      <c r="G1302" t="str">
        <f>VLOOKUP($C1302,Product_Dim!$A$2:$D$101,2,FALSE)</f>
        <v>Electronics</v>
      </c>
      <c r="H1302">
        <v>3</v>
      </c>
      <c r="I1302">
        <v>717.81</v>
      </c>
      <c r="J1302">
        <v>0.17</v>
      </c>
      <c r="K1302" s="3">
        <v>1787.3469</v>
      </c>
      <c r="L1302" t="s">
        <v>857</v>
      </c>
      <c r="M1302" t="str">
        <f>VLOOKUP($E1302,Customer_Dim!$A$2:$F$501,3,FALSE)</f>
        <v>Male</v>
      </c>
      <c r="N1302" t="str">
        <f>VLOOKUP($E1302,Customer_Dim!$A$2:$F$501,5,FALSE)</f>
        <v>USA</v>
      </c>
      <c r="O1302" t="str">
        <f>VLOOKUP($E1302,Customer_Dim!$A$2:$F$501,6,FALSE)</f>
        <v>Gold</v>
      </c>
      <c r="P1302" t="str">
        <f>VLOOKUP($A1302,Store_Dim!$A$2:$F$21,3,FALSE)</f>
        <v>NorthHoodberg</v>
      </c>
    </row>
    <row r="1303" spans="1:16" hidden="1" x14ac:dyDescent="0.25">
      <c r="A1303" t="s">
        <v>794</v>
      </c>
      <c r="B1303" t="s">
        <v>2346</v>
      </c>
      <c r="C1303" t="s">
        <v>581</v>
      </c>
      <c r="D1303" s="2">
        <v>45230</v>
      </c>
      <c r="E1303" t="s">
        <v>285</v>
      </c>
      <c r="F1303" t="str">
        <f>VLOOKUP($C1303,Product_Dim!$A$2:$D$101,3,FALSE)</f>
        <v>Gonzales-Davis</v>
      </c>
      <c r="G1303" t="str">
        <f>VLOOKUP($C1303,Product_Dim!$A$2:$D$101,2,FALSE)</f>
        <v>Clothing</v>
      </c>
      <c r="H1303">
        <v>1</v>
      </c>
      <c r="I1303">
        <v>492.05</v>
      </c>
      <c r="J1303">
        <v>0.27</v>
      </c>
      <c r="K1303" s="3">
        <v>359.19650000000001</v>
      </c>
      <c r="L1303" t="s">
        <v>852</v>
      </c>
      <c r="M1303" t="str">
        <f>VLOOKUP($E1303,Customer_Dim!$A$2:$F$501,3,FALSE)</f>
        <v>Female</v>
      </c>
      <c r="N1303" t="str">
        <f>VLOOKUP($E1303,Customer_Dim!$A$2:$F$501,5,FALSE)</f>
        <v>usa</v>
      </c>
      <c r="O1303" t="str">
        <f>VLOOKUP($E1303,Customer_Dim!$A$2:$F$501,6,FALSE)</f>
        <v>Bronze</v>
      </c>
      <c r="P1303" t="str">
        <f>VLOOKUP($A1303,Store_Dim!$A$2:$F$21,3,FALSE)</f>
        <v>NorthHoodberg</v>
      </c>
    </row>
    <row r="1304" spans="1:16" hidden="1" x14ac:dyDescent="0.25">
      <c r="A1304" t="s">
        <v>794</v>
      </c>
      <c r="B1304" t="s">
        <v>2350</v>
      </c>
      <c r="C1304" t="s">
        <v>581</v>
      </c>
      <c r="D1304" s="2">
        <v>45385</v>
      </c>
      <c r="E1304" t="s">
        <v>398</v>
      </c>
      <c r="F1304" t="str">
        <f>VLOOKUP($C1304,Product_Dim!$A$2:$D$101,3,FALSE)</f>
        <v>Gonzales-Davis</v>
      </c>
      <c r="G1304" t="str">
        <f>VLOOKUP($C1304,Product_Dim!$A$2:$D$101,2,FALSE)</f>
        <v>Clothing</v>
      </c>
      <c r="H1304">
        <v>3</v>
      </c>
      <c r="I1304">
        <v>698.14</v>
      </c>
      <c r="J1304">
        <v>0.04</v>
      </c>
      <c r="K1304" s="3">
        <v>2010.6432</v>
      </c>
      <c r="L1304" t="s">
        <v>854</v>
      </c>
      <c r="M1304" t="str">
        <f>VLOOKUP($E1304,Customer_Dim!$A$2:$F$501,3,FALSE)</f>
        <v>Female</v>
      </c>
      <c r="N1304" t="str">
        <f>VLOOKUP($E1304,Customer_Dim!$A$2:$F$501,5,FALSE)</f>
        <v>USA</v>
      </c>
      <c r="O1304" t="str">
        <f>VLOOKUP($E1304,Customer_Dim!$A$2:$F$501,6,FALSE)</f>
        <v>Bronze</v>
      </c>
      <c r="P1304" t="str">
        <f>VLOOKUP($A1304,Store_Dim!$A$2:$F$21,3,FALSE)</f>
        <v>NorthHoodberg</v>
      </c>
    </row>
    <row r="1305" spans="1:16" hidden="1" x14ac:dyDescent="0.25">
      <c r="A1305" t="s">
        <v>794</v>
      </c>
      <c r="B1305" t="s">
        <v>1042</v>
      </c>
      <c r="C1305" t="s">
        <v>581</v>
      </c>
      <c r="D1305" s="2">
        <v>45411</v>
      </c>
      <c r="E1305" t="s">
        <v>449</v>
      </c>
      <c r="F1305" t="str">
        <f>VLOOKUP($C1305,Product_Dim!$A$2:$D$101,3,FALSE)</f>
        <v>Gonzales-Davis</v>
      </c>
      <c r="G1305" t="str">
        <f>VLOOKUP($C1305,Product_Dim!$A$2:$D$101,2,FALSE)</f>
        <v>Clothing</v>
      </c>
      <c r="H1305">
        <v>3</v>
      </c>
      <c r="I1305">
        <v>620.22</v>
      </c>
      <c r="J1305">
        <v>0.04</v>
      </c>
      <c r="K1305" s="3">
        <v>1786.2336</v>
      </c>
      <c r="L1305" t="s">
        <v>852</v>
      </c>
      <c r="M1305" t="str">
        <f>VLOOKUP($E1305,Customer_Dim!$A$2:$F$501,3,FALSE)</f>
        <v>Female</v>
      </c>
      <c r="N1305" t="str">
        <f>VLOOKUP($E1305,Customer_Dim!$A$2:$F$501,5,FALSE)</f>
        <v>USA</v>
      </c>
      <c r="O1305" t="str">
        <f>VLOOKUP($E1305,Customer_Dim!$A$2:$F$501,6,FALSE)</f>
        <v>Gold</v>
      </c>
      <c r="P1305" t="str">
        <f>VLOOKUP($A1305,Store_Dim!$A$2:$F$21,3,FALSE)</f>
        <v>NorthHoodberg</v>
      </c>
    </row>
    <row r="1306" spans="1:16" hidden="1" x14ac:dyDescent="0.25">
      <c r="A1306" t="s">
        <v>794</v>
      </c>
      <c r="B1306" t="s">
        <v>1286</v>
      </c>
      <c r="C1306" t="s">
        <v>658</v>
      </c>
      <c r="D1306" s="2">
        <v>45725</v>
      </c>
      <c r="E1306" t="s">
        <v>45</v>
      </c>
      <c r="F1306" t="str">
        <f>VLOOKUP($C1306,Product_Dim!$A$2:$D$101,3,FALSE)</f>
        <v>Carroll, Long and Mendoza</v>
      </c>
      <c r="G1306" t="str">
        <f>VLOOKUP($C1306,Product_Dim!$A$2:$D$101,2,FALSE)</f>
        <v>Sports</v>
      </c>
      <c r="H1306">
        <v>3</v>
      </c>
      <c r="I1306">
        <v>482.58</v>
      </c>
      <c r="J1306">
        <v>0.28000000000000003</v>
      </c>
      <c r="K1306" s="3">
        <v>1042.3728000000001</v>
      </c>
      <c r="L1306" t="s">
        <v>854</v>
      </c>
      <c r="M1306" t="str">
        <f>VLOOKUP($E1306,Customer_Dim!$A$2:$F$501,3,FALSE)</f>
        <v>Female</v>
      </c>
      <c r="N1306" t="str">
        <f>VLOOKUP($E1306,Customer_Dim!$A$2:$F$501,5,FALSE)</f>
        <v>USA</v>
      </c>
      <c r="O1306" t="str">
        <f>VLOOKUP($E1306,Customer_Dim!$A$2:$F$501,6,FALSE)</f>
        <v>Bronze</v>
      </c>
      <c r="P1306" t="str">
        <f>VLOOKUP($A1306,Store_Dim!$A$2:$F$21,3,FALSE)</f>
        <v>NorthHoodberg</v>
      </c>
    </row>
    <row r="1307" spans="1:16" x14ac:dyDescent="0.25">
      <c r="A1307" t="s">
        <v>794</v>
      </c>
      <c r="B1307" t="s">
        <v>2597</v>
      </c>
      <c r="C1307" t="s">
        <v>658</v>
      </c>
      <c r="D1307" s="2">
        <v>45355</v>
      </c>
      <c r="E1307" t="s">
        <v>431</v>
      </c>
      <c r="F1307" t="str">
        <f>VLOOKUP($C1307,Product_Dim!$A$2:$D$101,3,FALSE)</f>
        <v>Carroll, Long and Mendoza</v>
      </c>
      <c r="G1307" t="str">
        <f>VLOOKUP($C1307,Product_Dim!$A$2:$D$101,2,FALSE)</f>
        <v>Sports</v>
      </c>
      <c r="H1307">
        <v>3</v>
      </c>
      <c r="I1307">
        <v>239.54</v>
      </c>
      <c r="J1307">
        <v>0.28999999999999998</v>
      </c>
      <c r="K1307" s="3">
        <v>510.22019999999998</v>
      </c>
      <c r="L1307" t="s">
        <v>857</v>
      </c>
      <c r="M1307" t="str">
        <f>VLOOKUP($E1307,Customer_Dim!$A$2:$F$501,3,FALSE)</f>
        <v>Male</v>
      </c>
      <c r="N1307" t="str">
        <f>VLOOKUP($E1307,Customer_Dim!$A$2:$F$501,5,FALSE)</f>
        <v>USA</v>
      </c>
      <c r="O1307" t="str">
        <f>VLOOKUP($E1307,Customer_Dim!$A$2:$F$501,6,FALSE)</f>
        <v>Bronze</v>
      </c>
      <c r="P1307" t="str">
        <f>VLOOKUP($A1307,Store_Dim!$A$2:$F$21,3,FALSE)</f>
        <v>NorthHoodberg</v>
      </c>
    </row>
    <row r="1308" spans="1:16" hidden="1" x14ac:dyDescent="0.25">
      <c r="A1308" t="s">
        <v>794</v>
      </c>
      <c r="B1308" t="s">
        <v>2736</v>
      </c>
      <c r="C1308" t="s">
        <v>660</v>
      </c>
      <c r="D1308" s="2">
        <v>45234</v>
      </c>
      <c r="E1308" t="s">
        <v>262</v>
      </c>
      <c r="F1308" t="str">
        <f>VLOOKUP($C1308,Product_Dim!$A$2:$D$101,3,FALSE)</f>
        <v>Holmes LLC</v>
      </c>
      <c r="G1308" t="str">
        <f>VLOOKUP($C1308,Product_Dim!$A$2:$D$101,2,FALSE)</f>
        <v>Electronics</v>
      </c>
      <c r="H1308">
        <v>3</v>
      </c>
      <c r="I1308">
        <v>41.97</v>
      </c>
      <c r="J1308">
        <v>0.03</v>
      </c>
      <c r="K1308" s="3">
        <v>122.1327</v>
      </c>
      <c r="L1308" t="s">
        <v>857</v>
      </c>
      <c r="M1308" t="str">
        <f>VLOOKUP($E1308,Customer_Dim!$A$2:$F$501,3,FALSE)</f>
        <v>Female</v>
      </c>
      <c r="N1308" t="str">
        <f>VLOOKUP($E1308,Customer_Dim!$A$2:$F$501,5,FALSE)</f>
        <v>USA</v>
      </c>
      <c r="O1308" t="str">
        <f>VLOOKUP($E1308,Customer_Dim!$A$2:$F$501,6,FALSE)</f>
        <v>Platinum</v>
      </c>
      <c r="P1308" t="str">
        <f>VLOOKUP($A1308,Store_Dim!$A$2:$F$21,3,FALSE)</f>
        <v>NorthHoodberg</v>
      </c>
    </row>
    <row r="1309" spans="1:16" x14ac:dyDescent="0.25">
      <c r="A1309" t="s">
        <v>794</v>
      </c>
      <c r="B1309" t="s">
        <v>2632</v>
      </c>
      <c r="C1309" t="s">
        <v>662</v>
      </c>
      <c r="D1309" s="2">
        <v>45373</v>
      </c>
      <c r="E1309" t="s">
        <v>118</v>
      </c>
      <c r="F1309" t="str">
        <f>VLOOKUP($C1309,Product_Dim!$A$2:$D$101,3,FALSE)</f>
        <v>Robinson Inc</v>
      </c>
      <c r="G1309" t="str">
        <f>VLOOKUP($C1309,Product_Dim!$A$2:$D$101,2,FALSE)</f>
        <v>Electronics</v>
      </c>
      <c r="H1309">
        <v>2</v>
      </c>
      <c r="I1309">
        <v>521.44000000000005</v>
      </c>
      <c r="J1309">
        <v>0.25</v>
      </c>
      <c r="K1309" s="3">
        <v>782.16000000000008</v>
      </c>
      <c r="L1309" t="s">
        <v>857</v>
      </c>
      <c r="M1309" t="str">
        <f>VLOOKUP($E1309,Customer_Dim!$A$2:$F$501,3,FALSE)</f>
        <v>Male</v>
      </c>
      <c r="N1309" t="str">
        <f>VLOOKUP($E1309,Customer_Dim!$A$2:$F$501,5,FALSE)</f>
        <v>USA</v>
      </c>
      <c r="O1309" t="str">
        <f>VLOOKUP($E1309,Customer_Dim!$A$2:$F$501,6,FALSE)</f>
        <v>Silver</v>
      </c>
      <c r="P1309" t="str">
        <f>VLOOKUP($A1309,Store_Dim!$A$2:$F$21,3,FALSE)</f>
        <v>NorthHoodberg</v>
      </c>
    </row>
    <row r="1310" spans="1:16" x14ac:dyDescent="0.25">
      <c r="A1310" t="s">
        <v>794</v>
      </c>
      <c r="B1310" t="s">
        <v>2055</v>
      </c>
      <c r="C1310" t="s">
        <v>664</v>
      </c>
      <c r="D1310" s="2">
        <v>45377</v>
      </c>
      <c r="E1310" t="s">
        <v>163</v>
      </c>
      <c r="F1310" t="str">
        <f>VLOOKUP($C1310,Product_Dim!$A$2:$D$101,3,FALSE)</f>
        <v>Cox Inc</v>
      </c>
      <c r="G1310" t="str">
        <f>VLOOKUP($C1310,Product_Dim!$A$2:$D$101,2,FALSE)</f>
        <v>Sports</v>
      </c>
      <c r="H1310">
        <v>4</v>
      </c>
      <c r="I1310">
        <v>530.45000000000005</v>
      </c>
      <c r="J1310">
        <v>0.13</v>
      </c>
      <c r="K1310" s="3">
        <v>1845.9659999999999</v>
      </c>
      <c r="L1310" t="s">
        <v>852</v>
      </c>
      <c r="M1310" t="str">
        <f>VLOOKUP($E1310,Customer_Dim!$A$2:$F$501,3,FALSE)</f>
        <v>Male</v>
      </c>
      <c r="N1310" t="str">
        <f>VLOOKUP($E1310,Customer_Dim!$A$2:$F$501,5,FALSE)</f>
        <v>USA</v>
      </c>
      <c r="O1310" t="str">
        <f>VLOOKUP($E1310,Customer_Dim!$A$2:$F$501,6,FALSE)</f>
        <v>Gold</v>
      </c>
      <c r="P1310" t="str">
        <f>VLOOKUP($A1310,Store_Dim!$A$2:$F$21,3,FALSE)</f>
        <v>NorthHoodberg</v>
      </c>
    </row>
    <row r="1311" spans="1:16" hidden="1" x14ac:dyDescent="0.25">
      <c r="A1311" t="s">
        <v>794</v>
      </c>
      <c r="B1311" t="s">
        <v>1935</v>
      </c>
      <c r="C1311" t="s">
        <v>664</v>
      </c>
      <c r="D1311" s="2">
        <v>45702</v>
      </c>
      <c r="E1311" t="s">
        <v>485</v>
      </c>
      <c r="F1311" t="str">
        <f>VLOOKUP($C1311,Product_Dim!$A$2:$D$101,3,FALSE)</f>
        <v>Cox Inc</v>
      </c>
      <c r="G1311" t="str">
        <f>VLOOKUP($C1311,Product_Dim!$A$2:$D$101,2,FALSE)</f>
        <v>Sports</v>
      </c>
      <c r="H1311">
        <v>1</v>
      </c>
      <c r="I1311">
        <v>793.21</v>
      </c>
      <c r="J1311">
        <v>0.09</v>
      </c>
      <c r="K1311" s="3">
        <v>721.8211</v>
      </c>
      <c r="L1311" t="s">
        <v>852</v>
      </c>
      <c r="M1311" t="str">
        <f>VLOOKUP($E1311,Customer_Dim!$A$2:$F$501,3,FALSE)</f>
        <v>Female</v>
      </c>
      <c r="N1311" t="str">
        <f>VLOOKUP($E1311,Customer_Dim!$A$2:$F$501,5,FALSE)</f>
        <v>USA</v>
      </c>
      <c r="O1311" t="str">
        <f>VLOOKUP($E1311,Customer_Dim!$A$2:$F$501,6,FALSE)</f>
        <v>Silver</v>
      </c>
      <c r="P1311" t="str">
        <f>VLOOKUP($A1311,Store_Dim!$A$2:$F$21,3,FALSE)</f>
        <v>NorthHoodberg</v>
      </c>
    </row>
    <row r="1312" spans="1:16" x14ac:dyDescent="0.25">
      <c r="A1312" t="s">
        <v>794</v>
      </c>
      <c r="B1312" t="s">
        <v>1037</v>
      </c>
      <c r="C1312" t="s">
        <v>668</v>
      </c>
      <c r="D1312" s="2">
        <v>45594</v>
      </c>
      <c r="E1312" t="s">
        <v>72</v>
      </c>
      <c r="F1312" t="str">
        <f>VLOOKUP($C1312,Product_Dim!$A$2:$D$101,3,FALSE)</f>
        <v>Kelly, Smith and Perez</v>
      </c>
      <c r="G1312" t="str">
        <f>VLOOKUP($C1312,Product_Dim!$A$2:$D$101,2,FALSE)</f>
        <v>Clothing</v>
      </c>
      <c r="H1312">
        <v>1</v>
      </c>
      <c r="I1312">
        <v>547.09</v>
      </c>
      <c r="J1312">
        <v>0.01</v>
      </c>
      <c r="K1312" s="3">
        <v>541.6191</v>
      </c>
      <c r="L1312" t="s">
        <v>854</v>
      </c>
      <c r="M1312" t="str">
        <f>VLOOKUP($E1312,Customer_Dim!$A$2:$F$501,3,FALSE)</f>
        <v>Male</v>
      </c>
      <c r="N1312" t="str">
        <f>VLOOKUP($E1312,Customer_Dim!$A$2:$F$501,5,FALSE)</f>
        <v>USA</v>
      </c>
      <c r="O1312" t="str">
        <f>VLOOKUP($E1312,Customer_Dim!$A$2:$F$501,6,FALSE)</f>
        <v>Platinum</v>
      </c>
      <c r="P1312" t="str">
        <f>VLOOKUP($A1312,Store_Dim!$A$2:$F$21,3,FALSE)</f>
        <v>NorthHoodberg</v>
      </c>
    </row>
    <row r="1313" spans="1:16" hidden="1" x14ac:dyDescent="0.25">
      <c r="A1313" t="s">
        <v>794</v>
      </c>
      <c r="B1313" t="s">
        <v>1515</v>
      </c>
      <c r="C1313" t="s">
        <v>668</v>
      </c>
      <c r="D1313" s="2">
        <v>45673</v>
      </c>
      <c r="E1313" t="s">
        <v>104</v>
      </c>
      <c r="F1313" t="str">
        <f>VLOOKUP($C1313,Product_Dim!$A$2:$D$101,3,FALSE)</f>
        <v>Kelly, Smith and Perez</v>
      </c>
      <c r="G1313" t="str">
        <f>VLOOKUP($C1313,Product_Dim!$A$2:$D$101,2,FALSE)</f>
        <v>Clothing</v>
      </c>
      <c r="H1313">
        <v>4</v>
      </c>
      <c r="I1313">
        <v>608.97</v>
      </c>
      <c r="J1313">
        <v>0.14000000000000001</v>
      </c>
      <c r="K1313" s="3">
        <v>2094.8568</v>
      </c>
      <c r="L1313" t="s">
        <v>857</v>
      </c>
      <c r="M1313" t="str">
        <f>VLOOKUP($E1313,Customer_Dim!$A$2:$F$501,3,FALSE)</f>
        <v>Female</v>
      </c>
      <c r="N1313" t="str">
        <f>VLOOKUP($E1313,Customer_Dim!$A$2:$F$501,5,FALSE)</f>
        <v>USA</v>
      </c>
      <c r="O1313" t="str">
        <f>VLOOKUP($E1313,Customer_Dim!$A$2:$F$501,6,FALSE)</f>
        <v>Gold</v>
      </c>
      <c r="P1313" t="str">
        <f>VLOOKUP($A1313,Store_Dim!$A$2:$F$21,3,FALSE)</f>
        <v>NorthHoodberg</v>
      </c>
    </row>
    <row r="1314" spans="1:16" hidden="1" x14ac:dyDescent="0.25">
      <c r="A1314" t="s">
        <v>794</v>
      </c>
      <c r="B1314" t="s">
        <v>1043</v>
      </c>
      <c r="C1314" t="s">
        <v>668</v>
      </c>
      <c r="D1314" s="2">
        <v>45411</v>
      </c>
      <c r="E1314" t="s">
        <v>152</v>
      </c>
      <c r="F1314" t="str">
        <f>VLOOKUP($C1314,Product_Dim!$A$2:$D$101,3,FALSE)</f>
        <v>Kelly, Smith and Perez</v>
      </c>
      <c r="G1314" t="str">
        <f>VLOOKUP($C1314,Product_Dim!$A$2:$D$101,2,FALSE)</f>
        <v>Clothing</v>
      </c>
      <c r="H1314">
        <v>1</v>
      </c>
      <c r="I1314">
        <v>580.76</v>
      </c>
      <c r="J1314">
        <v>0.1</v>
      </c>
      <c r="K1314" s="3">
        <v>522.68399999999997</v>
      </c>
      <c r="L1314" t="s">
        <v>857</v>
      </c>
      <c r="M1314" t="str">
        <f>VLOOKUP($E1314,Customer_Dim!$A$2:$F$501,3,FALSE)</f>
        <v>Female</v>
      </c>
      <c r="N1314" t="str">
        <f>VLOOKUP($E1314,Customer_Dim!$A$2:$F$501,5,FALSE)</f>
        <v>USA</v>
      </c>
      <c r="O1314" t="str">
        <f>VLOOKUP($E1314,Customer_Dim!$A$2:$F$501,6,FALSE)</f>
        <v>Silver</v>
      </c>
      <c r="P1314" t="str">
        <f>VLOOKUP($A1314,Store_Dim!$A$2:$F$21,3,FALSE)</f>
        <v>NorthHoodberg</v>
      </c>
    </row>
    <row r="1315" spans="1:16" hidden="1" x14ac:dyDescent="0.25">
      <c r="A1315" t="s">
        <v>794</v>
      </c>
      <c r="B1315" t="s">
        <v>1369</v>
      </c>
      <c r="C1315" t="s">
        <v>670</v>
      </c>
      <c r="D1315" s="2">
        <v>45286</v>
      </c>
      <c r="E1315" t="s">
        <v>224</v>
      </c>
      <c r="F1315" t="str">
        <f>VLOOKUP($C1315,Product_Dim!$A$2:$D$101,3,FALSE)</f>
        <v>Cook Inc</v>
      </c>
      <c r="G1315" t="str">
        <f>VLOOKUP($C1315,Product_Dim!$A$2:$D$101,2,FALSE)</f>
        <v>Beauty</v>
      </c>
      <c r="H1315">
        <v>1</v>
      </c>
      <c r="I1315">
        <v>169.69</v>
      </c>
      <c r="J1315">
        <v>0.22</v>
      </c>
      <c r="K1315" s="3">
        <v>132.35820000000001</v>
      </c>
      <c r="L1315" t="s">
        <v>852</v>
      </c>
      <c r="M1315" t="str">
        <f>VLOOKUP($E1315,Customer_Dim!$A$2:$F$501,3,FALSE)</f>
        <v>Female</v>
      </c>
      <c r="N1315" t="str">
        <f>VLOOKUP($E1315,Customer_Dim!$A$2:$F$501,5,FALSE)</f>
        <v>USA</v>
      </c>
      <c r="O1315" t="str">
        <f>VLOOKUP($E1315,Customer_Dim!$A$2:$F$501,6,FALSE)</f>
        <v>Platinum</v>
      </c>
      <c r="P1315" t="str">
        <f>VLOOKUP($A1315,Store_Dim!$A$2:$F$21,3,FALSE)</f>
        <v>NorthHoodberg</v>
      </c>
    </row>
    <row r="1316" spans="1:16" x14ac:dyDescent="0.25">
      <c r="A1316" t="s">
        <v>794</v>
      </c>
      <c r="B1316" t="s">
        <v>879</v>
      </c>
      <c r="C1316" t="s">
        <v>583</v>
      </c>
      <c r="D1316" s="2">
        <v>45552</v>
      </c>
      <c r="E1316" t="s">
        <v>448</v>
      </c>
      <c r="F1316" t="str">
        <f>VLOOKUP($C1316,Product_Dim!$A$2:$D$101,3,FALSE)</f>
        <v>Baldwin, Garza and Gonzalez</v>
      </c>
      <c r="G1316" t="str">
        <f>VLOOKUP($C1316,Product_Dim!$A$2:$D$101,2,FALSE)</f>
        <v>Clothing</v>
      </c>
      <c r="H1316">
        <v>4</v>
      </c>
      <c r="I1316">
        <v>852.71</v>
      </c>
      <c r="J1316">
        <v>0.14000000000000001</v>
      </c>
      <c r="K1316" s="3">
        <v>2933.3224</v>
      </c>
      <c r="L1316" t="s">
        <v>854</v>
      </c>
      <c r="M1316" t="str">
        <f>VLOOKUP($E1316,Customer_Dim!$A$2:$F$501,3,FALSE)</f>
        <v>Male</v>
      </c>
      <c r="N1316" t="str">
        <f>VLOOKUP($E1316,Customer_Dim!$A$2:$F$501,5,FALSE)</f>
        <v>USA</v>
      </c>
      <c r="O1316" t="str">
        <f>VLOOKUP($E1316,Customer_Dim!$A$2:$F$501,6,FALSE)</f>
        <v>Silver</v>
      </c>
      <c r="P1316" t="str">
        <f>VLOOKUP($A1316,Store_Dim!$A$2:$F$21,3,FALSE)</f>
        <v>NorthHoodberg</v>
      </c>
    </row>
    <row r="1317" spans="1:16" x14ac:dyDescent="0.25">
      <c r="A1317" t="s">
        <v>794</v>
      </c>
      <c r="B1317" t="s">
        <v>2196</v>
      </c>
      <c r="C1317" t="s">
        <v>676</v>
      </c>
      <c r="D1317" s="2">
        <v>45738</v>
      </c>
      <c r="E1317" t="s">
        <v>428</v>
      </c>
      <c r="F1317" t="str">
        <f>VLOOKUP($C1317,Product_Dim!$A$2:$D$101,3,FALSE)</f>
        <v>Smith-King</v>
      </c>
      <c r="G1317" t="str">
        <f>VLOOKUP($C1317,Product_Dim!$A$2:$D$101,2,FALSE)</f>
        <v>Sports</v>
      </c>
      <c r="H1317">
        <v>3</v>
      </c>
      <c r="I1317">
        <v>721.94</v>
      </c>
      <c r="J1317">
        <v>0.26</v>
      </c>
      <c r="K1317" s="3">
        <v>1602.7067999999999</v>
      </c>
      <c r="L1317" t="s">
        <v>852</v>
      </c>
      <c r="M1317" t="str">
        <f>VLOOKUP($E1317,Customer_Dim!$A$2:$F$501,3,FALSE)</f>
        <v>Male</v>
      </c>
      <c r="N1317" t="str">
        <f>VLOOKUP($E1317,Customer_Dim!$A$2:$F$501,5,FALSE)</f>
        <v>USA</v>
      </c>
      <c r="O1317" t="str">
        <f>VLOOKUP($E1317,Customer_Dim!$A$2:$F$501,6,FALSE)</f>
        <v>Platinum</v>
      </c>
      <c r="P1317" t="str">
        <f>VLOOKUP($A1317,Store_Dim!$A$2:$F$21,3,FALSE)</f>
        <v>NorthHoodberg</v>
      </c>
    </row>
    <row r="1318" spans="1:16" x14ac:dyDescent="0.25">
      <c r="A1318" t="s">
        <v>794</v>
      </c>
      <c r="B1318" t="s">
        <v>1202</v>
      </c>
      <c r="C1318" t="s">
        <v>676</v>
      </c>
      <c r="D1318" s="2">
        <v>45489</v>
      </c>
      <c r="E1318" t="s">
        <v>439</v>
      </c>
      <c r="F1318" t="str">
        <f>VLOOKUP($C1318,Product_Dim!$A$2:$D$101,3,FALSE)</f>
        <v>Smith-King</v>
      </c>
      <c r="G1318" t="str">
        <f>VLOOKUP($C1318,Product_Dim!$A$2:$D$101,2,FALSE)</f>
        <v>Sports</v>
      </c>
      <c r="H1318">
        <v>2</v>
      </c>
      <c r="I1318">
        <v>85.23</v>
      </c>
      <c r="J1318">
        <v>0.13</v>
      </c>
      <c r="K1318" s="3">
        <v>148.30019999999999</v>
      </c>
      <c r="L1318" t="s">
        <v>852</v>
      </c>
      <c r="M1318" t="str">
        <f>VLOOKUP($E1318,Customer_Dim!$A$2:$F$501,3,FALSE)</f>
        <v>Male</v>
      </c>
      <c r="N1318" t="str">
        <f>VLOOKUP($E1318,Customer_Dim!$A$2:$F$501,5,FALSE)</f>
        <v>USA</v>
      </c>
      <c r="O1318" t="str">
        <f>VLOOKUP($E1318,Customer_Dim!$A$2:$F$501,6,FALSE)</f>
        <v>Bronze</v>
      </c>
      <c r="P1318" t="str">
        <f>VLOOKUP($A1318,Store_Dim!$A$2:$F$21,3,FALSE)</f>
        <v>NorthHoodberg</v>
      </c>
    </row>
    <row r="1319" spans="1:16" x14ac:dyDescent="0.25">
      <c r="A1319" t="s">
        <v>794</v>
      </c>
      <c r="B1319" t="s">
        <v>2844</v>
      </c>
      <c r="C1319" t="s">
        <v>680</v>
      </c>
      <c r="D1319" s="2">
        <v>45456</v>
      </c>
      <c r="E1319" t="s">
        <v>307</v>
      </c>
      <c r="F1319" t="str">
        <f>VLOOKUP($C1319,Product_Dim!$A$2:$D$101,3,FALSE)</f>
        <v>Harris Inc</v>
      </c>
      <c r="G1319" t="str">
        <f>VLOOKUP($C1319,Product_Dim!$A$2:$D$101,2,FALSE)</f>
        <v>Sports</v>
      </c>
      <c r="H1319">
        <v>4</v>
      </c>
      <c r="I1319">
        <v>212.75</v>
      </c>
      <c r="J1319">
        <v>0.11</v>
      </c>
      <c r="K1319" s="3">
        <v>757.39</v>
      </c>
      <c r="L1319" t="s">
        <v>857</v>
      </c>
      <c r="M1319" t="str">
        <f>VLOOKUP($E1319,Customer_Dim!$A$2:$F$501,3,FALSE)</f>
        <v>Male</v>
      </c>
      <c r="N1319" t="str">
        <f>VLOOKUP($E1319,Customer_Dim!$A$2:$F$501,5,FALSE)</f>
        <v>USA</v>
      </c>
      <c r="O1319" t="str">
        <f>VLOOKUP($E1319,Customer_Dim!$A$2:$F$501,6,FALSE)</f>
        <v>Platinum</v>
      </c>
      <c r="P1319" t="str">
        <f>VLOOKUP($A1319,Store_Dim!$A$2:$F$21,3,FALSE)</f>
        <v>NorthHoodberg</v>
      </c>
    </row>
    <row r="1320" spans="1:16" x14ac:dyDescent="0.25">
      <c r="A1320" t="s">
        <v>794</v>
      </c>
      <c r="B1320" t="s">
        <v>1859</v>
      </c>
      <c r="C1320" t="s">
        <v>684</v>
      </c>
      <c r="D1320" s="2">
        <v>45405</v>
      </c>
      <c r="E1320" t="s">
        <v>259</v>
      </c>
      <c r="F1320" t="str">
        <f>VLOOKUP($C1320,Product_Dim!$A$2:$D$101,3,FALSE)</f>
        <v>Thompson-French</v>
      </c>
      <c r="G1320" t="str">
        <f>VLOOKUP($C1320,Product_Dim!$A$2:$D$101,2,FALSE)</f>
        <v>Sports</v>
      </c>
      <c r="H1320">
        <v>3</v>
      </c>
      <c r="I1320">
        <v>261.05</v>
      </c>
      <c r="J1320">
        <v>0.12</v>
      </c>
      <c r="K1320" s="3">
        <v>689.17200000000014</v>
      </c>
      <c r="L1320" t="s">
        <v>854</v>
      </c>
      <c r="M1320" t="str">
        <f>VLOOKUP($E1320,Customer_Dim!$A$2:$F$501,3,FALSE)</f>
        <v>Male</v>
      </c>
      <c r="N1320" t="str">
        <f>VLOOKUP($E1320,Customer_Dim!$A$2:$F$501,5,FALSE)</f>
        <v>USA</v>
      </c>
      <c r="O1320" t="str">
        <f>VLOOKUP($E1320,Customer_Dim!$A$2:$F$501,6,FALSE)</f>
        <v>Gold</v>
      </c>
      <c r="P1320" t="str">
        <f>VLOOKUP($A1320,Store_Dim!$A$2:$F$21,3,FALSE)</f>
        <v>NorthHoodberg</v>
      </c>
    </row>
    <row r="1321" spans="1:16" x14ac:dyDescent="0.25">
      <c r="A1321" t="s">
        <v>794</v>
      </c>
      <c r="B1321" t="s">
        <v>953</v>
      </c>
      <c r="C1321" t="s">
        <v>684</v>
      </c>
      <c r="D1321" s="2">
        <v>45479</v>
      </c>
      <c r="E1321" t="s">
        <v>392</v>
      </c>
      <c r="F1321" t="str">
        <f>VLOOKUP($C1321,Product_Dim!$A$2:$D$101,3,FALSE)</f>
        <v>Thompson-French</v>
      </c>
      <c r="G1321" t="str">
        <f>VLOOKUP($C1321,Product_Dim!$A$2:$D$101,2,FALSE)</f>
        <v>Sports</v>
      </c>
      <c r="H1321">
        <v>3</v>
      </c>
      <c r="I1321">
        <v>541.99</v>
      </c>
      <c r="J1321">
        <v>0.24</v>
      </c>
      <c r="K1321" s="3">
        <v>1235.7372</v>
      </c>
      <c r="L1321" t="s">
        <v>857</v>
      </c>
      <c r="M1321" t="str">
        <f>VLOOKUP($E1321,Customer_Dim!$A$2:$F$501,3,FALSE)</f>
        <v>Male</v>
      </c>
      <c r="N1321" t="str">
        <f>VLOOKUP($E1321,Customer_Dim!$A$2:$F$501,5,FALSE)</f>
        <v>USA</v>
      </c>
      <c r="O1321" t="str">
        <f>VLOOKUP($E1321,Customer_Dim!$A$2:$F$501,6,FALSE)</f>
        <v>Bronze</v>
      </c>
      <c r="P1321" t="str">
        <f>VLOOKUP($A1321,Store_Dim!$A$2:$F$21,3,FALSE)</f>
        <v>NorthHoodberg</v>
      </c>
    </row>
    <row r="1322" spans="1:16" x14ac:dyDescent="0.25">
      <c r="A1322" t="s">
        <v>794</v>
      </c>
      <c r="B1322" t="s">
        <v>2174</v>
      </c>
      <c r="C1322" t="s">
        <v>684</v>
      </c>
      <c r="D1322" s="2">
        <v>45788</v>
      </c>
      <c r="E1322" t="s">
        <v>511</v>
      </c>
      <c r="F1322" t="str">
        <f>VLOOKUP($C1322,Product_Dim!$A$2:$D$101,3,FALSE)</f>
        <v>Thompson-French</v>
      </c>
      <c r="G1322" t="str">
        <f>VLOOKUP($C1322,Product_Dim!$A$2:$D$101,2,FALSE)</f>
        <v>Sports</v>
      </c>
      <c r="H1322">
        <v>3</v>
      </c>
      <c r="I1322">
        <v>477.05</v>
      </c>
      <c r="J1322">
        <v>0.05</v>
      </c>
      <c r="K1322" s="3">
        <v>1359.5925</v>
      </c>
      <c r="L1322" t="s">
        <v>854</v>
      </c>
      <c r="M1322" t="str">
        <f>VLOOKUP($E1322,Customer_Dim!$A$2:$F$501,3,FALSE)</f>
        <v>Male</v>
      </c>
      <c r="N1322" t="str">
        <f>VLOOKUP($E1322,Customer_Dim!$A$2:$F$501,5,FALSE)</f>
        <v>USA</v>
      </c>
      <c r="O1322" t="str">
        <f>VLOOKUP($E1322,Customer_Dim!$A$2:$F$501,6,FALSE)</f>
        <v>Gold</v>
      </c>
      <c r="P1322" t="str">
        <f>VLOOKUP($A1322,Store_Dim!$A$2:$F$21,3,FALSE)</f>
        <v>NorthHoodberg</v>
      </c>
    </row>
    <row r="1323" spans="1:16" x14ac:dyDescent="0.25">
      <c r="A1323" t="s">
        <v>794</v>
      </c>
      <c r="B1323" t="s">
        <v>1700</v>
      </c>
      <c r="C1323" t="s">
        <v>684</v>
      </c>
      <c r="D1323" s="2">
        <v>45936</v>
      </c>
      <c r="E1323" t="s">
        <v>538</v>
      </c>
      <c r="F1323" t="str">
        <f>VLOOKUP($C1323,Product_Dim!$A$2:$D$101,3,FALSE)</f>
        <v>Thompson-French</v>
      </c>
      <c r="G1323" t="str">
        <f>VLOOKUP($C1323,Product_Dim!$A$2:$D$101,2,FALSE)</f>
        <v>Sports</v>
      </c>
      <c r="H1323">
        <v>3</v>
      </c>
      <c r="I1323">
        <v>582.57000000000005</v>
      </c>
      <c r="J1323">
        <v>0.11</v>
      </c>
      <c r="K1323" s="3">
        <v>1555.4619</v>
      </c>
      <c r="L1323" t="s">
        <v>854</v>
      </c>
      <c r="M1323" t="str">
        <f>VLOOKUP($E1323,Customer_Dim!$A$2:$F$501,3,FALSE)</f>
        <v>Male</v>
      </c>
      <c r="N1323" t="str">
        <f>VLOOKUP($E1323,Customer_Dim!$A$2:$F$501,5,FALSE)</f>
        <v>USA</v>
      </c>
      <c r="O1323" t="str">
        <f>VLOOKUP($E1323,Customer_Dim!$A$2:$F$501,6,FALSE)</f>
        <v>Platinum</v>
      </c>
      <c r="P1323" t="str">
        <f>VLOOKUP($A1323,Store_Dim!$A$2:$F$21,3,FALSE)</f>
        <v>NorthHoodberg</v>
      </c>
    </row>
    <row r="1324" spans="1:16" hidden="1" x14ac:dyDescent="0.25">
      <c r="A1324" t="s">
        <v>794</v>
      </c>
      <c r="B1324" t="s">
        <v>2415</v>
      </c>
      <c r="C1324" t="s">
        <v>688</v>
      </c>
      <c r="D1324" s="2">
        <v>45281</v>
      </c>
      <c r="E1324" t="s">
        <v>284</v>
      </c>
      <c r="F1324" t="str">
        <f>VLOOKUP($C1324,Product_Dim!$A$2:$D$101,3,FALSE)</f>
        <v>Hernandez, Kennedy and Porter</v>
      </c>
      <c r="G1324" t="str">
        <f>VLOOKUP($C1324,Product_Dim!$A$2:$D$101,2,FALSE)</f>
        <v>Home</v>
      </c>
      <c r="H1324">
        <v>3</v>
      </c>
      <c r="I1324">
        <v>579.26</v>
      </c>
      <c r="J1324">
        <v>0.19</v>
      </c>
      <c r="K1324" s="3">
        <v>1407.6017999999999</v>
      </c>
      <c r="L1324" t="s">
        <v>852</v>
      </c>
      <c r="M1324" t="str">
        <f>VLOOKUP($E1324,Customer_Dim!$A$2:$F$501,3,FALSE)</f>
        <v>Female</v>
      </c>
      <c r="N1324" t="str">
        <f>VLOOKUP($E1324,Customer_Dim!$A$2:$F$501,5,FALSE)</f>
        <v>USA</v>
      </c>
      <c r="O1324" t="str">
        <f>VLOOKUP($E1324,Customer_Dim!$A$2:$F$501,6,FALSE)</f>
        <v>Gold</v>
      </c>
      <c r="P1324" t="str">
        <f>VLOOKUP($A1324,Store_Dim!$A$2:$F$21,3,FALSE)</f>
        <v>NorthHoodberg</v>
      </c>
    </row>
    <row r="1325" spans="1:16" hidden="1" x14ac:dyDescent="0.25">
      <c r="A1325" t="s">
        <v>794</v>
      </c>
      <c r="B1325" t="s">
        <v>1302</v>
      </c>
      <c r="C1325" t="s">
        <v>688</v>
      </c>
      <c r="D1325" s="2">
        <v>45553</v>
      </c>
      <c r="E1325" t="s">
        <v>336</v>
      </c>
      <c r="F1325" t="str">
        <f>VLOOKUP($C1325,Product_Dim!$A$2:$D$101,3,FALSE)</f>
        <v>Hernandez, Kennedy and Porter</v>
      </c>
      <c r="G1325" t="str">
        <f>VLOOKUP($C1325,Product_Dim!$A$2:$D$101,2,FALSE)</f>
        <v>Home</v>
      </c>
      <c r="H1325">
        <v>1</v>
      </c>
      <c r="I1325">
        <v>862.31</v>
      </c>
      <c r="J1325">
        <v>0.06</v>
      </c>
      <c r="K1325" s="3">
        <v>810.57139999999993</v>
      </c>
      <c r="L1325" t="s">
        <v>852</v>
      </c>
      <c r="M1325" t="str">
        <f>VLOOKUP($E1325,Customer_Dim!$A$2:$F$501,3,FALSE)</f>
        <v>Female</v>
      </c>
      <c r="N1325" t="str">
        <f>VLOOKUP($E1325,Customer_Dim!$A$2:$F$501,5,FALSE)</f>
        <v>USA</v>
      </c>
      <c r="O1325" t="str">
        <f>VLOOKUP($E1325,Customer_Dim!$A$2:$F$501,6,FALSE)</f>
        <v>Silver</v>
      </c>
      <c r="P1325" t="str">
        <f>VLOOKUP($A1325,Store_Dim!$A$2:$F$21,3,FALSE)</f>
        <v>NorthHoodberg</v>
      </c>
    </row>
    <row r="1326" spans="1:16" x14ac:dyDescent="0.25">
      <c r="A1326" t="s">
        <v>794</v>
      </c>
      <c r="B1326" t="s">
        <v>1244</v>
      </c>
      <c r="C1326" t="s">
        <v>690</v>
      </c>
      <c r="D1326" s="2">
        <v>45742</v>
      </c>
      <c r="E1326" t="s">
        <v>148</v>
      </c>
      <c r="F1326" t="str">
        <f>VLOOKUP($C1326,Product_Dim!$A$2:$D$101,3,FALSE)</f>
        <v>Atkinson, Camacho and Oliver</v>
      </c>
      <c r="G1326" t="str">
        <f>VLOOKUP($C1326,Product_Dim!$A$2:$D$101,2,FALSE)</f>
        <v>Sports</v>
      </c>
      <c r="H1326">
        <v>4</v>
      </c>
      <c r="I1326">
        <v>995.55</v>
      </c>
      <c r="J1326">
        <v>0.19</v>
      </c>
      <c r="K1326" s="3">
        <v>3225.5819999999999</v>
      </c>
      <c r="L1326" t="s">
        <v>854</v>
      </c>
      <c r="M1326" t="str">
        <f>VLOOKUP($E1326,Customer_Dim!$A$2:$F$501,3,FALSE)</f>
        <v>Male</v>
      </c>
      <c r="N1326" t="str">
        <f>VLOOKUP($E1326,Customer_Dim!$A$2:$F$501,5,FALSE)</f>
        <v>USA</v>
      </c>
      <c r="O1326" t="str">
        <f>VLOOKUP($E1326,Customer_Dim!$A$2:$F$501,6,FALSE)</f>
        <v>Platinum</v>
      </c>
      <c r="P1326" t="str">
        <f>VLOOKUP($A1326,Store_Dim!$A$2:$F$21,3,FALSE)</f>
        <v>NorthHoodberg</v>
      </c>
    </row>
    <row r="1327" spans="1:16" hidden="1" x14ac:dyDescent="0.25">
      <c r="A1327" t="s">
        <v>794</v>
      </c>
      <c r="B1327" t="s">
        <v>1749</v>
      </c>
      <c r="C1327" t="s">
        <v>690</v>
      </c>
      <c r="D1327" s="2">
        <v>45696</v>
      </c>
      <c r="E1327" t="s">
        <v>167</v>
      </c>
      <c r="F1327" t="str">
        <f>VLOOKUP($C1327,Product_Dim!$A$2:$D$101,3,FALSE)</f>
        <v>Atkinson, Camacho and Oliver</v>
      </c>
      <c r="G1327" t="str">
        <f>VLOOKUP($C1327,Product_Dim!$A$2:$D$101,2,FALSE)</f>
        <v>Sports</v>
      </c>
      <c r="H1327">
        <v>1</v>
      </c>
      <c r="I1327">
        <v>38.950000000000003</v>
      </c>
      <c r="J1327">
        <v>0.28000000000000003</v>
      </c>
      <c r="K1327" s="3">
        <v>28.044</v>
      </c>
      <c r="L1327" t="s">
        <v>852</v>
      </c>
      <c r="M1327" t="str">
        <f>VLOOKUP($E1327,Customer_Dim!$A$2:$F$501,3,FALSE)</f>
        <v>Female</v>
      </c>
      <c r="N1327" t="str">
        <f>VLOOKUP($E1327,Customer_Dim!$A$2:$F$501,5,FALSE)</f>
        <v>USA</v>
      </c>
      <c r="O1327" t="str">
        <f>VLOOKUP($E1327,Customer_Dim!$A$2:$F$501,6,FALSE)</f>
        <v>Gold</v>
      </c>
      <c r="P1327" t="str">
        <f>VLOOKUP($A1327,Store_Dim!$A$2:$F$21,3,FALSE)</f>
        <v>NorthHoodberg</v>
      </c>
    </row>
    <row r="1328" spans="1:16" hidden="1" x14ac:dyDescent="0.25">
      <c r="A1328" t="s">
        <v>794</v>
      </c>
      <c r="B1328" t="s">
        <v>2474</v>
      </c>
      <c r="C1328" t="s">
        <v>690</v>
      </c>
      <c r="D1328" s="2">
        <v>45769</v>
      </c>
      <c r="E1328" t="s">
        <v>418</v>
      </c>
      <c r="F1328" t="str">
        <f>VLOOKUP($C1328,Product_Dim!$A$2:$D$101,3,FALSE)</f>
        <v>Atkinson, Camacho and Oliver</v>
      </c>
      <c r="G1328" t="str">
        <f>VLOOKUP($C1328,Product_Dim!$A$2:$D$101,2,FALSE)</f>
        <v>Sports</v>
      </c>
      <c r="H1328">
        <v>2</v>
      </c>
      <c r="I1328">
        <v>422.13</v>
      </c>
      <c r="J1328">
        <v>0.28000000000000003</v>
      </c>
      <c r="K1328" s="3">
        <v>607.86720000000003</v>
      </c>
      <c r="L1328" t="s">
        <v>852</v>
      </c>
      <c r="M1328" t="str">
        <f>VLOOKUP($E1328,Customer_Dim!$A$2:$F$501,3,FALSE)</f>
        <v>Female</v>
      </c>
      <c r="N1328" t="str">
        <f>VLOOKUP($E1328,Customer_Dim!$A$2:$F$501,5,FALSE)</f>
        <v>USA</v>
      </c>
      <c r="O1328" t="str">
        <f>VLOOKUP($E1328,Customer_Dim!$A$2:$F$501,6,FALSE)</f>
        <v>Bronze</v>
      </c>
      <c r="P1328" t="str">
        <f>VLOOKUP($A1328,Store_Dim!$A$2:$F$21,3,FALSE)</f>
        <v>NorthHoodberg</v>
      </c>
    </row>
    <row r="1329" spans="1:16" hidden="1" x14ac:dyDescent="0.25">
      <c r="A1329" t="s">
        <v>794</v>
      </c>
      <c r="B1329" t="s">
        <v>1504</v>
      </c>
      <c r="C1329" t="s">
        <v>692</v>
      </c>
      <c r="D1329" s="2">
        <v>45347</v>
      </c>
      <c r="E1329" t="s">
        <v>274</v>
      </c>
      <c r="F1329" t="str">
        <f>VLOOKUP($C1329,Product_Dim!$A$2:$D$101,3,FALSE)</f>
        <v>Shepherd-Gould</v>
      </c>
      <c r="G1329" t="str">
        <f>VLOOKUP($C1329,Product_Dim!$A$2:$D$101,2,FALSE)</f>
        <v>Clothing</v>
      </c>
      <c r="H1329">
        <v>2</v>
      </c>
      <c r="I1329">
        <v>250.83</v>
      </c>
      <c r="J1329">
        <v>0.15</v>
      </c>
      <c r="K1329" s="3">
        <v>426.411</v>
      </c>
      <c r="L1329" t="s">
        <v>854</v>
      </c>
      <c r="M1329" t="str">
        <f>VLOOKUP($E1329,Customer_Dim!$A$2:$F$501,3,FALSE)</f>
        <v>Female</v>
      </c>
      <c r="N1329" t="str">
        <f>VLOOKUP($E1329,Customer_Dim!$A$2:$F$501,5,FALSE)</f>
        <v>USA</v>
      </c>
      <c r="O1329" t="str">
        <f>VLOOKUP($E1329,Customer_Dim!$A$2:$F$501,6,FALSE)</f>
        <v>Platinum</v>
      </c>
      <c r="P1329" t="str">
        <f>VLOOKUP($A1329,Store_Dim!$A$2:$F$21,3,FALSE)</f>
        <v>NorthHoodberg</v>
      </c>
    </row>
    <row r="1330" spans="1:16" x14ac:dyDescent="0.25">
      <c r="A1330" t="s">
        <v>794</v>
      </c>
      <c r="B1330" t="s">
        <v>2279</v>
      </c>
      <c r="C1330" t="s">
        <v>692</v>
      </c>
      <c r="D1330" s="2">
        <v>45633</v>
      </c>
      <c r="E1330" t="s">
        <v>417</v>
      </c>
      <c r="F1330" t="str">
        <f>VLOOKUP($C1330,Product_Dim!$A$2:$D$101,3,FALSE)</f>
        <v>Shepherd-Gould</v>
      </c>
      <c r="G1330" t="str">
        <f>VLOOKUP($C1330,Product_Dim!$A$2:$D$101,2,FALSE)</f>
        <v>Clothing</v>
      </c>
      <c r="H1330">
        <v>4</v>
      </c>
      <c r="I1330">
        <v>348.58</v>
      </c>
      <c r="J1330">
        <v>0.16</v>
      </c>
      <c r="K1330" s="3">
        <v>1171.2288000000001</v>
      </c>
      <c r="L1330" t="s">
        <v>852</v>
      </c>
      <c r="M1330" t="str">
        <f>VLOOKUP($E1330,Customer_Dim!$A$2:$F$501,3,FALSE)</f>
        <v>Male</v>
      </c>
      <c r="N1330" t="str">
        <f>VLOOKUP($E1330,Customer_Dim!$A$2:$F$501,5,FALSE)</f>
        <v>USA</v>
      </c>
      <c r="O1330" t="str">
        <f>VLOOKUP($E1330,Customer_Dim!$A$2:$F$501,6,FALSE)</f>
        <v>Silver</v>
      </c>
      <c r="P1330" t="str">
        <f>VLOOKUP($A1330,Store_Dim!$A$2:$F$21,3,FALSE)</f>
        <v>NorthHoodberg</v>
      </c>
    </row>
    <row r="1331" spans="1:16" x14ac:dyDescent="0.25">
      <c r="A1331" t="s">
        <v>794</v>
      </c>
      <c r="B1331" t="s">
        <v>2808</v>
      </c>
      <c r="C1331" t="s">
        <v>694</v>
      </c>
      <c r="D1331" s="2">
        <v>45819</v>
      </c>
      <c r="E1331" t="s">
        <v>289</v>
      </c>
      <c r="F1331" t="str">
        <f>VLOOKUP($C1331,Product_Dim!$A$2:$D$101,3,FALSE)</f>
        <v>Cline-Mccarthy</v>
      </c>
      <c r="G1331" t="str">
        <f>VLOOKUP($C1331,Product_Dim!$A$2:$D$101,2,FALSE)</f>
        <v>Beauty</v>
      </c>
      <c r="H1331">
        <v>1</v>
      </c>
      <c r="I1331">
        <v>913.99</v>
      </c>
      <c r="J1331">
        <v>0.14000000000000001</v>
      </c>
      <c r="K1331" s="3">
        <v>786.03139999999996</v>
      </c>
      <c r="L1331" t="s">
        <v>852</v>
      </c>
      <c r="M1331" t="str">
        <f>VLOOKUP($E1331,Customer_Dim!$A$2:$F$501,3,FALSE)</f>
        <v>Male</v>
      </c>
      <c r="N1331" t="str">
        <f>VLOOKUP($E1331,Customer_Dim!$A$2:$F$501,5,FALSE)</f>
        <v>USA</v>
      </c>
      <c r="O1331" t="str">
        <f>VLOOKUP($E1331,Customer_Dim!$A$2:$F$501,6,FALSE)</f>
        <v>Platinum</v>
      </c>
      <c r="P1331" t="str">
        <f>VLOOKUP($A1331,Store_Dim!$A$2:$F$21,3,FALSE)</f>
        <v>NorthHoodberg</v>
      </c>
    </row>
    <row r="1332" spans="1:16" x14ac:dyDescent="0.25">
      <c r="A1332" t="s">
        <v>794</v>
      </c>
      <c r="B1332" t="s">
        <v>2322</v>
      </c>
      <c r="C1332" t="s">
        <v>585</v>
      </c>
      <c r="D1332" s="2">
        <v>45272</v>
      </c>
      <c r="E1332" t="s">
        <v>239</v>
      </c>
      <c r="F1332" t="str">
        <f>VLOOKUP($C1332,Product_Dim!$A$2:$D$101,3,FALSE)</f>
        <v>Davidson PLC</v>
      </c>
      <c r="G1332" t="str">
        <f>VLOOKUP($C1332,Product_Dim!$A$2:$D$101,2,FALSE)</f>
        <v>Beauty</v>
      </c>
      <c r="H1332">
        <v>2</v>
      </c>
      <c r="I1332">
        <v>42.51</v>
      </c>
      <c r="J1332">
        <v>0.04</v>
      </c>
      <c r="K1332" s="3">
        <v>81.619199999999992</v>
      </c>
      <c r="L1332" t="s">
        <v>857</v>
      </c>
      <c r="M1332" t="str">
        <f>VLOOKUP($E1332,Customer_Dim!$A$2:$F$501,3,FALSE)</f>
        <v>Male</v>
      </c>
      <c r="N1332" t="str">
        <f>VLOOKUP($E1332,Customer_Dim!$A$2:$F$501,5,FALSE)</f>
        <v>USA</v>
      </c>
      <c r="O1332" t="str">
        <f>VLOOKUP($E1332,Customer_Dim!$A$2:$F$501,6,FALSE)</f>
        <v>Platinum</v>
      </c>
      <c r="P1332" t="str">
        <f>VLOOKUP($A1332,Store_Dim!$A$2:$F$21,3,FALSE)</f>
        <v>NorthHoodberg</v>
      </c>
    </row>
    <row r="1333" spans="1:16" hidden="1" x14ac:dyDescent="0.25">
      <c r="A1333" t="s">
        <v>794</v>
      </c>
      <c r="B1333" t="s">
        <v>1080</v>
      </c>
      <c r="C1333" t="s">
        <v>698</v>
      </c>
      <c r="D1333" s="2">
        <v>45666</v>
      </c>
      <c r="E1333" t="s">
        <v>333</v>
      </c>
      <c r="F1333" t="str">
        <f>VLOOKUP($C1333,Product_Dim!$A$2:$D$101,3,FALSE)</f>
        <v>Lopez LLC</v>
      </c>
      <c r="G1333" t="str">
        <f>VLOOKUP($C1333,Product_Dim!$A$2:$D$101,2,FALSE)</f>
        <v>Sports</v>
      </c>
      <c r="H1333">
        <v>4</v>
      </c>
      <c r="I1333">
        <v>585.04</v>
      </c>
      <c r="J1333">
        <v>0.22</v>
      </c>
      <c r="K1333" s="3">
        <v>1825.3248000000001</v>
      </c>
      <c r="L1333" t="s">
        <v>854</v>
      </c>
      <c r="M1333" t="str">
        <f>VLOOKUP($E1333,Customer_Dim!$A$2:$F$501,3,FALSE)</f>
        <v>Female</v>
      </c>
      <c r="N1333" t="str">
        <f>VLOOKUP($E1333,Customer_Dim!$A$2:$F$501,5,FALSE)</f>
        <v>USA</v>
      </c>
      <c r="O1333" t="str">
        <f>VLOOKUP($E1333,Customer_Dim!$A$2:$F$501,6,FALSE)</f>
        <v>Bronze</v>
      </c>
      <c r="P1333" t="str">
        <f>VLOOKUP($A1333,Store_Dim!$A$2:$F$21,3,FALSE)</f>
        <v>NorthHoodberg</v>
      </c>
    </row>
    <row r="1334" spans="1:16" x14ac:dyDescent="0.25">
      <c r="A1334" t="s">
        <v>794</v>
      </c>
      <c r="B1334" t="s">
        <v>1544</v>
      </c>
      <c r="C1334" t="s">
        <v>702</v>
      </c>
      <c r="D1334" s="2">
        <v>45301</v>
      </c>
      <c r="E1334" t="s">
        <v>227</v>
      </c>
      <c r="F1334" t="str">
        <f>VLOOKUP($C1334,Product_Dim!$A$2:$D$101,3,FALSE)</f>
        <v>Anderson-Riley</v>
      </c>
      <c r="G1334" t="str">
        <f>VLOOKUP($C1334,Product_Dim!$A$2:$D$101,2,FALSE)</f>
        <v>Beauty</v>
      </c>
      <c r="H1334">
        <v>3</v>
      </c>
      <c r="I1334">
        <v>142.83000000000001</v>
      </c>
      <c r="J1334">
        <v>0.01</v>
      </c>
      <c r="K1334" s="3">
        <v>424.20510000000002</v>
      </c>
      <c r="L1334" t="s">
        <v>852</v>
      </c>
      <c r="M1334" t="str">
        <f>VLOOKUP($E1334,Customer_Dim!$A$2:$F$501,3,FALSE)</f>
        <v>Male</v>
      </c>
      <c r="N1334" t="str">
        <f>VLOOKUP($E1334,Customer_Dim!$A$2:$F$501,5,FALSE)</f>
        <v>USA</v>
      </c>
      <c r="O1334" t="str">
        <f>VLOOKUP($E1334,Customer_Dim!$A$2:$F$501,6,FALSE)</f>
        <v>Bronze</v>
      </c>
      <c r="P1334" t="str">
        <f>VLOOKUP($A1334,Store_Dim!$A$2:$F$21,3,FALSE)</f>
        <v>NorthHoodberg</v>
      </c>
    </row>
    <row r="1335" spans="1:16" hidden="1" x14ac:dyDescent="0.25">
      <c r="A1335" t="s">
        <v>794</v>
      </c>
      <c r="B1335" t="s">
        <v>2038</v>
      </c>
      <c r="C1335" t="s">
        <v>702</v>
      </c>
      <c r="D1335" s="2">
        <v>45811</v>
      </c>
      <c r="E1335" t="s">
        <v>291</v>
      </c>
      <c r="F1335" t="str">
        <f>VLOOKUP($C1335,Product_Dim!$A$2:$D$101,3,FALSE)</f>
        <v>Anderson-Riley</v>
      </c>
      <c r="G1335" t="str">
        <f>VLOOKUP($C1335,Product_Dim!$A$2:$D$101,2,FALSE)</f>
        <v>Beauty</v>
      </c>
      <c r="H1335">
        <v>2</v>
      </c>
      <c r="I1335">
        <v>975.72</v>
      </c>
      <c r="J1335">
        <v>0.16</v>
      </c>
      <c r="K1335" s="3">
        <v>1639.2095999999999</v>
      </c>
      <c r="L1335" t="s">
        <v>857</v>
      </c>
      <c r="M1335" t="str">
        <f>VLOOKUP($E1335,Customer_Dim!$A$2:$F$501,3,FALSE)</f>
        <v>Female</v>
      </c>
      <c r="N1335" t="str">
        <f>VLOOKUP($E1335,Customer_Dim!$A$2:$F$501,5,FALSE)</f>
        <v>USA</v>
      </c>
      <c r="O1335" t="str">
        <f>VLOOKUP($E1335,Customer_Dim!$A$2:$F$501,6,FALSE)</f>
        <v>Platinum</v>
      </c>
      <c r="P1335" t="str">
        <f>VLOOKUP($A1335,Store_Dim!$A$2:$F$21,3,FALSE)</f>
        <v>NorthHoodberg</v>
      </c>
    </row>
    <row r="1336" spans="1:16" hidden="1" x14ac:dyDescent="0.25">
      <c r="A1336" t="s">
        <v>794</v>
      </c>
      <c r="B1336" t="s">
        <v>1039</v>
      </c>
      <c r="C1336" t="s">
        <v>702</v>
      </c>
      <c r="D1336" s="2">
        <v>45354</v>
      </c>
      <c r="E1336" t="s">
        <v>495</v>
      </c>
      <c r="F1336" t="str">
        <f>VLOOKUP($C1336,Product_Dim!$A$2:$D$101,3,FALSE)</f>
        <v>Anderson-Riley</v>
      </c>
      <c r="G1336" t="str">
        <f>VLOOKUP($C1336,Product_Dim!$A$2:$D$101,2,FALSE)</f>
        <v>Beauty</v>
      </c>
      <c r="H1336">
        <v>3</v>
      </c>
      <c r="I1336">
        <v>476.78</v>
      </c>
      <c r="J1336">
        <v>0.09</v>
      </c>
      <c r="K1336" s="3">
        <v>1301.6094000000001</v>
      </c>
      <c r="L1336" t="s">
        <v>857</v>
      </c>
      <c r="M1336" t="str">
        <f>VLOOKUP($E1336,Customer_Dim!$A$2:$F$501,3,FALSE)</f>
        <v>Female</v>
      </c>
      <c r="N1336" t="str">
        <f>VLOOKUP($E1336,Customer_Dim!$A$2:$F$501,5,FALSE)</f>
        <v>USA</v>
      </c>
      <c r="O1336" t="str">
        <f>VLOOKUP($E1336,Customer_Dim!$A$2:$F$501,6,FALSE)</f>
        <v>Bronze</v>
      </c>
      <c r="P1336" t="str">
        <f>VLOOKUP($A1336,Store_Dim!$A$2:$F$21,3,FALSE)</f>
        <v>NorthHoodberg</v>
      </c>
    </row>
    <row r="1337" spans="1:16" x14ac:dyDescent="0.25">
      <c r="A1337" t="s">
        <v>794</v>
      </c>
      <c r="B1337" t="s">
        <v>1507</v>
      </c>
      <c r="C1337" t="s">
        <v>704</v>
      </c>
      <c r="D1337" s="2">
        <v>45332</v>
      </c>
      <c r="E1337" t="s">
        <v>507</v>
      </c>
      <c r="F1337" t="str">
        <f>VLOOKUP($C1337,Product_Dim!$A$2:$D$101,3,FALSE)</f>
        <v>Zhang Inc</v>
      </c>
      <c r="G1337" t="str">
        <f>VLOOKUP($C1337,Product_Dim!$A$2:$D$101,2,FALSE)</f>
        <v>Beauty</v>
      </c>
      <c r="H1337">
        <v>2</v>
      </c>
      <c r="I1337">
        <v>492.62</v>
      </c>
      <c r="J1337">
        <v>0.26</v>
      </c>
      <c r="K1337" s="3">
        <v>729.07759999999996</v>
      </c>
      <c r="L1337" t="s">
        <v>857</v>
      </c>
      <c r="M1337" t="str">
        <f>VLOOKUP($E1337,Customer_Dim!$A$2:$F$501,3,FALSE)</f>
        <v>Male</v>
      </c>
      <c r="N1337" t="str">
        <f>VLOOKUP($E1337,Customer_Dim!$A$2:$F$501,5,FALSE)</f>
        <v>USA</v>
      </c>
      <c r="O1337" t="str">
        <f>VLOOKUP($E1337,Customer_Dim!$A$2:$F$501,6,FALSE)</f>
        <v>Silver</v>
      </c>
      <c r="P1337" t="str">
        <f>VLOOKUP($A1337,Store_Dim!$A$2:$F$21,3,FALSE)</f>
        <v>NorthHoodberg</v>
      </c>
    </row>
    <row r="1338" spans="1:16" hidden="1" x14ac:dyDescent="0.25">
      <c r="A1338" t="s">
        <v>794</v>
      </c>
      <c r="B1338" t="s">
        <v>1223</v>
      </c>
      <c r="C1338" t="s">
        <v>706</v>
      </c>
      <c r="D1338" s="2">
        <v>45217</v>
      </c>
      <c r="E1338" t="s">
        <v>515</v>
      </c>
      <c r="F1338" t="str">
        <f>VLOOKUP($C1338,Product_Dim!$A$2:$D$101,3,FALSE)</f>
        <v>Montgomery, Benton and Miller</v>
      </c>
      <c r="G1338" t="str">
        <f>VLOOKUP($C1338,Product_Dim!$A$2:$D$101,2,FALSE)</f>
        <v>Sports</v>
      </c>
      <c r="H1338">
        <v>4</v>
      </c>
      <c r="I1338">
        <v>269.49</v>
      </c>
      <c r="J1338">
        <v>7.0000000000000007E-2</v>
      </c>
      <c r="K1338" s="3">
        <v>1002.5028</v>
      </c>
      <c r="L1338" t="s">
        <v>854</v>
      </c>
      <c r="M1338" t="str">
        <f>VLOOKUP($E1338,Customer_Dim!$A$2:$F$501,3,FALSE)</f>
        <v>Female</v>
      </c>
      <c r="N1338" t="str">
        <f>VLOOKUP($E1338,Customer_Dim!$A$2:$F$501,5,FALSE)</f>
        <v>USA</v>
      </c>
      <c r="O1338" t="str">
        <f>VLOOKUP($E1338,Customer_Dim!$A$2:$F$501,6,FALSE)</f>
        <v>Bronze</v>
      </c>
      <c r="P1338" t="str">
        <f>VLOOKUP($A1338,Store_Dim!$A$2:$F$21,3,FALSE)</f>
        <v>NorthHoodberg</v>
      </c>
    </row>
    <row r="1339" spans="1:16" hidden="1" x14ac:dyDescent="0.25">
      <c r="A1339" t="s">
        <v>794</v>
      </c>
      <c r="B1339" t="s">
        <v>1424</v>
      </c>
      <c r="C1339" t="s">
        <v>706</v>
      </c>
      <c r="D1339" s="2">
        <v>45348</v>
      </c>
      <c r="E1339" t="s">
        <v>528</v>
      </c>
      <c r="F1339" t="str">
        <f>VLOOKUP($C1339,Product_Dim!$A$2:$D$101,3,FALSE)</f>
        <v>Montgomery, Benton and Miller</v>
      </c>
      <c r="G1339" t="str">
        <f>VLOOKUP($C1339,Product_Dim!$A$2:$D$101,2,FALSE)</f>
        <v>Sports</v>
      </c>
      <c r="H1339">
        <v>3</v>
      </c>
      <c r="I1339">
        <v>345.58</v>
      </c>
      <c r="J1339">
        <v>0.22</v>
      </c>
      <c r="K1339" s="3">
        <v>808.65719999999999</v>
      </c>
      <c r="L1339" t="s">
        <v>852</v>
      </c>
      <c r="M1339" t="str">
        <f>VLOOKUP($E1339,Customer_Dim!$A$2:$F$501,3,FALSE)</f>
        <v>Female</v>
      </c>
      <c r="N1339" t="str">
        <f>VLOOKUP($E1339,Customer_Dim!$A$2:$F$501,5,FALSE)</f>
        <v>USA</v>
      </c>
      <c r="O1339" t="str">
        <f>VLOOKUP($E1339,Customer_Dim!$A$2:$F$501,6,FALSE)</f>
        <v>Silver</v>
      </c>
      <c r="P1339" t="str">
        <f>VLOOKUP($A1339,Store_Dim!$A$2:$F$21,3,FALSE)</f>
        <v>NorthHoodberg</v>
      </c>
    </row>
    <row r="1340" spans="1:16" x14ac:dyDescent="0.25">
      <c r="A1340" t="s">
        <v>794</v>
      </c>
      <c r="B1340" t="s">
        <v>2006</v>
      </c>
      <c r="C1340" t="s">
        <v>706</v>
      </c>
      <c r="D1340" s="2">
        <v>45924</v>
      </c>
      <c r="E1340" t="s">
        <v>547</v>
      </c>
      <c r="F1340" t="str">
        <f>VLOOKUP($C1340,Product_Dim!$A$2:$D$101,3,FALSE)</f>
        <v>Montgomery, Benton and Miller</v>
      </c>
      <c r="G1340" t="str">
        <f>VLOOKUP($C1340,Product_Dim!$A$2:$D$101,2,FALSE)</f>
        <v>Sports</v>
      </c>
      <c r="H1340">
        <v>3</v>
      </c>
      <c r="I1340">
        <v>258.06</v>
      </c>
      <c r="J1340">
        <v>0</v>
      </c>
      <c r="K1340" s="3">
        <v>774.18000000000006</v>
      </c>
      <c r="L1340" t="s">
        <v>854</v>
      </c>
      <c r="M1340" t="str">
        <f>VLOOKUP($E1340,Customer_Dim!$A$2:$F$501,3,FALSE)</f>
        <v>Male</v>
      </c>
      <c r="N1340" t="str">
        <f>VLOOKUP($E1340,Customer_Dim!$A$2:$F$501,5,FALSE)</f>
        <v>USA</v>
      </c>
      <c r="O1340" t="str">
        <f>VLOOKUP($E1340,Customer_Dim!$A$2:$F$501,6,FALSE)</f>
        <v>Bronze</v>
      </c>
      <c r="P1340" t="str">
        <f>VLOOKUP($A1340,Store_Dim!$A$2:$F$21,3,FALSE)</f>
        <v>NorthHoodberg</v>
      </c>
    </row>
    <row r="1341" spans="1:16" x14ac:dyDescent="0.25">
      <c r="A1341" t="s">
        <v>794</v>
      </c>
      <c r="B1341" t="s">
        <v>2244</v>
      </c>
      <c r="C1341" t="s">
        <v>708</v>
      </c>
      <c r="D1341" s="2">
        <v>45338</v>
      </c>
      <c r="E1341" t="s">
        <v>430</v>
      </c>
      <c r="F1341" t="str">
        <f>VLOOKUP($C1341,Product_Dim!$A$2:$D$101,3,FALSE)</f>
        <v>Torres, Spencer and Potter</v>
      </c>
      <c r="G1341" t="str">
        <f>VLOOKUP($C1341,Product_Dim!$A$2:$D$101,2,FALSE)</f>
        <v>Beauty</v>
      </c>
      <c r="H1341">
        <v>1</v>
      </c>
      <c r="I1341">
        <v>997.87</v>
      </c>
      <c r="J1341">
        <v>0.24</v>
      </c>
      <c r="K1341" s="3">
        <v>758.38120000000004</v>
      </c>
      <c r="L1341" t="s">
        <v>852</v>
      </c>
      <c r="M1341" t="str">
        <f>VLOOKUP($E1341,Customer_Dim!$A$2:$F$501,3,FALSE)</f>
        <v>Male</v>
      </c>
      <c r="N1341" t="str">
        <f>VLOOKUP($E1341,Customer_Dim!$A$2:$F$501,5,FALSE)</f>
        <v>USA</v>
      </c>
      <c r="O1341" t="str">
        <f>VLOOKUP($E1341,Customer_Dim!$A$2:$F$501,6,FALSE)</f>
        <v>Bronze</v>
      </c>
      <c r="P1341" t="str">
        <f>VLOOKUP($A1341,Store_Dim!$A$2:$F$21,3,FALSE)</f>
        <v>NorthHoodberg</v>
      </c>
    </row>
    <row r="1342" spans="1:16" x14ac:dyDescent="0.25">
      <c r="A1342" t="s">
        <v>794</v>
      </c>
      <c r="B1342" t="s">
        <v>1722</v>
      </c>
      <c r="C1342" t="s">
        <v>708</v>
      </c>
      <c r="D1342" s="2">
        <v>45382</v>
      </c>
      <c r="E1342" t="s">
        <v>469</v>
      </c>
      <c r="F1342" t="str">
        <f>VLOOKUP($C1342,Product_Dim!$A$2:$D$101,3,FALSE)</f>
        <v>Torres, Spencer and Potter</v>
      </c>
      <c r="G1342" t="str">
        <f>VLOOKUP($C1342,Product_Dim!$A$2:$D$101,2,FALSE)</f>
        <v>Beauty</v>
      </c>
      <c r="H1342">
        <v>1</v>
      </c>
      <c r="I1342">
        <v>984.6</v>
      </c>
      <c r="J1342">
        <v>0.22</v>
      </c>
      <c r="K1342" s="3">
        <v>767.98800000000006</v>
      </c>
      <c r="L1342" t="s">
        <v>852</v>
      </c>
      <c r="M1342" t="str">
        <f>VLOOKUP($E1342,Customer_Dim!$A$2:$F$501,3,FALSE)</f>
        <v>Male</v>
      </c>
      <c r="N1342" t="str">
        <f>VLOOKUP($E1342,Customer_Dim!$A$2:$F$501,5,FALSE)</f>
        <v>USA</v>
      </c>
      <c r="O1342" t="str">
        <f>VLOOKUP($E1342,Customer_Dim!$A$2:$F$501,6,FALSE)</f>
        <v>Bronze</v>
      </c>
      <c r="P1342" t="str">
        <f>VLOOKUP($A1342,Store_Dim!$A$2:$F$21,3,FALSE)</f>
        <v>NorthHoodberg</v>
      </c>
    </row>
    <row r="1343" spans="1:16" hidden="1" x14ac:dyDescent="0.25">
      <c r="A1343" t="s">
        <v>794</v>
      </c>
      <c r="B1343" t="s">
        <v>1103</v>
      </c>
      <c r="C1343" t="s">
        <v>712</v>
      </c>
      <c r="D1343" s="2">
        <v>45606</v>
      </c>
      <c r="E1343" t="s">
        <v>57</v>
      </c>
      <c r="F1343" t="str">
        <f>VLOOKUP($C1343,Product_Dim!$A$2:$D$101,3,FALSE)</f>
        <v>Wolfe, Ross and Hester</v>
      </c>
      <c r="G1343" t="str">
        <f>VLOOKUP($C1343,Product_Dim!$A$2:$D$101,2,FALSE)</f>
        <v>Home</v>
      </c>
      <c r="H1343">
        <v>2</v>
      </c>
      <c r="I1343">
        <v>894.58</v>
      </c>
      <c r="J1343">
        <v>0.25</v>
      </c>
      <c r="K1343" s="3">
        <v>1341.87</v>
      </c>
      <c r="L1343" t="s">
        <v>852</v>
      </c>
      <c r="M1343" t="str">
        <f>VLOOKUP($E1343,Customer_Dim!$A$2:$F$501,3,FALSE)</f>
        <v>Female</v>
      </c>
      <c r="N1343" t="str">
        <f>VLOOKUP($E1343,Customer_Dim!$A$2:$F$501,5,FALSE)</f>
        <v>USA</v>
      </c>
      <c r="O1343" t="str">
        <f>VLOOKUP($E1343,Customer_Dim!$A$2:$F$501,6,FALSE)</f>
        <v>Silver</v>
      </c>
      <c r="P1343" t="str">
        <f>VLOOKUP($A1343,Store_Dim!$A$2:$F$21,3,FALSE)</f>
        <v>NorthHoodberg</v>
      </c>
    </row>
    <row r="1344" spans="1:16" hidden="1" x14ac:dyDescent="0.25">
      <c r="A1344" t="s">
        <v>794</v>
      </c>
      <c r="B1344" t="s">
        <v>1716</v>
      </c>
      <c r="C1344" t="s">
        <v>718</v>
      </c>
      <c r="D1344" s="2">
        <v>45412</v>
      </c>
      <c r="E1344" t="s">
        <v>349</v>
      </c>
      <c r="F1344" t="str">
        <f>VLOOKUP($C1344,Product_Dim!$A$2:$D$101,3,FALSE)</f>
        <v>Hopkins Ltd</v>
      </c>
      <c r="G1344" t="str">
        <f>VLOOKUP($C1344,Product_Dim!$A$2:$D$101,2,FALSE)</f>
        <v>Beauty</v>
      </c>
      <c r="H1344">
        <v>4</v>
      </c>
      <c r="I1344">
        <v>770.65</v>
      </c>
      <c r="J1344">
        <v>0.27</v>
      </c>
      <c r="K1344" s="3">
        <v>2250.2979999999998</v>
      </c>
      <c r="L1344" t="s">
        <v>852</v>
      </c>
      <c r="M1344" t="str">
        <f>VLOOKUP($E1344,Customer_Dim!$A$2:$F$501,3,FALSE)</f>
        <v>Female</v>
      </c>
      <c r="N1344" t="str">
        <f>VLOOKUP($E1344,Customer_Dim!$A$2:$F$501,5,FALSE)</f>
        <v>USA</v>
      </c>
      <c r="O1344" t="str">
        <f>VLOOKUP($E1344,Customer_Dim!$A$2:$F$501,6,FALSE)</f>
        <v>Gold</v>
      </c>
      <c r="P1344" t="str">
        <f>VLOOKUP($A1344,Store_Dim!$A$2:$F$21,3,FALSE)</f>
        <v>NorthHoodberg</v>
      </c>
    </row>
    <row r="1345" spans="1:16" hidden="1" x14ac:dyDescent="0.25">
      <c r="A1345" t="s">
        <v>794</v>
      </c>
      <c r="B1345" t="s">
        <v>2596</v>
      </c>
      <c r="C1345" t="s">
        <v>722</v>
      </c>
      <c r="D1345" s="2">
        <v>45556</v>
      </c>
      <c r="E1345" t="s">
        <v>360</v>
      </c>
      <c r="F1345" t="str">
        <f>VLOOKUP($C1345,Product_Dim!$A$2:$D$101,3,FALSE)</f>
        <v>French Ltd</v>
      </c>
      <c r="G1345" t="str">
        <f>VLOOKUP($C1345,Product_Dim!$A$2:$D$101,2,FALSE)</f>
        <v>Sports</v>
      </c>
      <c r="H1345">
        <v>1</v>
      </c>
      <c r="I1345">
        <v>24.13</v>
      </c>
      <c r="J1345">
        <v>0</v>
      </c>
      <c r="K1345" s="3">
        <v>24.13</v>
      </c>
      <c r="L1345" t="s">
        <v>852</v>
      </c>
      <c r="M1345" t="str">
        <f>VLOOKUP($E1345,Customer_Dim!$A$2:$F$501,3,FALSE)</f>
        <v>Female</v>
      </c>
      <c r="N1345" t="str">
        <f>VLOOKUP($E1345,Customer_Dim!$A$2:$F$501,5,FALSE)</f>
        <v>USA</v>
      </c>
      <c r="O1345" t="str">
        <f>VLOOKUP($E1345,Customer_Dim!$A$2:$F$501,6,FALSE)</f>
        <v>Platinum</v>
      </c>
      <c r="P1345" t="str">
        <f>VLOOKUP($A1345,Store_Dim!$A$2:$F$21,3,FALSE)</f>
        <v>NorthHoodberg</v>
      </c>
    </row>
    <row r="1346" spans="1:16" hidden="1" x14ac:dyDescent="0.25">
      <c r="A1346" t="s">
        <v>794</v>
      </c>
      <c r="B1346" t="s">
        <v>1262</v>
      </c>
      <c r="C1346" t="s">
        <v>724</v>
      </c>
      <c r="D1346" s="2">
        <v>45465</v>
      </c>
      <c r="E1346" t="s">
        <v>79</v>
      </c>
      <c r="F1346" t="str">
        <f>VLOOKUP($C1346,Product_Dim!$A$2:$D$101,3,FALSE)</f>
        <v>Bruce-Bowen</v>
      </c>
      <c r="G1346" t="str">
        <f>VLOOKUP($C1346,Product_Dim!$A$2:$D$101,2,FALSE)</f>
        <v>Electronics</v>
      </c>
      <c r="H1346">
        <v>3</v>
      </c>
      <c r="I1346">
        <v>220.51</v>
      </c>
      <c r="J1346">
        <v>0.02</v>
      </c>
      <c r="K1346" s="3">
        <v>648.29939999999999</v>
      </c>
      <c r="L1346" t="s">
        <v>854</v>
      </c>
      <c r="M1346" t="str">
        <f>VLOOKUP($E1346,Customer_Dim!$A$2:$F$501,3,FALSE)</f>
        <v>Female</v>
      </c>
      <c r="N1346" t="str">
        <f>VLOOKUP($E1346,Customer_Dim!$A$2:$F$501,5,FALSE)</f>
        <v>USA</v>
      </c>
      <c r="O1346" t="str">
        <f>VLOOKUP($E1346,Customer_Dim!$A$2:$F$501,6,FALSE)</f>
        <v>Gold</v>
      </c>
      <c r="P1346" t="str">
        <f>VLOOKUP($A1346,Store_Dim!$A$2:$F$21,3,FALSE)</f>
        <v>NorthHoodberg</v>
      </c>
    </row>
    <row r="1347" spans="1:16" x14ac:dyDescent="0.25">
      <c r="A1347" t="s">
        <v>794</v>
      </c>
      <c r="B1347" t="s">
        <v>2567</v>
      </c>
      <c r="C1347" t="s">
        <v>724</v>
      </c>
      <c r="D1347" s="2">
        <v>45572</v>
      </c>
      <c r="E1347" t="s">
        <v>535</v>
      </c>
      <c r="F1347" t="str">
        <f>VLOOKUP($C1347,Product_Dim!$A$2:$D$101,3,FALSE)</f>
        <v>Bruce-Bowen</v>
      </c>
      <c r="G1347" t="str">
        <f>VLOOKUP($C1347,Product_Dim!$A$2:$D$101,2,FALSE)</f>
        <v>Electronics</v>
      </c>
      <c r="H1347">
        <v>1</v>
      </c>
      <c r="I1347">
        <v>492</v>
      </c>
      <c r="J1347">
        <v>0.26</v>
      </c>
      <c r="K1347" s="3">
        <v>364.08</v>
      </c>
      <c r="L1347" t="s">
        <v>854</v>
      </c>
      <c r="M1347" t="str">
        <f>VLOOKUP($E1347,Customer_Dim!$A$2:$F$501,3,FALSE)</f>
        <v>Male</v>
      </c>
      <c r="N1347" t="str">
        <f>VLOOKUP($E1347,Customer_Dim!$A$2:$F$501,5,FALSE)</f>
        <v>USA</v>
      </c>
      <c r="O1347" t="str">
        <f>VLOOKUP($E1347,Customer_Dim!$A$2:$F$501,6,FALSE)</f>
        <v>Bronze</v>
      </c>
      <c r="P1347" t="str">
        <f>VLOOKUP($A1347,Store_Dim!$A$2:$F$21,3,FALSE)</f>
        <v>NorthHoodberg</v>
      </c>
    </row>
    <row r="1348" spans="1:16" hidden="1" x14ac:dyDescent="0.25">
      <c r="A1348" t="s">
        <v>794</v>
      </c>
      <c r="B1348" t="s">
        <v>1082</v>
      </c>
      <c r="C1348" t="s">
        <v>726</v>
      </c>
      <c r="D1348" s="2">
        <v>45284</v>
      </c>
      <c r="E1348" t="s">
        <v>169</v>
      </c>
      <c r="F1348" t="str">
        <f>VLOOKUP($C1348,Product_Dim!$A$2:$D$101,3,FALSE)</f>
        <v>Poole PLC</v>
      </c>
      <c r="G1348" t="str">
        <f>VLOOKUP($C1348,Product_Dim!$A$2:$D$101,2,FALSE)</f>
        <v>Clothing</v>
      </c>
      <c r="H1348">
        <v>2</v>
      </c>
      <c r="I1348">
        <v>848.98</v>
      </c>
      <c r="J1348">
        <v>0.04</v>
      </c>
      <c r="K1348" s="3">
        <v>1630.0416</v>
      </c>
      <c r="L1348" t="s">
        <v>854</v>
      </c>
      <c r="M1348" t="str">
        <f>VLOOKUP($E1348,Customer_Dim!$A$2:$F$501,3,FALSE)</f>
        <v>Female</v>
      </c>
      <c r="N1348" t="str">
        <f>VLOOKUP($E1348,Customer_Dim!$A$2:$F$501,5,FALSE)</f>
        <v>USA</v>
      </c>
      <c r="O1348" t="str">
        <f>VLOOKUP($E1348,Customer_Dim!$A$2:$F$501,6,FALSE)</f>
        <v>Platinum</v>
      </c>
      <c r="P1348" t="str">
        <f>VLOOKUP($A1348,Store_Dim!$A$2:$F$21,3,FALSE)</f>
        <v>NorthHoodberg</v>
      </c>
    </row>
    <row r="1349" spans="1:16" x14ac:dyDescent="0.25">
      <c r="A1349" t="s">
        <v>794</v>
      </c>
      <c r="B1349" t="s">
        <v>2761</v>
      </c>
      <c r="C1349" t="s">
        <v>728</v>
      </c>
      <c r="D1349" s="2">
        <v>45704</v>
      </c>
      <c r="E1349" t="s">
        <v>321</v>
      </c>
      <c r="F1349" t="str">
        <f>VLOOKUP($C1349,Product_Dim!$A$2:$D$101,3,FALSE)</f>
        <v>Larson Ltd</v>
      </c>
      <c r="G1349" t="str">
        <f>VLOOKUP($C1349,Product_Dim!$A$2:$D$101,2,FALSE)</f>
        <v>Electronics</v>
      </c>
      <c r="H1349">
        <v>4</v>
      </c>
      <c r="I1349">
        <v>849.29</v>
      </c>
      <c r="J1349">
        <v>0.26</v>
      </c>
      <c r="K1349" s="3">
        <v>2513.8984</v>
      </c>
      <c r="L1349" t="s">
        <v>852</v>
      </c>
      <c r="M1349" t="str">
        <f>VLOOKUP($E1349,Customer_Dim!$A$2:$F$501,3,FALSE)</f>
        <v>Male</v>
      </c>
      <c r="N1349" t="str">
        <f>VLOOKUP($E1349,Customer_Dim!$A$2:$F$501,5,FALSE)</f>
        <v>USA</v>
      </c>
      <c r="O1349" t="str">
        <f>VLOOKUP($E1349,Customer_Dim!$A$2:$F$501,6,FALSE)</f>
        <v>Gold</v>
      </c>
      <c r="P1349" t="str">
        <f>VLOOKUP($A1349,Store_Dim!$A$2:$F$21,3,FALSE)</f>
        <v>NorthHoodberg</v>
      </c>
    </row>
    <row r="1350" spans="1:16" hidden="1" x14ac:dyDescent="0.25">
      <c r="A1350" t="s">
        <v>794</v>
      </c>
      <c r="B1350" t="s">
        <v>1169</v>
      </c>
      <c r="C1350" t="s">
        <v>730</v>
      </c>
      <c r="D1350" s="2">
        <v>45433</v>
      </c>
      <c r="E1350" t="s">
        <v>179</v>
      </c>
      <c r="F1350" t="str">
        <f>VLOOKUP($C1350,Product_Dim!$A$2:$D$101,3,FALSE)</f>
        <v>White, Reeves and Woods</v>
      </c>
      <c r="G1350" t="str">
        <f>VLOOKUP($C1350,Product_Dim!$A$2:$D$101,2,FALSE)</f>
        <v>Electronics</v>
      </c>
      <c r="H1350">
        <v>2</v>
      </c>
      <c r="I1350">
        <v>548.29999999999995</v>
      </c>
      <c r="J1350">
        <v>0.23</v>
      </c>
      <c r="K1350" s="3">
        <v>844.38199999999995</v>
      </c>
      <c r="L1350" t="s">
        <v>852</v>
      </c>
      <c r="M1350" t="str">
        <f>VLOOKUP($E1350,Customer_Dim!$A$2:$F$501,3,FALSE)</f>
        <v>Female</v>
      </c>
      <c r="N1350" t="str">
        <f>VLOOKUP($E1350,Customer_Dim!$A$2:$F$501,5,FALSE)</f>
        <v>USA</v>
      </c>
      <c r="O1350" t="str">
        <f>VLOOKUP($E1350,Customer_Dim!$A$2:$F$501,6,FALSE)</f>
        <v>Platinum</v>
      </c>
      <c r="P1350" t="str">
        <f>VLOOKUP($A1350,Store_Dim!$A$2:$F$21,3,FALSE)</f>
        <v>NorthHoodberg</v>
      </c>
    </row>
    <row r="1351" spans="1:16" hidden="1" x14ac:dyDescent="0.25">
      <c r="A1351" t="s">
        <v>794</v>
      </c>
      <c r="B1351" t="s">
        <v>2572</v>
      </c>
      <c r="C1351" t="s">
        <v>732</v>
      </c>
      <c r="D1351" s="2">
        <v>45261</v>
      </c>
      <c r="E1351" t="s">
        <v>117</v>
      </c>
      <c r="F1351" t="str">
        <f>VLOOKUP($C1351,Product_Dim!$A$2:$D$101,3,FALSE)</f>
        <v>Hernandez Inc</v>
      </c>
      <c r="G1351" t="str">
        <f>VLOOKUP($C1351,Product_Dim!$A$2:$D$101,2,FALSE)</f>
        <v>Home</v>
      </c>
      <c r="H1351">
        <v>4</v>
      </c>
      <c r="I1351">
        <v>346.37</v>
      </c>
      <c r="J1351">
        <v>0.18</v>
      </c>
      <c r="K1351" s="3">
        <v>1136.0935999999999</v>
      </c>
      <c r="L1351" t="s">
        <v>857</v>
      </c>
      <c r="M1351" t="str">
        <f>VLOOKUP($E1351,Customer_Dim!$A$2:$F$501,3,FALSE)</f>
        <v>Female</v>
      </c>
      <c r="N1351" t="str">
        <f>VLOOKUP($E1351,Customer_Dim!$A$2:$F$501,5,FALSE)</f>
        <v>USA</v>
      </c>
      <c r="O1351" t="str">
        <f>VLOOKUP($E1351,Customer_Dim!$A$2:$F$501,6,FALSE)</f>
        <v>Silver</v>
      </c>
      <c r="P1351" t="str">
        <f>VLOOKUP($A1351,Store_Dim!$A$2:$F$21,3,FALSE)</f>
        <v>NorthHoodberg</v>
      </c>
    </row>
    <row r="1352" spans="1:16" hidden="1" x14ac:dyDescent="0.25">
      <c r="A1352" t="s">
        <v>794</v>
      </c>
      <c r="B1352" t="s">
        <v>1888</v>
      </c>
      <c r="C1352" t="s">
        <v>732</v>
      </c>
      <c r="D1352" s="2">
        <v>45727</v>
      </c>
      <c r="E1352" t="s">
        <v>153</v>
      </c>
      <c r="F1352" t="str">
        <f>VLOOKUP($C1352,Product_Dim!$A$2:$D$101,3,FALSE)</f>
        <v>Hernandez Inc</v>
      </c>
      <c r="G1352" t="str">
        <f>VLOOKUP($C1352,Product_Dim!$A$2:$D$101,2,FALSE)</f>
        <v>Home</v>
      </c>
      <c r="H1352">
        <v>3</v>
      </c>
      <c r="I1352">
        <v>461.03</v>
      </c>
      <c r="J1352">
        <v>0.11</v>
      </c>
      <c r="K1352" s="3">
        <v>1230.9501</v>
      </c>
      <c r="L1352" t="s">
        <v>854</v>
      </c>
      <c r="M1352" t="str">
        <f>VLOOKUP($E1352,Customer_Dim!$A$2:$F$501,3,FALSE)</f>
        <v>Female</v>
      </c>
      <c r="N1352" t="str">
        <f>VLOOKUP($E1352,Customer_Dim!$A$2:$F$501,5,FALSE)</f>
        <v>USA</v>
      </c>
      <c r="O1352" t="str">
        <f>VLOOKUP($E1352,Customer_Dim!$A$2:$F$501,6,FALSE)</f>
        <v>Platinum</v>
      </c>
      <c r="P1352" t="str">
        <f>VLOOKUP($A1352,Store_Dim!$A$2:$F$21,3,FALSE)</f>
        <v>NorthHoodberg</v>
      </c>
    </row>
    <row r="1353" spans="1:16" hidden="1" x14ac:dyDescent="0.25">
      <c r="A1353" t="s">
        <v>794</v>
      </c>
      <c r="B1353" t="s">
        <v>1947</v>
      </c>
      <c r="C1353" t="s">
        <v>732</v>
      </c>
      <c r="D1353" s="2">
        <v>45575</v>
      </c>
      <c r="E1353" t="s">
        <v>225</v>
      </c>
      <c r="F1353" t="str">
        <f>VLOOKUP($C1353,Product_Dim!$A$2:$D$101,3,FALSE)</f>
        <v>Hernandez Inc</v>
      </c>
      <c r="G1353" t="str">
        <f>VLOOKUP($C1353,Product_Dim!$A$2:$D$101,2,FALSE)</f>
        <v>Home</v>
      </c>
      <c r="H1353">
        <v>2</v>
      </c>
      <c r="I1353">
        <v>845.27</v>
      </c>
      <c r="J1353">
        <v>0.18</v>
      </c>
      <c r="K1353" s="3">
        <v>1386.2428</v>
      </c>
      <c r="L1353" t="s">
        <v>854</v>
      </c>
      <c r="M1353" t="str">
        <f>VLOOKUP($E1353,Customer_Dim!$A$2:$F$501,3,FALSE)</f>
        <v>Female</v>
      </c>
      <c r="N1353" t="str">
        <f>VLOOKUP($E1353,Customer_Dim!$A$2:$F$501,5,FALSE)</f>
        <v>USA</v>
      </c>
      <c r="O1353" t="str">
        <f>VLOOKUP($E1353,Customer_Dim!$A$2:$F$501,6,FALSE)</f>
        <v>Silver</v>
      </c>
      <c r="P1353" t="str">
        <f>VLOOKUP($A1353,Store_Dim!$A$2:$F$21,3,FALSE)</f>
        <v>NorthHoodberg</v>
      </c>
    </row>
    <row r="1354" spans="1:16" hidden="1" x14ac:dyDescent="0.25">
      <c r="A1354" t="s">
        <v>794</v>
      </c>
      <c r="B1354" t="s">
        <v>1597</v>
      </c>
      <c r="C1354" t="s">
        <v>734</v>
      </c>
      <c r="D1354" s="2">
        <v>45384</v>
      </c>
      <c r="E1354" t="s">
        <v>236</v>
      </c>
      <c r="F1354" t="str">
        <f>VLOOKUP($C1354,Product_Dim!$A$2:$D$101,3,FALSE)</f>
        <v>Ramirez-Hanson</v>
      </c>
      <c r="G1354" t="str">
        <f>VLOOKUP($C1354,Product_Dim!$A$2:$D$101,2,FALSE)</f>
        <v>Home</v>
      </c>
      <c r="H1354">
        <v>3</v>
      </c>
      <c r="I1354">
        <v>339.41</v>
      </c>
      <c r="J1354">
        <v>0.26</v>
      </c>
      <c r="K1354" s="3">
        <v>753.49019999999996</v>
      </c>
      <c r="L1354" t="s">
        <v>852</v>
      </c>
      <c r="M1354" t="str">
        <f>VLOOKUP($E1354,Customer_Dim!$A$2:$F$501,3,FALSE)</f>
        <v>Female</v>
      </c>
      <c r="N1354" t="str">
        <f>VLOOKUP($E1354,Customer_Dim!$A$2:$F$501,5,FALSE)</f>
        <v>USA</v>
      </c>
      <c r="O1354" t="str">
        <f>VLOOKUP($E1354,Customer_Dim!$A$2:$F$501,6,FALSE)</f>
        <v>Bronze</v>
      </c>
      <c r="P1354" t="str">
        <f>VLOOKUP($A1354,Store_Dim!$A$2:$F$21,3,FALSE)</f>
        <v>NorthHoodberg</v>
      </c>
    </row>
    <row r="1355" spans="1:16" hidden="1" x14ac:dyDescent="0.25">
      <c r="A1355" t="s">
        <v>794</v>
      </c>
      <c r="B1355" t="s">
        <v>1061</v>
      </c>
      <c r="C1355" t="s">
        <v>734</v>
      </c>
      <c r="D1355" s="2">
        <v>45640</v>
      </c>
      <c r="E1355" t="s">
        <v>250</v>
      </c>
      <c r="F1355" t="str">
        <f>VLOOKUP($C1355,Product_Dim!$A$2:$D$101,3,FALSE)</f>
        <v>Ramirez-Hanson</v>
      </c>
      <c r="G1355" t="str">
        <f>VLOOKUP($C1355,Product_Dim!$A$2:$D$101,2,FALSE)</f>
        <v>Home</v>
      </c>
      <c r="H1355">
        <v>1</v>
      </c>
      <c r="I1355">
        <v>127.11</v>
      </c>
      <c r="J1355">
        <v>0.01</v>
      </c>
      <c r="K1355" s="3">
        <v>125.8389</v>
      </c>
      <c r="L1355" t="s">
        <v>854</v>
      </c>
      <c r="M1355" t="str">
        <f>VLOOKUP($E1355,Customer_Dim!$A$2:$F$501,3,FALSE)</f>
        <v>Female</v>
      </c>
      <c r="N1355" t="str">
        <f>VLOOKUP($E1355,Customer_Dim!$A$2:$F$501,5,FALSE)</f>
        <v>USA</v>
      </c>
      <c r="O1355" t="str">
        <f>VLOOKUP($E1355,Customer_Dim!$A$2:$F$501,6,FALSE)</f>
        <v>Platinum</v>
      </c>
      <c r="P1355" t="str">
        <f>VLOOKUP($A1355,Store_Dim!$A$2:$F$21,3,FALSE)</f>
        <v>NorthHoodberg</v>
      </c>
    </row>
    <row r="1356" spans="1:16" x14ac:dyDescent="0.25">
      <c r="A1356" t="s">
        <v>794</v>
      </c>
      <c r="B1356" t="s">
        <v>2511</v>
      </c>
      <c r="C1356" t="s">
        <v>590</v>
      </c>
      <c r="D1356" s="2">
        <v>45237</v>
      </c>
      <c r="E1356" t="s">
        <v>182</v>
      </c>
      <c r="F1356" t="str">
        <f>VLOOKUP($C1356,Product_Dim!$A$2:$D$101,3,FALSE)</f>
        <v>Perez-Johnston</v>
      </c>
      <c r="G1356" t="str">
        <f>VLOOKUP($C1356,Product_Dim!$A$2:$D$101,2,FALSE)</f>
        <v>Electronics</v>
      </c>
      <c r="H1356">
        <v>4</v>
      </c>
      <c r="I1356">
        <v>555.65</v>
      </c>
      <c r="J1356">
        <v>0.25</v>
      </c>
      <c r="K1356" s="3">
        <v>1666.95</v>
      </c>
      <c r="L1356" t="s">
        <v>857</v>
      </c>
      <c r="M1356" t="str">
        <f>VLOOKUP($E1356,Customer_Dim!$A$2:$F$501,3,FALSE)</f>
        <v>Male</v>
      </c>
      <c r="N1356" t="str">
        <f>VLOOKUP($E1356,Customer_Dim!$A$2:$F$501,5,FALSE)</f>
        <v>USA</v>
      </c>
      <c r="O1356" t="str">
        <f>VLOOKUP($E1356,Customer_Dim!$A$2:$F$501,6,FALSE)</f>
        <v>Bronze</v>
      </c>
      <c r="P1356" t="str">
        <f>VLOOKUP($A1356,Store_Dim!$A$2:$F$21,3,FALSE)</f>
        <v>NorthHoodberg</v>
      </c>
    </row>
    <row r="1357" spans="1:16" x14ac:dyDescent="0.25">
      <c r="A1357" t="s">
        <v>794</v>
      </c>
      <c r="B1357" t="s">
        <v>1484</v>
      </c>
      <c r="C1357" t="s">
        <v>590</v>
      </c>
      <c r="D1357" s="2">
        <v>45804</v>
      </c>
      <c r="E1357" t="s">
        <v>487</v>
      </c>
      <c r="F1357" t="str">
        <f>VLOOKUP($C1357,Product_Dim!$A$2:$D$101,3,FALSE)</f>
        <v>Perez-Johnston</v>
      </c>
      <c r="G1357" t="str">
        <f>VLOOKUP($C1357,Product_Dim!$A$2:$D$101,2,FALSE)</f>
        <v>Electronics</v>
      </c>
      <c r="H1357">
        <v>4</v>
      </c>
      <c r="I1357">
        <v>432.29</v>
      </c>
      <c r="J1357">
        <v>0.16</v>
      </c>
      <c r="K1357" s="3">
        <v>1452.4944</v>
      </c>
      <c r="L1357" t="s">
        <v>857</v>
      </c>
      <c r="M1357" t="str">
        <f>VLOOKUP($E1357,Customer_Dim!$A$2:$F$501,3,FALSE)</f>
        <v>Male</v>
      </c>
      <c r="N1357" t="str">
        <f>VLOOKUP($E1357,Customer_Dim!$A$2:$F$501,5,FALSE)</f>
        <v>USA</v>
      </c>
      <c r="O1357" t="str">
        <f>VLOOKUP($E1357,Customer_Dim!$A$2:$F$501,6,FALSE)</f>
        <v>Bronze</v>
      </c>
      <c r="P1357" t="str">
        <f>VLOOKUP($A1357,Store_Dim!$A$2:$F$21,3,FALSE)</f>
        <v>NorthHoodberg</v>
      </c>
    </row>
    <row r="1358" spans="1:16" x14ac:dyDescent="0.25">
      <c r="A1358" t="s">
        <v>794</v>
      </c>
      <c r="B1358" t="s">
        <v>2546</v>
      </c>
      <c r="C1358" t="s">
        <v>736</v>
      </c>
      <c r="D1358" s="2">
        <v>45916</v>
      </c>
      <c r="E1358" t="s">
        <v>460</v>
      </c>
      <c r="F1358" t="str">
        <f>VLOOKUP($C1358,Product_Dim!$A$2:$D$101,3,FALSE)</f>
        <v>Allison Ltd</v>
      </c>
      <c r="G1358" t="str">
        <f>VLOOKUP($C1358,Product_Dim!$A$2:$D$101,2,FALSE)</f>
        <v>Home</v>
      </c>
      <c r="H1358">
        <v>4</v>
      </c>
      <c r="I1358">
        <v>983.98</v>
      </c>
      <c r="J1358">
        <v>0.11</v>
      </c>
      <c r="K1358" s="3">
        <v>3502.9688000000001</v>
      </c>
      <c r="L1358" t="s">
        <v>857</v>
      </c>
      <c r="M1358" t="str">
        <f>VLOOKUP($E1358,Customer_Dim!$A$2:$F$501,3,FALSE)</f>
        <v>Male</v>
      </c>
      <c r="N1358" t="str">
        <f>VLOOKUP($E1358,Customer_Dim!$A$2:$F$501,5,FALSE)</f>
        <v>USA</v>
      </c>
      <c r="O1358" t="str">
        <f>VLOOKUP($E1358,Customer_Dim!$A$2:$F$501,6,FALSE)</f>
        <v>Bronze</v>
      </c>
      <c r="P1358" t="str">
        <f>VLOOKUP($A1358,Store_Dim!$A$2:$F$21,3,FALSE)</f>
        <v>NorthHoodberg</v>
      </c>
    </row>
    <row r="1359" spans="1:16" hidden="1" x14ac:dyDescent="0.25">
      <c r="A1359" t="s">
        <v>794</v>
      </c>
      <c r="B1359" t="s">
        <v>1690</v>
      </c>
      <c r="C1359" t="s">
        <v>740</v>
      </c>
      <c r="D1359" s="2">
        <v>45914</v>
      </c>
      <c r="E1359" t="s">
        <v>384</v>
      </c>
      <c r="F1359" t="str">
        <f>VLOOKUP($C1359,Product_Dim!$A$2:$D$101,3,FALSE)</f>
        <v>Reese-Watson</v>
      </c>
      <c r="G1359" t="str">
        <f>VLOOKUP($C1359,Product_Dim!$A$2:$D$101,2,FALSE)</f>
        <v>Sports</v>
      </c>
      <c r="H1359">
        <v>1</v>
      </c>
      <c r="I1359">
        <v>867.32</v>
      </c>
      <c r="J1359">
        <v>0.28999999999999998</v>
      </c>
      <c r="K1359" s="3">
        <v>615.79719999999998</v>
      </c>
      <c r="L1359" t="s">
        <v>854</v>
      </c>
      <c r="M1359" t="str">
        <f>VLOOKUP($E1359,Customer_Dim!$A$2:$F$501,3,FALSE)</f>
        <v>Female</v>
      </c>
      <c r="N1359" t="str">
        <f>VLOOKUP($E1359,Customer_Dim!$A$2:$F$501,5,FALSE)</f>
        <v>USA</v>
      </c>
      <c r="O1359" t="str">
        <f>VLOOKUP($E1359,Customer_Dim!$A$2:$F$501,6,FALSE)</f>
        <v>Gold</v>
      </c>
      <c r="P1359" t="str">
        <f>VLOOKUP($A1359,Store_Dim!$A$2:$F$21,3,FALSE)</f>
        <v>NorthHoodberg</v>
      </c>
    </row>
    <row r="1360" spans="1:16" x14ac:dyDescent="0.25">
      <c r="A1360" t="s">
        <v>794</v>
      </c>
      <c r="B1360" t="s">
        <v>1603</v>
      </c>
      <c r="C1360" t="s">
        <v>740</v>
      </c>
      <c r="D1360" s="2">
        <v>45941</v>
      </c>
      <c r="E1360" t="s">
        <v>392</v>
      </c>
      <c r="F1360" t="str">
        <f>VLOOKUP($C1360,Product_Dim!$A$2:$D$101,3,FALSE)</f>
        <v>Reese-Watson</v>
      </c>
      <c r="G1360" t="str">
        <f>VLOOKUP($C1360,Product_Dim!$A$2:$D$101,2,FALSE)</f>
        <v>Sports</v>
      </c>
      <c r="H1360">
        <v>3</v>
      </c>
      <c r="I1360">
        <v>447.69</v>
      </c>
      <c r="J1360">
        <v>0.02</v>
      </c>
      <c r="K1360" s="3">
        <v>1316.2085999999999</v>
      </c>
      <c r="L1360" t="s">
        <v>857</v>
      </c>
      <c r="M1360" t="str">
        <f>VLOOKUP($E1360,Customer_Dim!$A$2:$F$501,3,FALSE)</f>
        <v>Male</v>
      </c>
      <c r="N1360" t="str">
        <f>VLOOKUP($E1360,Customer_Dim!$A$2:$F$501,5,FALSE)</f>
        <v>USA</v>
      </c>
      <c r="O1360" t="str">
        <f>VLOOKUP($E1360,Customer_Dim!$A$2:$F$501,6,FALSE)</f>
        <v>Bronze</v>
      </c>
      <c r="P1360" t="str">
        <f>VLOOKUP($A1360,Store_Dim!$A$2:$F$21,3,FALSE)</f>
        <v>NorthHoodberg</v>
      </c>
    </row>
    <row r="1361" spans="1:16" x14ac:dyDescent="0.25">
      <c r="A1361" t="s">
        <v>794</v>
      </c>
      <c r="B1361" t="s">
        <v>1751</v>
      </c>
      <c r="C1361" t="s">
        <v>742</v>
      </c>
      <c r="D1361" s="2">
        <v>45389</v>
      </c>
      <c r="E1361" t="s">
        <v>198</v>
      </c>
      <c r="F1361" t="str">
        <f>VLOOKUP($C1361,Product_Dim!$A$2:$D$101,3,FALSE)</f>
        <v>Butler Group</v>
      </c>
      <c r="G1361" t="str">
        <f>VLOOKUP($C1361,Product_Dim!$A$2:$D$101,2,FALSE)</f>
        <v>Beauty</v>
      </c>
      <c r="H1361">
        <v>1</v>
      </c>
      <c r="I1361">
        <v>113.07</v>
      </c>
      <c r="J1361">
        <v>0.24</v>
      </c>
      <c r="K1361" s="3">
        <v>85.933199999999999</v>
      </c>
      <c r="L1361" t="s">
        <v>852</v>
      </c>
      <c r="M1361" t="str">
        <f>VLOOKUP($E1361,Customer_Dim!$A$2:$F$501,3,FALSE)</f>
        <v>Male</v>
      </c>
      <c r="N1361" t="str">
        <f>VLOOKUP($E1361,Customer_Dim!$A$2:$F$501,5,FALSE)</f>
        <v>USA</v>
      </c>
      <c r="O1361" t="str">
        <f>VLOOKUP($E1361,Customer_Dim!$A$2:$F$501,6,FALSE)</f>
        <v>Gold</v>
      </c>
      <c r="P1361" t="str">
        <f>VLOOKUP($A1361,Store_Dim!$A$2:$F$21,3,FALSE)</f>
        <v>NorthHoodberg</v>
      </c>
    </row>
    <row r="1362" spans="1:16" x14ac:dyDescent="0.25">
      <c r="A1362" t="s">
        <v>794</v>
      </c>
      <c r="B1362" t="s">
        <v>1508</v>
      </c>
      <c r="C1362" t="s">
        <v>746</v>
      </c>
      <c r="D1362" s="2">
        <v>45344</v>
      </c>
      <c r="E1362" t="s">
        <v>443</v>
      </c>
      <c r="F1362" t="str">
        <f>VLOOKUP($C1362,Product_Dim!$A$2:$D$101,3,FALSE)</f>
        <v>Richardson-Carrillo</v>
      </c>
      <c r="G1362" t="str">
        <f>VLOOKUP($C1362,Product_Dim!$A$2:$D$101,2,FALSE)</f>
        <v>Clothing</v>
      </c>
      <c r="H1362">
        <v>4</v>
      </c>
      <c r="I1362">
        <v>986.93</v>
      </c>
      <c r="J1362">
        <v>0.01</v>
      </c>
      <c r="K1362" s="3">
        <v>3908.2428</v>
      </c>
      <c r="L1362" t="s">
        <v>852</v>
      </c>
      <c r="M1362" t="str">
        <f>VLOOKUP($E1362,Customer_Dim!$A$2:$F$501,3,FALSE)</f>
        <v>Male</v>
      </c>
      <c r="N1362" t="str">
        <f>VLOOKUP($E1362,Customer_Dim!$A$2:$F$501,5,FALSE)</f>
        <v>USA</v>
      </c>
      <c r="O1362" t="str">
        <f>VLOOKUP($E1362,Customer_Dim!$A$2:$F$501,6,FALSE)</f>
        <v>Bronze</v>
      </c>
      <c r="P1362" t="str">
        <f>VLOOKUP($A1362,Store_Dim!$A$2:$F$21,3,FALSE)</f>
        <v>NorthHoodberg</v>
      </c>
    </row>
    <row r="1363" spans="1:16" hidden="1" x14ac:dyDescent="0.25">
      <c r="A1363" t="s">
        <v>794</v>
      </c>
      <c r="B1363" t="s">
        <v>1633</v>
      </c>
      <c r="C1363" t="s">
        <v>748</v>
      </c>
      <c r="D1363" s="2">
        <v>45386</v>
      </c>
      <c r="E1363" t="s">
        <v>305</v>
      </c>
      <c r="F1363" t="str">
        <f>VLOOKUP($C1363,Product_Dim!$A$2:$D$101,3,FALSE)</f>
        <v>Taylor, Dodson and Johnston</v>
      </c>
      <c r="G1363" t="str">
        <f>VLOOKUP($C1363,Product_Dim!$A$2:$D$101,2,FALSE)</f>
        <v>Home</v>
      </c>
      <c r="H1363">
        <v>3</v>
      </c>
      <c r="I1363">
        <v>413.74</v>
      </c>
      <c r="J1363">
        <v>0.01</v>
      </c>
      <c r="K1363" s="3">
        <v>1228.8078</v>
      </c>
      <c r="L1363" t="s">
        <v>852</v>
      </c>
      <c r="M1363" t="str">
        <f>VLOOKUP($E1363,Customer_Dim!$A$2:$F$501,3,FALSE)</f>
        <v>Female</v>
      </c>
      <c r="N1363" t="str">
        <f>VLOOKUP($E1363,Customer_Dim!$A$2:$F$501,5,FALSE)</f>
        <v>USA</v>
      </c>
      <c r="O1363" t="str">
        <f>VLOOKUP($E1363,Customer_Dim!$A$2:$F$501,6,FALSE)</f>
        <v>Platinum</v>
      </c>
      <c r="P1363" t="str">
        <f>VLOOKUP($A1363,Store_Dim!$A$2:$F$21,3,FALSE)</f>
        <v>NorthHoodberg</v>
      </c>
    </row>
    <row r="1364" spans="1:16" hidden="1" x14ac:dyDescent="0.25">
      <c r="A1364" t="s">
        <v>794</v>
      </c>
      <c r="B1364" t="s">
        <v>2643</v>
      </c>
      <c r="C1364" t="s">
        <v>752</v>
      </c>
      <c r="D1364" s="2">
        <v>45579</v>
      </c>
      <c r="E1364" t="s">
        <v>236</v>
      </c>
      <c r="F1364" t="str">
        <f>VLOOKUP($C1364,Product_Dim!$A$2:$D$101,3,FALSE)</f>
        <v>Olsen-Daniels</v>
      </c>
      <c r="G1364" t="str">
        <f>VLOOKUP($C1364,Product_Dim!$A$2:$D$101,2,FALSE)</f>
        <v>Sports</v>
      </c>
      <c r="H1364">
        <v>2</v>
      </c>
      <c r="I1364">
        <v>403.91</v>
      </c>
      <c r="J1364">
        <v>7.0000000000000007E-2</v>
      </c>
      <c r="K1364" s="3">
        <v>751.27260000000001</v>
      </c>
      <c r="L1364" t="s">
        <v>852</v>
      </c>
      <c r="M1364" t="str">
        <f>VLOOKUP($E1364,Customer_Dim!$A$2:$F$501,3,FALSE)</f>
        <v>Female</v>
      </c>
      <c r="N1364" t="str">
        <f>VLOOKUP($E1364,Customer_Dim!$A$2:$F$501,5,FALSE)</f>
        <v>USA</v>
      </c>
      <c r="O1364" t="str">
        <f>VLOOKUP($E1364,Customer_Dim!$A$2:$F$501,6,FALSE)</f>
        <v>Bronze</v>
      </c>
      <c r="P1364" t="str">
        <f>VLOOKUP($A1364,Store_Dim!$A$2:$F$21,3,FALSE)</f>
        <v>NorthHoodberg</v>
      </c>
    </row>
    <row r="1365" spans="1:16" hidden="1" x14ac:dyDescent="0.25">
      <c r="A1365" t="s">
        <v>794</v>
      </c>
      <c r="B1365" t="s">
        <v>1038</v>
      </c>
      <c r="C1365" t="s">
        <v>754</v>
      </c>
      <c r="D1365" s="2">
        <v>45686</v>
      </c>
      <c r="E1365" t="s">
        <v>556</v>
      </c>
      <c r="F1365" t="str">
        <f>VLOOKUP($C1365,Product_Dim!$A$2:$D$101,3,FALSE)</f>
        <v>Taylor-Elliott</v>
      </c>
      <c r="G1365" t="str">
        <f>VLOOKUP($C1365,Product_Dim!$A$2:$D$101,2,FALSE)</f>
        <v>Beauty</v>
      </c>
      <c r="H1365">
        <v>1</v>
      </c>
      <c r="I1365">
        <v>789.35</v>
      </c>
      <c r="J1365">
        <v>0.14000000000000001</v>
      </c>
      <c r="K1365" s="3">
        <v>678.84100000000001</v>
      </c>
      <c r="L1365" t="s">
        <v>854</v>
      </c>
      <c r="M1365" t="str">
        <f>VLOOKUP($E1365,Customer_Dim!$A$2:$F$501,3,FALSE)</f>
        <v>Female</v>
      </c>
      <c r="N1365" t="str">
        <f>VLOOKUP($E1365,Customer_Dim!$A$2:$F$501,5,FALSE)</f>
        <v>USA</v>
      </c>
      <c r="O1365" t="str">
        <f>VLOOKUP($E1365,Customer_Dim!$A$2:$F$501,6,FALSE)</f>
        <v>Silver</v>
      </c>
      <c r="P1365" t="str">
        <f>VLOOKUP($A1365,Store_Dim!$A$2:$F$21,3,FALSE)</f>
        <v>NorthHoodberg</v>
      </c>
    </row>
    <row r="1366" spans="1:16" x14ac:dyDescent="0.25">
      <c r="A1366" t="s">
        <v>794</v>
      </c>
      <c r="B1366" t="s">
        <v>965</v>
      </c>
      <c r="C1366" t="s">
        <v>756</v>
      </c>
      <c r="D1366" s="2">
        <v>45798</v>
      </c>
      <c r="E1366" t="s">
        <v>182</v>
      </c>
      <c r="F1366" t="str">
        <f>VLOOKUP($C1366,Product_Dim!$A$2:$D$101,3,FALSE)</f>
        <v>Sharp, Taylor and Rodriguez</v>
      </c>
      <c r="G1366" t="str">
        <f>VLOOKUP($C1366,Product_Dim!$A$2:$D$101,2,FALSE)</f>
        <v>Electronics</v>
      </c>
      <c r="H1366">
        <v>2</v>
      </c>
      <c r="I1366">
        <v>845.71</v>
      </c>
      <c r="J1366">
        <v>0.01</v>
      </c>
      <c r="K1366" s="3">
        <v>1674.5057999999999</v>
      </c>
      <c r="L1366" t="s">
        <v>854</v>
      </c>
      <c r="M1366" t="str">
        <f>VLOOKUP($E1366,Customer_Dim!$A$2:$F$501,3,FALSE)</f>
        <v>Male</v>
      </c>
      <c r="N1366" t="str">
        <f>VLOOKUP($E1366,Customer_Dim!$A$2:$F$501,5,FALSE)</f>
        <v>USA</v>
      </c>
      <c r="O1366" t="str">
        <f>VLOOKUP($E1366,Customer_Dim!$A$2:$F$501,6,FALSE)</f>
        <v>Bronze</v>
      </c>
      <c r="P1366" t="str">
        <f>VLOOKUP($A1366,Store_Dim!$A$2:$F$21,3,FALSE)</f>
        <v>NorthHoodberg</v>
      </c>
    </row>
    <row r="1367" spans="1:16" hidden="1" x14ac:dyDescent="0.25">
      <c r="A1367" t="s">
        <v>794</v>
      </c>
      <c r="B1367" t="s">
        <v>1657</v>
      </c>
      <c r="C1367" t="s">
        <v>758</v>
      </c>
      <c r="D1367" s="2">
        <v>45741</v>
      </c>
      <c r="E1367" t="s">
        <v>400</v>
      </c>
      <c r="F1367" t="str">
        <f>VLOOKUP($C1367,Product_Dim!$A$2:$D$101,3,FALSE)</f>
        <v>Smith-Charles</v>
      </c>
      <c r="G1367" t="str">
        <f>VLOOKUP($C1367,Product_Dim!$A$2:$D$101,2,FALSE)</f>
        <v>Clothing</v>
      </c>
      <c r="H1367">
        <v>2</v>
      </c>
      <c r="I1367">
        <v>727.18</v>
      </c>
      <c r="J1367">
        <v>0.22</v>
      </c>
      <c r="K1367" s="3">
        <v>1134.4007999999999</v>
      </c>
      <c r="L1367" t="s">
        <v>854</v>
      </c>
      <c r="M1367" t="str">
        <f>VLOOKUP($E1367,Customer_Dim!$A$2:$F$501,3,FALSE)</f>
        <v>Female</v>
      </c>
      <c r="N1367" t="str">
        <f>VLOOKUP($E1367,Customer_Dim!$A$2:$F$501,5,FALSE)</f>
        <v>USA</v>
      </c>
      <c r="O1367" t="str">
        <f>VLOOKUP($E1367,Customer_Dim!$A$2:$F$501,6,FALSE)</f>
        <v>Gold</v>
      </c>
      <c r="P1367" t="str">
        <f>VLOOKUP($A1367,Store_Dim!$A$2:$F$21,3,FALSE)</f>
        <v>NorthHoodberg</v>
      </c>
    </row>
    <row r="1368" spans="1:16" x14ac:dyDescent="0.25">
      <c r="A1368" t="s">
        <v>794</v>
      </c>
      <c r="B1368" t="s">
        <v>1982</v>
      </c>
      <c r="C1368" t="s">
        <v>760</v>
      </c>
      <c r="D1368" s="2">
        <v>45509</v>
      </c>
      <c r="E1368" t="s">
        <v>411</v>
      </c>
      <c r="F1368" t="str">
        <f>VLOOKUP($C1368,Product_Dim!$A$2:$D$101,3,FALSE)</f>
        <v>Green, Powell and Palmer</v>
      </c>
      <c r="G1368" t="str">
        <f>VLOOKUP($C1368,Product_Dim!$A$2:$D$101,2,FALSE)</f>
        <v>Home</v>
      </c>
      <c r="H1368">
        <v>1</v>
      </c>
      <c r="I1368">
        <v>805.07</v>
      </c>
      <c r="J1368">
        <v>0.06</v>
      </c>
      <c r="K1368" s="3">
        <v>756.76580000000001</v>
      </c>
      <c r="L1368" t="s">
        <v>857</v>
      </c>
      <c r="M1368" t="str">
        <f>VLOOKUP($E1368,Customer_Dim!$A$2:$F$501,3,FALSE)</f>
        <v>Male</v>
      </c>
      <c r="N1368" t="str">
        <f>VLOOKUP($E1368,Customer_Dim!$A$2:$F$501,5,FALSE)</f>
        <v>USA</v>
      </c>
      <c r="O1368" t="str">
        <f>VLOOKUP($E1368,Customer_Dim!$A$2:$F$501,6,FALSE)</f>
        <v>Gold</v>
      </c>
      <c r="P1368" t="str">
        <f>VLOOKUP($A1368,Store_Dim!$A$2:$F$21,3,FALSE)</f>
        <v>NorthHoodberg</v>
      </c>
    </row>
    <row r="1369" spans="1:16" x14ac:dyDescent="0.25">
      <c r="A1369" t="s">
        <v>794</v>
      </c>
      <c r="B1369" t="s">
        <v>893</v>
      </c>
      <c r="C1369" t="s">
        <v>764</v>
      </c>
      <c r="D1369" s="2">
        <v>45264</v>
      </c>
      <c r="E1369" t="s">
        <v>498</v>
      </c>
      <c r="F1369" t="str">
        <f>VLOOKUP($C1369,Product_Dim!$A$2:$D$101,3,FALSE)</f>
        <v>Hoffman-Williams</v>
      </c>
      <c r="G1369" t="str">
        <f>VLOOKUP($C1369,Product_Dim!$A$2:$D$101,2,FALSE)</f>
        <v>Beauty</v>
      </c>
      <c r="H1369">
        <v>2</v>
      </c>
      <c r="I1369">
        <v>600.73</v>
      </c>
      <c r="J1369">
        <v>0.08</v>
      </c>
      <c r="K1369" s="3">
        <v>1105.3432</v>
      </c>
      <c r="L1369" t="s">
        <v>852</v>
      </c>
      <c r="M1369" t="str">
        <f>VLOOKUP($E1369,Customer_Dim!$A$2:$F$501,3,FALSE)</f>
        <v>Male</v>
      </c>
      <c r="N1369" t="str">
        <f>VLOOKUP($E1369,Customer_Dim!$A$2:$F$501,5,FALSE)</f>
        <v>USA</v>
      </c>
      <c r="O1369" t="str">
        <f>VLOOKUP($E1369,Customer_Dim!$A$2:$F$501,6,FALSE)</f>
        <v>Platinum</v>
      </c>
      <c r="P1369" t="str">
        <f>VLOOKUP($A1369,Store_Dim!$A$2:$F$21,3,FALSE)</f>
        <v>NorthHoodberg</v>
      </c>
    </row>
    <row r="1370" spans="1:16" hidden="1" x14ac:dyDescent="0.25">
      <c r="A1370" t="s">
        <v>794</v>
      </c>
      <c r="B1370" t="s">
        <v>2385</v>
      </c>
      <c r="C1370" t="s">
        <v>768</v>
      </c>
      <c r="D1370" s="2">
        <v>45613</v>
      </c>
      <c r="E1370" t="s">
        <v>153</v>
      </c>
      <c r="F1370" t="str">
        <f>VLOOKUP($C1370,Product_Dim!$A$2:$D$101,3,FALSE)</f>
        <v>Phillips and Sons</v>
      </c>
      <c r="G1370" t="str">
        <f>VLOOKUP($C1370,Product_Dim!$A$2:$D$101,2,FALSE)</f>
        <v>Clothing</v>
      </c>
      <c r="H1370">
        <v>4</v>
      </c>
      <c r="I1370">
        <v>933.73</v>
      </c>
      <c r="J1370">
        <v>0.25</v>
      </c>
      <c r="K1370" s="3">
        <v>2801.19</v>
      </c>
      <c r="L1370" t="s">
        <v>854</v>
      </c>
      <c r="M1370" t="str">
        <f>VLOOKUP($E1370,Customer_Dim!$A$2:$F$501,3,FALSE)</f>
        <v>Female</v>
      </c>
      <c r="N1370" t="str">
        <f>VLOOKUP($E1370,Customer_Dim!$A$2:$F$501,5,FALSE)</f>
        <v>USA</v>
      </c>
      <c r="O1370" t="str">
        <f>VLOOKUP($E1370,Customer_Dim!$A$2:$F$501,6,FALSE)</f>
        <v>Platinum</v>
      </c>
      <c r="P1370" t="str">
        <f>VLOOKUP($A1370,Store_Dim!$A$2:$F$21,3,FALSE)</f>
        <v>NorthHoodberg</v>
      </c>
    </row>
    <row r="1371" spans="1:16" hidden="1" x14ac:dyDescent="0.25">
      <c r="A1371" t="s">
        <v>794</v>
      </c>
      <c r="B1371" t="s">
        <v>2399</v>
      </c>
      <c r="C1371" t="s">
        <v>768</v>
      </c>
      <c r="D1371" s="2">
        <v>45926</v>
      </c>
      <c r="E1371" t="s">
        <v>272</v>
      </c>
      <c r="F1371" t="str">
        <f>VLOOKUP($C1371,Product_Dim!$A$2:$D$101,3,FALSE)</f>
        <v>Phillips and Sons</v>
      </c>
      <c r="G1371" t="str">
        <f>VLOOKUP($C1371,Product_Dim!$A$2:$D$101,2,FALSE)</f>
        <v>Clothing</v>
      </c>
      <c r="H1371">
        <v>2</v>
      </c>
      <c r="I1371">
        <v>644.97</v>
      </c>
      <c r="J1371">
        <v>0.24</v>
      </c>
      <c r="K1371" s="3">
        <v>980.35440000000006</v>
      </c>
      <c r="L1371" t="s">
        <v>857</v>
      </c>
      <c r="M1371" t="str">
        <f>VLOOKUP($E1371,Customer_Dim!$A$2:$F$501,3,FALSE)</f>
        <v>Female</v>
      </c>
      <c r="N1371" t="str">
        <f>VLOOKUP($E1371,Customer_Dim!$A$2:$F$501,5,FALSE)</f>
        <v>USA</v>
      </c>
      <c r="O1371" t="str">
        <f>VLOOKUP($E1371,Customer_Dim!$A$2:$F$501,6,FALSE)</f>
        <v>Bronze</v>
      </c>
      <c r="P1371" t="str">
        <f>VLOOKUP($A1371,Store_Dim!$A$2:$F$21,3,FALSE)</f>
        <v>NorthHoodberg</v>
      </c>
    </row>
    <row r="1372" spans="1:16" hidden="1" x14ac:dyDescent="0.25">
      <c r="A1372" t="s">
        <v>794</v>
      </c>
      <c r="B1372" t="s">
        <v>1971</v>
      </c>
      <c r="C1372" t="s">
        <v>768</v>
      </c>
      <c r="D1372" s="2">
        <v>45510</v>
      </c>
      <c r="E1372" t="s">
        <v>504</v>
      </c>
      <c r="F1372" t="str">
        <f>VLOOKUP($C1372,Product_Dim!$A$2:$D$101,3,FALSE)</f>
        <v>Phillips and Sons</v>
      </c>
      <c r="G1372" t="str">
        <f>VLOOKUP($C1372,Product_Dim!$A$2:$D$101,2,FALSE)</f>
        <v>Clothing</v>
      </c>
      <c r="H1372">
        <v>4</v>
      </c>
      <c r="I1372">
        <v>723.66</v>
      </c>
      <c r="J1372">
        <v>0.03</v>
      </c>
      <c r="K1372" s="3">
        <v>2807.8008</v>
      </c>
      <c r="L1372" t="s">
        <v>854</v>
      </c>
      <c r="M1372" t="str">
        <f>VLOOKUP($E1372,Customer_Dim!$A$2:$F$501,3,FALSE)</f>
        <v>Female</v>
      </c>
      <c r="N1372" t="str">
        <f>VLOOKUP($E1372,Customer_Dim!$A$2:$F$501,5,FALSE)</f>
        <v>USA</v>
      </c>
      <c r="O1372" t="str">
        <f>VLOOKUP($E1372,Customer_Dim!$A$2:$F$501,6,FALSE)</f>
        <v>Platinum</v>
      </c>
      <c r="P1372" t="str">
        <f>VLOOKUP($A1372,Store_Dim!$A$2:$F$21,3,FALSE)</f>
        <v>NorthHoodberg</v>
      </c>
    </row>
    <row r="1373" spans="1:16" hidden="1" x14ac:dyDescent="0.25">
      <c r="A1373" t="s">
        <v>794</v>
      </c>
      <c r="B1373" t="s">
        <v>2208</v>
      </c>
      <c r="C1373" t="s">
        <v>770</v>
      </c>
      <c r="D1373" s="2">
        <v>45331</v>
      </c>
      <c r="E1373" t="s">
        <v>18</v>
      </c>
      <c r="F1373" t="str">
        <f>VLOOKUP($C1373,Product_Dim!$A$2:$D$101,3,FALSE)</f>
        <v>Khan LLC</v>
      </c>
      <c r="G1373" t="str">
        <f>VLOOKUP($C1373,Product_Dim!$A$2:$D$101,2,FALSE)</f>
        <v>Sports</v>
      </c>
      <c r="H1373">
        <v>4</v>
      </c>
      <c r="I1373">
        <v>360.28</v>
      </c>
      <c r="J1373">
        <v>0.09</v>
      </c>
      <c r="K1373" s="3">
        <v>1311.4192</v>
      </c>
      <c r="L1373" t="s">
        <v>857</v>
      </c>
      <c r="M1373" t="str">
        <f>VLOOKUP($E1373,Customer_Dim!$A$2:$F$501,3,FALSE)</f>
        <v>Female</v>
      </c>
      <c r="N1373" t="str">
        <f>VLOOKUP($E1373,Customer_Dim!$A$2:$F$501,5,FALSE)</f>
        <v>USA</v>
      </c>
      <c r="O1373" t="str">
        <f>VLOOKUP($E1373,Customer_Dim!$A$2:$F$501,6,FALSE)</f>
        <v>Bronze</v>
      </c>
      <c r="P1373" t="str">
        <f>VLOOKUP($A1373,Store_Dim!$A$2:$F$21,3,FALSE)</f>
        <v>NorthHoodberg</v>
      </c>
    </row>
    <row r="1374" spans="1:16" hidden="1" x14ac:dyDescent="0.25">
      <c r="A1374" t="s">
        <v>794</v>
      </c>
      <c r="B1374" t="s">
        <v>2463</v>
      </c>
      <c r="C1374" t="s">
        <v>770</v>
      </c>
      <c r="D1374" s="2">
        <v>45803</v>
      </c>
      <c r="E1374" t="s">
        <v>45</v>
      </c>
      <c r="F1374" t="str">
        <f>VLOOKUP($C1374,Product_Dim!$A$2:$D$101,3,FALSE)</f>
        <v>Khan LLC</v>
      </c>
      <c r="G1374" t="str">
        <f>VLOOKUP($C1374,Product_Dim!$A$2:$D$101,2,FALSE)</f>
        <v>Sports</v>
      </c>
      <c r="H1374">
        <v>4</v>
      </c>
      <c r="I1374">
        <v>44.07</v>
      </c>
      <c r="J1374">
        <v>0.28999999999999998</v>
      </c>
      <c r="K1374" s="3">
        <v>125.1588</v>
      </c>
      <c r="L1374" t="s">
        <v>857</v>
      </c>
      <c r="M1374" t="str">
        <f>VLOOKUP($E1374,Customer_Dim!$A$2:$F$501,3,FALSE)</f>
        <v>Female</v>
      </c>
      <c r="N1374" t="str">
        <f>VLOOKUP($E1374,Customer_Dim!$A$2:$F$501,5,FALSE)</f>
        <v>USA</v>
      </c>
      <c r="O1374" t="str">
        <f>VLOOKUP($E1374,Customer_Dim!$A$2:$F$501,6,FALSE)</f>
        <v>Bronze</v>
      </c>
      <c r="P1374" t="str">
        <f>VLOOKUP($A1374,Store_Dim!$A$2:$F$21,3,FALSE)</f>
        <v>NorthHoodberg</v>
      </c>
    </row>
    <row r="1375" spans="1:16" x14ac:dyDescent="0.25">
      <c r="A1375" t="s">
        <v>794</v>
      </c>
      <c r="B1375" t="s">
        <v>851</v>
      </c>
      <c r="C1375" t="s">
        <v>770</v>
      </c>
      <c r="D1375" s="2">
        <v>45480</v>
      </c>
      <c r="E1375" t="s">
        <v>476</v>
      </c>
      <c r="F1375" t="str">
        <f>VLOOKUP($C1375,Product_Dim!$A$2:$D$101,3,FALSE)</f>
        <v>Khan LLC</v>
      </c>
      <c r="G1375" t="str">
        <f>VLOOKUP($C1375,Product_Dim!$A$2:$D$101,2,FALSE)</f>
        <v>Sports</v>
      </c>
      <c r="H1375">
        <v>1</v>
      </c>
      <c r="I1375">
        <v>218.04</v>
      </c>
      <c r="J1375">
        <v>0.09</v>
      </c>
      <c r="K1375" s="3">
        <v>198.41640000000001</v>
      </c>
      <c r="L1375" t="s">
        <v>852</v>
      </c>
      <c r="M1375" t="str">
        <f>VLOOKUP($E1375,Customer_Dim!$A$2:$F$501,3,FALSE)</f>
        <v>Male</v>
      </c>
      <c r="N1375" t="str">
        <f>VLOOKUP($E1375,Customer_Dim!$A$2:$F$501,5,FALSE)</f>
        <v>USA</v>
      </c>
      <c r="O1375" t="str">
        <f>VLOOKUP($E1375,Customer_Dim!$A$2:$F$501,6,FALSE)</f>
        <v>Gold</v>
      </c>
      <c r="P1375" t="str">
        <f>VLOOKUP($A1375,Store_Dim!$A$2:$F$21,3,FALSE)</f>
        <v>NorthHoodberg</v>
      </c>
    </row>
    <row r="1376" spans="1:16" x14ac:dyDescent="0.25">
      <c r="A1376" t="s">
        <v>794</v>
      </c>
      <c r="B1376" t="s">
        <v>1440</v>
      </c>
      <c r="C1376" t="s">
        <v>772</v>
      </c>
      <c r="D1376" s="2">
        <v>45798</v>
      </c>
      <c r="E1376" t="s">
        <v>330</v>
      </c>
      <c r="F1376" t="str">
        <f>VLOOKUP($C1376,Product_Dim!$A$2:$D$101,3,FALSE)</f>
        <v>Flores-King</v>
      </c>
      <c r="G1376" t="str">
        <f>VLOOKUP($C1376,Product_Dim!$A$2:$D$101,2,FALSE)</f>
        <v>Electronics</v>
      </c>
      <c r="H1376">
        <v>2</v>
      </c>
      <c r="I1376">
        <v>481.86</v>
      </c>
      <c r="J1376">
        <v>0.1</v>
      </c>
      <c r="K1376" s="3">
        <v>867.34800000000007</v>
      </c>
      <c r="L1376" t="s">
        <v>857</v>
      </c>
      <c r="M1376" t="str">
        <f>VLOOKUP($E1376,Customer_Dim!$A$2:$F$501,3,FALSE)</f>
        <v>Male</v>
      </c>
      <c r="N1376" t="str">
        <f>VLOOKUP($E1376,Customer_Dim!$A$2:$F$501,5,FALSE)</f>
        <v>USA</v>
      </c>
      <c r="O1376" t="str">
        <f>VLOOKUP($E1376,Customer_Dim!$A$2:$F$501,6,FALSE)</f>
        <v>Gold</v>
      </c>
      <c r="P1376" t="str">
        <f>VLOOKUP($A1376,Store_Dim!$A$2:$F$21,3,FALSE)</f>
        <v>NorthHoodberg</v>
      </c>
    </row>
    <row r="1377" spans="1:16" x14ac:dyDescent="0.25">
      <c r="A1377" t="s">
        <v>794</v>
      </c>
      <c r="B1377" t="s">
        <v>2794</v>
      </c>
      <c r="C1377" t="s">
        <v>772</v>
      </c>
      <c r="D1377" s="2">
        <v>45793</v>
      </c>
      <c r="E1377" t="s">
        <v>560</v>
      </c>
      <c r="F1377" t="str">
        <f>VLOOKUP($C1377,Product_Dim!$A$2:$D$101,3,FALSE)</f>
        <v>Flores-King</v>
      </c>
      <c r="G1377" t="str">
        <f>VLOOKUP($C1377,Product_Dim!$A$2:$D$101,2,FALSE)</f>
        <v>Electronics</v>
      </c>
      <c r="H1377">
        <v>3</v>
      </c>
      <c r="I1377">
        <v>212.08</v>
      </c>
      <c r="J1377">
        <v>7.0000000000000007E-2</v>
      </c>
      <c r="K1377" s="3">
        <v>591.70319999999992</v>
      </c>
      <c r="L1377" t="s">
        <v>852</v>
      </c>
      <c r="M1377" t="str">
        <f>VLOOKUP($E1377,Customer_Dim!$A$2:$F$501,3,FALSE)</f>
        <v>Male</v>
      </c>
      <c r="N1377" t="str">
        <f>VLOOKUP($E1377,Customer_Dim!$A$2:$F$501,5,FALSE)</f>
        <v>USA</v>
      </c>
      <c r="O1377" t="str">
        <f>VLOOKUP($E1377,Customer_Dim!$A$2:$F$501,6,FALSE)</f>
        <v>Silver</v>
      </c>
      <c r="P1377" t="str">
        <f>VLOOKUP($A1377,Store_Dim!$A$2:$F$21,3,FALSE)</f>
        <v>NorthHoodberg</v>
      </c>
    </row>
    <row r="1378" spans="1:16" x14ac:dyDescent="0.25">
      <c r="A1378" t="s">
        <v>794</v>
      </c>
      <c r="B1378" t="s">
        <v>1640</v>
      </c>
      <c r="C1378" t="s">
        <v>774</v>
      </c>
      <c r="D1378" s="2">
        <v>45602</v>
      </c>
      <c r="E1378" t="s">
        <v>359</v>
      </c>
      <c r="F1378" t="str">
        <f>VLOOKUP($C1378,Product_Dim!$A$2:$D$101,3,FALSE)</f>
        <v>Campbell Ltd</v>
      </c>
      <c r="G1378" t="str">
        <f>VLOOKUP($C1378,Product_Dim!$A$2:$D$101,2,FALSE)</f>
        <v>Home</v>
      </c>
      <c r="H1378">
        <v>3</v>
      </c>
      <c r="I1378">
        <v>761.88</v>
      </c>
      <c r="J1378">
        <v>0.23</v>
      </c>
      <c r="K1378" s="3">
        <v>1759.9428</v>
      </c>
      <c r="L1378" t="s">
        <v>854</v>
      </c>
      <c r="M1378" t="str">
        <f>VLOOKUP($E1378,Customer_Dim!$A$2:$F$501,3,FALSE)</f>
        <v>Male</v>
      </c>
      <c r="N1378" t="str">
        <f>VLOOKUP($E1378,Customer_Dim!$A$2:$F$501,5,FALSE)</f>
        <v>USA</v>
      </c>
      <c r="O1378" t="str">
        <f>VLOOKUP($E1378,Customer_Dim!$A$2:$F$501,6,FALSE)</f>
        <v>Silver</v>
      </c>
      <c r="P1378" t="str">
        <f>VLOOKUP($A1378,Store_Dim!$A$2:$F$21,3,FALSE)</f>
        <v>NorthHoodberg</v>
      </c>
    </row>
    <row r="1379" spans="1:16" x14ac:dyDescent="0.25">
      <c r="A1379" t="s">
        <v>794</v>
      </c>
      <c r="B1379" t="s">
        <v>883</v>
      </c>
      <c r="C1379" t="s">
        <v>774</v>
      </c>
      <c r="D1379" s="2">
        <v>45302</v>
      </c>
      <c r="E1379" t="s">
        <v>415</v>
      </c>
      <c r="F1379" t="str">
        <f>VLOOKUP($C1379,Product_Dim!$A$2:$D$101,3,FALSE)</f>
        <v>Campbell Ltd</v>
      </c>
      <c r="G1379" t="str">
        <f>VLOOKUP($C1379,Product_Dim!$A$2:$D$101,2,FALSE)</f>
        <v>Home</v>
      </c>
      <c r="H1379" s="4">
        <f>K1379/(I1379-J1379)</f>
        <v>3.4011295180722891</v>
      </c>
      <c r="I1379">
        <v>451.67</v>
      </c>
      <c r="J1379">
        <v>0.15</v>
      </c>
      <c r="K1379" s="3">
        <v>1535.6780000000001</v>
      </c>
      <c r="L1379" t="s">
        <v>852</v>
      </c>
      <c r="M1379" t="str">
        <f>VLOOKUP($E1379,Customer_Dim!$A$2:$F$501,3,FALSE)</f>
        <v>Male</v>
      </c>
      <c r="N1379" t="str">
        <f>VLOOKUP($E1379,Customer_Dim!$A$2:$F$501,5,FALSE)</f>
        <v>USA</v>
      </c>
      <c r="O1379" t="str">
        <f>VLOOKUP($E1379,Customer_Dim!$A$2:$F$501,6,FALSE)</f>
        <v>Silver</v>
      </c>
      <c r="P1379" t="str">
        <f>VLOOKUP($A1379,Store_Dim!$A$2:$F$21,3,FALSE)</f>
        <v>NorthHoodberg</v>
      </c>
    </row>
    <row r="1380" spans="1:16" x14ac:dyDescent="0.25">
      <c r="A1380" t="s">
        <v>797</v>
      </c>
      <c r="B1380" t="s">
        <v>1975</v>
      </c>
      <c r="C1380" t="s">
        <v>571</v>
      </c>
      <c r="D1380" s="2">
        <v>45579</v>
      </c>
      <c r="E1380" t="s">
        <v>386</v>
      </c>
      <c r="F1380" t="str">
        <f>VLOOKUP($C1380,Product_Dim!$A$2:$D$101,3,FALSE)</f>
        <v>Hunt Inc</v>
      </c>
      <c r="G1380" t="str">
        <f>VLOOKUP($C1380,Product_Dim!$A$2:$D$101,2,FALSE)</f>
        <v>Electronics</v>
      </c>
      <c r="H1380">
        <v>3</v>
      </c>
      <c r="I1380">
        <v>819.93</v>
      </c>
      <c r="J1380">
        <v>0.08</v>
      </c>
      <c r="K1380" s="3">
        <v>2263.0068000000001</v>
      </c>
      <c r="L1380" t="s">
        <v>854</v>
      </c>
      <c r="M1380" t="str">
        <f>VLOOKUP($E1380,Customer_Dim!$A$2:$F$501,3,FALSE)</f>
        <v>Male</v>
      </c>
      <c r="N1380" t="str">
        <f>VLOOKUP($E1380,Customer_Dim!$A$2:$F$501,5,FALSE)</f>
        <v>USA</v>
      </c>
      <c r="O1380" t="str">
        <f>VLOOKUP($E1380,Customer_Dim!$A$2:$F$501,6,FALSE)</f>
        <v>Platinum</v>
      </c>
      <c r="P1380" t="str">
        <f>VLOOKUP($A1380,Store_Dim!$A$2:$F$21,3,FALSE)</f>
        <v>SouthPort Sharon</v>
      </c>
    </row>
    <row r="1381" spans="1:16" x14ac:dyDescent="0.25">
      <c r="A1381" t="s">
        <v>797</v>
      </c>
      <c r="B1381" t="s">
        <v>1625</v>
      </c>
      <c r="C1381" t="s">
        <v>596</v>
      </c>
      <c r="D1381" s="2">
        <v>45752</v>
      </c>
      <c r="E1381" t="s">
        <v>313</v>
      </c>
      <c r="F1381" t="str">
        <f>VLOOKUP($C1381,Product_Dim!$A$2:$D$101,3,FALSE)</f>
        <v>Hamilton Group</v>
      </c>
      <c r="G1381" t="str">
        <f>VLOOKUP($C1381,Product_Dim!$A$2:$D$101,2,FALSE)</f>
        <v>Home</v>
      </c>
      <c r="H1381">
        <v>1</v>
      </c>
      <c r="I1381">
        <v>768.25</v>
      </c>
      <c r="J1381">
        <v>0.18</v>
      </c>
      <c r="K1381" s="3">
        <v>629.96500000000003</v>
      </c>
      <c r="L1381" t="s">
        <v>852</v>
      </c>
      <c r="M1381" t="str">
        <f>VLOOKUP($E1381,Customer_Dim!$A$2:$F$501,3,FALSE)</f>
        <v>Male</v>
      </c>
      <c r="N1381" t="str">
        <f>VLOOKUP($E1381,Customer_Dim!$A$2:$F$501,5,FALSE)</f>
        <v>USA</v>
      </c>
      <c r="O1381" t="str">
        <f>VLOOKUP($E1381,Customer_Dim!$A$2:$F$501,6,FALSE)</f>
        <v>Platinum</v>
      </c>
      <c r="P1381" t="str">
        <f>VLOOKUP($A1381,Store_Dim!$A$2:$F$21,3,FALSE)</f>
        <v>SouthPort Sharon</v>
      </c>
    </row>
    <row r="1382" spans="1:16" hidden="1" x14ac:dyDescent="0.25">
      <c r="A1382" t="s">
        <v>797</v>
      </c>
      <c r="B1382" t="s">
        <v>1678</v>
      </c>
      <c r="C1382" t="s">
        <v>598</v>
      </c>
      <c r="D1382" s="2">
        <v>45841</v>
      </c>
      <c r="E1382" t="s">
        <v>97</v>
      </c>
      <c r="F1382" t="str">
        <f>VLOOKUP($C1382,Product_Dim!$A$2:$D$101,3,FALSE)</f>
        <v>Gibson, Hobbs and Weaver</v>
      </c>
      <c r="G1382" t="str">
        <f>VLOOKUP($C1382,Product_Dim!$A$2:$D$101,2,FALSE)</f>
        <v>Electronics</v>
      </c>
      <c r="H1382">
        <v>4</v>
      </c>
      <c r="I1382">
        <v>780.07</v>
      </c>
      <c r="J1382">
        <v>0.03</v>
      </c>
      <c r="K1382" s="3">
        <v>3026.6716000000001</v>
      </c>
      <c r="L1382" t="s">
        <v>852</v>
      </c>
      <c r="M1382" t="str">
        <f>VLOOKUP($E1382,Customer_Dim!$A$2:$F$501,3,FALSE)</f>
        <v>Female</v>
      </c>
      <c r="N1382" t="str">
        <f>VLOOKUP($E1382,Customer_Dim!$A$2:$F$501,5,FALSE)</f>
        <v>USA</v>
      </c>
      <c r="O1382" t="str">
        <f>VLOOKUP($E1382,Customer_Dim!$A$2:$F$501,6,FALSE)</f>
        <v>Gold</v>
      </c>
      <c r="P1382" t="str">
        <f>VLOOKUP($A1382,Store_Dim!$A$2:$F$21,3,FALSE)</f>
        <v>SouthPort Sharon</v>
      </c>
    </row>
    <row r="1383" spans="1:16" hidden="1" x14ac:dyDescent="0.25">
      <c r="A1383" t="s">
        <v>797</v>
      </c>
      <c r="B1383" t="s">
        <v>2606</v>
      </c>
      <c r="C1383" t="s">
        <v>600</v>
      </c>
      <c r="D1383" s="2">
        <v>45886</v>
      </c>
      <c r="E1383" t="s">
        <v>97</v>
      </c>
      <c r="F1383" t="str">
        <f>VLOOKUP($C1383,Product_Dim!$A$2:$D$101,3,FALSE)</f>
        <v>Rice LLC</v>
      </c>
      <c r="G1383" t="str">
        <f>VLOOKUP($C1383,Product_Dim!$A$2:$D$101,2,FALSE)</f>
        <v>Beauty</v>
      </c>
      <c r="H1383">
        <v>4</v>
      </c>
      <c r="I1383">
        <v>676.14</v>
      </c>
      <c r="J1383">
        <v>0.11</v>
      </c>
      <c r="K1383" s="3">
        <v>2407.0583999999999</v>
      </c>
      <c r="L1383" t="s">
        <v>857</v>
      </c>
      <c r="M1383" t="str">
        <f>VLOOKUP($E1383,Customer_Dim!$A$2:$F$501,3,FALSE)</f>
        <v>Female</v>
      </c>
      <c r="N1383" t="str">
        <f>VLOOKUP($E1383,Customer_Dim!$A$2:$F$501,5,FALSE)</f>
        <v>USA</v>
      </c>
      <c r="O1383" t="str">
        <f>VLOOKUP($E1383,Customer_Dim!$A$2:$F$501,6,FALSE)</f>
        <v>Gold</v>
      </c>
      <c r="P1383" t="str">
        <f>VLOOKUP($A1383,Store_Dim!$A$2:$F$21,3,FALSE)</f>
        <v>SouthPort Sharon</v>
      </c>
    </row>
    <row r="1384" spans="1:16" hidden="1" x14ac:dyDescent="0.25">
      <c r="A1384" t="s">
        <v>797</v>
      </c>
      <c r="B1384" t="s">
        <v>2834</v>
      </c>
      <c r="C1384" t="s">
        <v>604</v>
      </c>
      <c r="D1384" s="2">
        <v>45644</v>
      </c>
      <c r="E1384" t="s">
        <v>344</v>
      </c>
      <c r="F1384" t="str">
        <f>VLOOKUP($C1384,Product_Dim!$A$2:$D$101,3,FALSE)</f>
        <v>Luna, Anderson and Bowman</v>
      </c>
      <c r="G1384" t="str">
        <f>VLOOKUP($C1384,Product_Dim!$A$2:$D$101,2,FALSE)</f>
        <v>Home</v>
      </c>
      <c r="H1384">
        <v>2</v>
      </c>
      <c r="I1384">
        <v>353.74</v>
      </c>
      <c r="J1384">
        <v>0.01</v>
      </c>
      <c r="K1384" s="3">
        <v>700.40520000000004</v>
      </c>
      <c r="L1384" t="s">
        <v>852</v>
      </c>
      <c r="M1384" t="str">
        <f>VLOOKUP($E1384,Customer_Dim!$A$2:$F$501,3,FALSE)</f>
        <v>Female</v>
      </c>
      <c r="N1384" t="str">
        <f>VLOOKUP($E1384,Customer_Dim!$A$2:$F$501,5,FALSE)</f>
        <v>USA</v>
      </c>
      <c r="O1384" t="str">
        <f>VLOOKUP($E1384,Customer_Dim!$A$2:$F$501,6,FALSE)</f>
        <v>Platinum</v>
      </c>
      <c r="P1384" t="str">
        <f>VLOOKUP($A1384,Store_Dim!$A$2:$F$21,3,FALSE)</f>
        <v>SouthPort Sharon</v>
      </c>
    </row>
    <row r="1385" spans="1:16" x14ac:dyDescent="0.25">
      <c r="A1385" t="s">
        <v>797</v>
      </c>
      <c r="B1385" t="s">
        <v>2211</v>
      </c>
      <c r="C1385" t="s">
        <v>606</v>
      </c>
      <c r="D1385" s="2">
        <v>45461</v>
      </c>
      <c r="E1385" t="s">
        <v>86</v>
      </c>
      <c r="F1385" t="str">
        <f>VLOOKUP($C1385,Product_Dim!$A$2:$D$101,3,FALSE)</f>
        <v>Thomas LLC</v>
      </c>
      <c r="G1385" t="str">
        <f>VLOOKUP($C1385,Product_Dim!$A$2:$D$101,2,FALSE)</f>
        <v>Electronics</v>
      </c>
      <c r="H1385">
        <v>3</v>
      </c>
      <c r="I1385">
        <v>83.5</v>
      </c>
      <c r="J1385">
        <v>0.23</v>
      </c>
      <c r="K1385" s="3">
        <v>192.88499999999999</v>
      </c>
      <c r="L1385" t="s">
        <v>857</v>
      </c>
      <c r="M1385" t="str">
        <f>VLOOKUP($E1385,Customer_Dim!$A$2:$F$501,3,FALSE)</f>
        <v>Male</v>
      </c>
      <c r="N1385" t="str">
        <f>VLOOKUP($E1385,Customer_Dim!$A$2:$F$501,5,FALSE)</f>
        <v>USA</v>
      </c>
      <c r="O1385" t="str">
        <f>VLOOKUP($E1385,Customer_Dim!$A$2:$F$501,6,FALSE)</f>
        <v>Gold</v>
      </c>
      <c r="P1385" t="str">
        <f>VLOOKUP($A1385,Store_Dim!$A$2:$F$21,3,FALSE)</f>
        <v>SouthPort Sharon</v>
      </c>
    </row>
    <row r="1386" spans="1:16" x14ac:dyDescent="0.25">
      <c r="A1386" t="s">
        <v>797</v>
      </c>
      <c r="B1386" t="s">
        <v>2510</v>
      </c>
      <c r="C1386" t="s">
        <v>606</v>
      </c>
      <c r="D1386" s="2">
        <v>45735</v>
      </c>
      <c r="E1386" t="s">
        <v>527</v>
      </c>
      <c r="F1386" t="str">
        <f>VLOOKUP($C1386,Product_Dim!$A$2:$D$101,3,FALSE)</f>
        <v>Thomas LLC</v>
      </c>
      <c r="G1386" t="str">
        <f>VLOOKUP($C1386,Product_Dim!$A$2:$D$101,2,FALSE)</f>
        <v>Electronics</v>
      </c>
      <c r="H1386">
        <v>3</v>
      </c>
      <c r="I1386">
        <v>471.19</v>
      </c>
      <c r="J1386">
        <v>0.28000000000000003</v>
      </c>
      <c r="K1386" s="3">
        <v>1017.7704</v>
      </c>
      <c r="L1386" t="s">
        <v>857</v>
      </c>
      <c r="M1386" t="str">
        <f>VLOOKUP($E1386,Customer_Dim!$A$2:$F$501,3,FALSE)</f>
        <v>Male</v>
      </c>
      <c r="N1386" t="str">
        <f>VLOOKUP($E1386,Customer_Dim!$A$2:$F$501,5,FALSE)</f>
        <v>USA</v>
      </c>
      <c r="O1386" t="str">
        <f>VLOOKUP($E1386,Customer_Dim!$A$2:$F$501,6,FALSE)</f>
        <v>Gold</v>
      </c>
      <c r="P1386" t="str">
        <f>VLOOKUP($A1386,Store_Dim!$A$2:$F$21,3,FALSE)</f>
        <v>SouthPort Sharon</v>
      </c>
    </row>
    <row r="1387" spans="1:16" hidden="1" x14ac:dyDescent="0.25">
      <c r="A1387" t="s">
        <v>797</v>
      </c>
      <c r="B1387" t="s">
        <v>1488</v>
      </c>
      <c r="C1387" t="s">
        <v>610</v>
      </c>
      <c r="D1387" s="2">
        <v>45642</v>
      </c>
      <c r="E1387" t="s">
        <v>117</v>
      </c>
      <c r="F1387" t="str">
        <f>VLOOKUP($C1387,Product_Dim!$A$2:$D$101,3,FALSE)</f>
        <v>Ford, Murphy and Wilson</v>
      </c>
      <c r="G1387" t="str">
        <f>VLOOKUP($C1387,Product_Dim!$A$2:$D$101,2,FALSE)</f>
        <v>Sports</v>
      </c>
      <c r="H1387">
        <v>1</v>
      </c>
      <c r="I1387">
        <v>373.06</v>
      </c>
      <c r="J1387">
        <v>0.11</v>
      </c>
      <c r="K1387" s="3">
        <v>332.02339999999998</v>
      </c>
      <c r="L1387" t="s">
        <v>854</v>
      </c>
      <c r="M1387" t="str">
        <f>VLOOKUP($E1387,Customer_Dim!$A$2:$F$501,3,FALSE)</f>
        <v>Female</v>
      </c>
      <c r="N1387" t="str">
        <f>VLOOKUP($E1387,Customer_Dim!$A$2:$F$501,5,FALSE)</f>
        <v>USA</v>
      </c>
      <c r="O1387" t="str">
        <f>VLOOKUP($E1387,Customer_Dim!$A$2:$F$501,6,FALSE)</f>
        <v>Silver</v>
      </c>
      <c r="P1387" t="str">
        <f>VLOOKUP($A1387,Store_Dim!$A$2:$F$21,3,FALSE)</f>
        <v>SouthPort Sharon</v>
      </c>
    </row>
    <row r="1388" spans="1:16" hidden="1" x14ac:dyDescent="0.25">
      <c r="A1388" t="s">
        <v>797</v>
      </c>
      <c r="B1388" t="s">
        <v>947</v>
      </c>
      <c r="C1388" t="s">
        <v>614</v>
      </c>
      <c r="D1388" s="2">
        <v>45657</v>
      </c>
      <c r="E1388" t="s">
        <v>116</v>
      </c>
      <c r="F1388" t="str">
        <f>VLOOKUP($C1388,Product_Dim!$A$2:$D$101,3,FALSE)</f>
        <v>May-Reese</v>
      </c>
      <c r="G1388" t="str">
        <f>VLOOKUP($C1388,Product_Dim!$A$2:$D$101,2,FALSE)</f>
        <v>Sports</v>
      </c>
      <c r="H1388">
        <v>2</v>
      </c>
      <c r="I1388">
        <v>327.52</v>
      </c>
      <c r="J1388">
        <v>0.15</v>
      </c>
      <c r="K1388" s="3">
        <v>556.78399999999999</v>
      </c>
      <c r="L1388" t="s">
        <v>854</v>
      </c>
      <c r="M1388" t="str">
        <f>VLOOKUP($E1388,Customer_Dim!$A$2:$F$501,3,FALSE)</f>
        <v>Female</v>
      </c>
      <c r="N1388" t="str">
        <f>VLOOKUP($E1388,Customer_Dim!$A$2:$F$501,5,FALSE)</f>
        <v>USA</v>
      </c>
      <c r="O1388" t="str">
        <f>VLOOKUP($E1388,Customer_Dim!$A$2:$F$501,6,FALSE)</f>
        <v>Silver</v>
      </c>
      <c r="P1388" t="str">
        <f>VLOOKUP($A1388,Store_Dim!$A$2:$F$21,3,FALSE)</f>
        <v>SouthPort Sharon</v>
      </c>
    </row>
    <row r="1389" spans="1:16" x14ac:dyDescent="0.25">
      <c r="A1389" t="s">
        <v>797</v>
      </c>
      <c r="B1389" t="s">
        <v>1663</v>
      </c>
      <c r="C1389" t="s">
        <v>577</v>
      </c>
      <c r="D1389" s="2">
        <v>45340</v>
      </c>
      <c r="E1389" t="s">
        <v>118</v>
      </c>
      <c r="F1389" t="str">
        <f>VLOOKUP($C1389,Product_Dim!$A$2:$D$101,3,FALSE)</f>
        <v>Sims Inc</v>
      </c>
      <c r="G1389" t="str">
        <f>VLOOKUP($C1389,Product_Dim!$A$2:$D$101,2,FALSE)</f>
        <v>Clothing</v>
      </c>
      <c r="H1389">
        <v>2</v>
      </c>
      <c r="I1389">
        <v>803.3</v>
      </c>
      <c r="J1389">
        <v>0.17</v>
      </c>
      <c r="K1389" s="3">
        <v>1333.4780000000001</v>
      </c>
      <c r="L1389" t="s">
        <v>852</v>
      </c>
      <c r="M1389" t="str">
        <f>VLOOKUP($E1389,Customer_Dim!$A$2:$F$501,3,FALSE)</f>
        <v>Male</v>
      </c>
      <c r="N1389" t="str">
        <f>VLOOKUP($E1389,Customer_Dim!$A$2:$F$501,5,FALSE)</f>
        <v>USA</v>
      </c>
      <c r="O1389" t="str">
        <f>VLOOKUP($E1389,Customer_Dim!$A$2:$F$501,6,FALSE)</f>
        <v>Silver</v>
      </c>
      <c r="P1389" t="str">
        <f>VLOOKUP($A1389,Store_Dim!$A$2:$F$21,3,FALSE)</f>
        <v>SouthPort Sharon</v>
      </c>
    </row>
    <row r="1390" spans="1:16" x14ac:dyDescent="0.25">
      <c r="A1390" t="s">
        <v>797</v>
      </c>
      <c r="B1390" t="s">
        <v>1172</v>
      </c>
      <c r="C1390" t="s">
        <v>577</v>
      </c>
      <c r="D1390" s="2">
        <v>45663</v>
      </c>
      <c r="E1390" t="s">
        <v>147</v>
      </c>
      <c r="F1390" t="str">
        <f>VLOOKUP($C1390,Product_Dim!$A$2:$D$101,3,FALSE)</f>
        <v>Sims Inc</v>
      </c>
      <c r="G1390" t="str">
        <f>VLOOKUP($C1390,Product_Dim!$A$2:$D$101,2,FALSE)</f>
        <v>Clothing</v>
      </c>
      <c r="H1390">
        <v>2</v>
      </c>
      <c r="I1390">
        <v>123.19</v>
      </c>
      <c r="J1390">
        <v>0.19</v>
      </c>
      <c r="K1390" s="3">
        <v>199.56780000000001</v>
      </c>
      <c r="L1390" t="s">
        <v>852</v>
      </c>
      <c r="M1390" t="str">
        <f>VLOOKUP($E1390,Customer_Dim!$A$2:$F$501,3,FALSE)</f>
        <v>Male</v>
      </c>
      <c r="N1390" t="str">
        <f>VLOOKUP($E1390,Customer_Dim!$A$2:$F$501,5,FALSE)</f>
        <v>USA</v>
      </c>
      <c r="O1390" t="str">
        <f>VLOOKUP($E1390,Customer_Dim!$A$2:$F$501,6,FALSE)</f>
        <v>Silver</v>
      </c>
      <c r="P1390" t="str">
        <f>VLOOKUP($A1390,Store_Dim!$A$2:$F$21,3,FALSE)</f>
        <v>SouthPort Sharon</v>
      </c>
    </row>
    <row r="1391" spans="1:16" hidden="1" x14ac:dyDescent="0.25">
      <c r="A1391" t="s">
        <v>797</v>
      </c>
      <c r="B1391" t="s">
        <v>1656</v>
      </c>
      <c r="C1391" t="s">
        <v>577</v>
      </c>
      <c r="D1391" s="2">
        <v>45248</v>
      </c>
      <c r="E1391" t="s">
        <v>406</v>
      </c>
      <c r="F1391" t="str">
        <f>VLOOKUP($C1391,Product_Dim!$A$2:$D$101,3,FALSE)</f>
        <v>Sims Inc</v>
      </c>
      <c r="G1391" t="str">
        <f>VLOOKUP($C1391,Product_Dim!$A$2:$D$101,2,FALSE)</f>
        <v>Clothing</v>
      </c>
      <c r="H1391">
        <v>2</v>
      </c>
      <c r="I1391">
        <v>333.83</v>
      </c>
      <c r="J1391">
        <v>0.26</v>
      </c>
      <c r="K1391" s="3">
        <v>494.0684</v>
      </c>
      <c r="L1391" t="s">
        <v>854</v>
      </c>
      <c r="M1391" t="str">
        <f>VLOOKUP($E1391,Customer_Dim!$A$2:$F$501,3,FALSE)</f>
        <v>Female</v>
      </c>
      <c r="N1391" t="str">
        <f>VLOOKUP($E1391,Customer_Dim!$A$2:$F$501,5,FALSE)</f>
        <v>USA</v>
      </c>
      <c r="O1391" t="str">
        <f>VLOOKUP($E1391,Customer_Dim!$A$2:$F$501,6,FALSE)</f>
        <v>Platinum</v>
      </c>
      <c r="P1391" t="str">
        <f>VLOOKUP($A1391,Store_Dim!$A$2:$F$21,3,FALSE)</f>
        <v>SouthPort Sharon</v>
      </c>
    </row>
    <row r="1392" spans="1:16" hidden="1" x14ac:dyDescent="0.25">
      <c r="A1392" t="s">
        <v>797</v>
      </c>
      <c r="B1392" t="s">
        <v>1354</v>
      </c>
      <c r="C1392" t="s">
        <v>577</v>
      </c>
      <c r="D1392" s="2">
        <v>45627</v>
      </c>
      <c r="E1392" t="s">
        <v>512</v>
      </c>
      <c r="F1392" t="str">
        <f>VLOOKUP($C1392,Product_Dim!$A$2:$D$101,3,FALSE)</f>
        <v>Sims Inc</v>
      </c>
      <c r="G1392" t="str">
        <f>VLOOKUP($C1392,Product_Dim!$A$2:$D$101,2,FALSE)</f>
        <v>Clothing</v>
      </c>
      <c r="H1392">
        <v>4</v>
      </c>
      <c r="I1392">
        <v>106.66</v>
      </c>
      <c r="J1392">
        <v>0.2</v>
      </c>
      <c r="K1392" s="3">
        <v>341.31200000000001</v>
      </c>
      <c r="L1392" t="s">
        <v>857</v>
      </c>
      <c r="M1392" t="str">
        <f>VLOOKUP($E1392,Customer_Dim!$A$2:$F$501,3,FALSE)</f>
        <v>Female</v>
      </c>
      <c r="N1392" t="str">
        <f>VLOOKUP($E1392,Customer_Dim!$A$2:$F$501,5,FALSE)</f>
        <v>USA</v>
      </c>
      <c r="O1392" t="str">
        <f>VLOOKUP($E1392,Customer_Dim!$A$2:$F$501,6,FALSE)</f>
        <v>Platinum</v>
      </c>
      <c r="P1392" t="str">
        <f>VLOOKUP($A1392,Store_Dim!$A$2:$F$21,3,FALSE)</f>
        <v>SouthPort Sharon</v>
      </c>
    </row>
    <row r="1393" spans="1:16" x14ac:dyDescent="0.25">
      <c r="A1393" t="s">
        <v>797</v>
      </c>
      <c r="B1393" t="s">
        <v>1630</v>
      </c>
      <c r="C1393" t="s">
        <v>616</v>
      </c>
      <c r="D1393" s="2">
        <v>45472</v>
      </c>
      <c r="E1393" t="s">
        <v>307</v>
      </c>
      <c r="F1393" t="str">
        <f>VLOOKUP($C1393,Product_Dim!$A$2:$D$101,3,FALSE)</f>
        <v>Soto-Ellis</v>
      </c>
      <c r="G1393" t="str">
        <f>VLOOKUP($C1393,Product_Dim!$A$2:$D$101,2,FALSE)</f>
        <v>Sports</v>
      </c>
      <c r="H1393">
        <v>3</v>
      </c>
      <c r="I1393">
        <v>909.25</v>
      </c>
      <c r="J1393">
        <v>0.28999999999999998</v>
      </c>
      <c r="K1393" s="3">
        <v>1936.7025000000001</v>
      </c>
      <c r="L1393" t="s">
        <v>857</v>
      </c>
      <c r="M1393" t="str">
        <f>VLOOKUP($E1393,Customer_Dim!$A$2:$F$501,3,FALSE)</f>
        <v>Male</v>
      </c>
      <c r="N1393" t="str">
        <f>VLOOKUP($E1393,Customer_Dim!$A$2:$F$501,5,FALSE)</f>
        <v>USA</v>
      </c>
      <c r="O1393" t="str">
        <f>VLOOKUP($E1393,Customer_Dim!$A$2:$F$501,6,FALSE)</f>
        <v>Platinum</v>
      </c>
      <c r="P1393" t="str">
        <f>VLOOKUP($A1393,Store_Dim!$A$2:$F$21,3,FALSE)</f>
        <v>SouthPort Sharon</v>
      </c>
    </row>
    <row r="1394" spans="1:16" x14ac:dyDescent="0.25">
      <c r="A1394" t="s">
        <v>797</v>
      </c>
      <c r="B1394" t="s">
        <v>1973</v>
      </c>
      <c r="C1394" t="s">
        <v>618</v>
      </c>
      <c r="D1394" s="2">
        <v>45271</v>
      </c>
      <c r="E1394" t="s">
        <v>522</v>
      </c>
      <c r="F1394" t="str">
        <f>VLOOKUP($C1394,Product_Dim!$A$2:$D$101,3,FALSE)</f>
        <v>Gardner-Montes</v>
      </c>
      <c r="G1394" t="str">
        <f>VLOOKUP($C1394,Product_Dim!$A$2:$D$101,2,FALSE)</f>
        <v>Home</v>
      </c>
      <c r="H1394">
        <v>2</v>
      </c>
      <c r="I1394">
        <v>961.84</v>
      </c>
      <c r="J1394">
        <v>0.25</v>
      </c>
      <c r="K1394" s="3">
        <v>1442.76</v>
      </c>
      <c r="L1394" t="s">
        <v>854</v>
      </c>
      <c r="M1394" t="str">
        <f>VLOOKUP($E1394,Customer_Dim!$A$2:$F$501,3,FALSE)</f>
        <v>Male</v>
      </c>
      <c r="N1394" t="str">
        <f>VLOOKUP($E1394,Customer_Dim!$A$2:$F$501,5,FALSE)</f>
        <v>USA</v>
      </c>
      <c r="O1394" t="str">
        <f>VLOOKUP($E1394,Customer_Dim!$A$2:$F$501,6,FALSE)</f>
        <v>Gold</v>
      </c>
      <c r="P1394" t="str">
        <f>VLOOKUP($A1394,Store_Dim!$A$2:$F$21,3,FALSE)</f>
        <v>SouthPort Sharon</v>
      </c>
    </row>
    <row r="1395" spans="1:16" x14ac:dyDescent="0.25">
      <c r="A1395" t="s">
        <v>797</v>
      </c>
      <c r="B1395" t="s">
        <v>1743</v>
      </c>
      <c r="C1395" t="s">
        <v>622</v>
      </c>
      <c r="D1395" s="2">
        <v>45749</v>
      </c>
      <c r="E1395" t="s">
        <v>448</v>
      </c>
      <c r="F1395" t="str">
        <f>VLOOKUP($C1395,Product_Dim!$A$2:$D$101,3,FALSE)</f>
        <v>Moon, Mora and Santos</v>
      </c>
      <c r="G1395" t="str">
        <f>VLOOKUP($C1395,Product_Dim!$A$2:$D$101,2,FALSE)</f>
        <v>Clothing</v>
      </c>
      <c r="H1395">
        <v>3</v>
      </c>
      <c r="I1395">
        <v>70.97</v>
      </c>
      <c r="J1395">
        <v>0.06</v>
      </c>
      <c r="K1395" s="3">
        <v>200.1354</v>
      </c>
      <c r="L1395" t="s">
        <v>857</v>
      </c>
      <c r="M1395" t="str">
        <f>VLOOKUP($E1395,Customer_Dim!$A$2:$F$501,3,FALSE)</f>
        <v>Male</v>
      </c>
      <c r="N1395" t="str">
        <f>VLOOKUP($E1395,Customer_Dim!$A$2:$F$501,5,FALSE)</f>
        <v>USA</v>
      </c>
      <c r="O1395" t="str">
        <f>VLOOKUP($E1395,Customer_Dim!$A$2:$F$501,6,FALSE)</f>
        <v>Silver</v>
      </c>
      <c r="P1395" t="str">
        <f>VLOOKUP($A1395,Store_Dim!$A$2:$F$21,3,FALSE)</f>
        <v>SouthPort Sharon</v>
      </c>
    </row>
    <row r="1396" spans="1:16" hidden="1" x14ac:dyDescent="0.25">
      <c r="A1396" t="s">
        <v>797</v>
      </c>
      <c r="B1396" t="s">
        <v>2815</v>
      </c>
      <c r="C1396" t="s">
        <v>624</v>
      </c>
      <c r="D1396" s="2">
        <v>45934</v>
      </c>
      <c r="E1396" t="s">
        <v>168</v>
      </c>
      <c r="F1396" t="str">
        <f>VLOOKUP($C1396,Product_Dim!$A$2:$D$101,3,FALSE)</f>
        <v>Cook Ltd</v>
      </c>
      <c r="G1396" t="str">
        <f>VLOOKUP($C1396,Product_Dim!$A$2:$D$101,2,FALSE)</f>
        <v>Sports</v>
      </c>
      <c r="H1396">
        <v>2</v>
      </c>
      <c r="I1396">
        <v>92.94</v>
      </c>
      <c r="J1396">
        <v>0.12</v>
      </c>
      <c r="K1396" s="3">
        <v>163.5744</v>
      </c>
      <c r="L1396" t="s">
        <v>852</v>
      </c>
      <c r="M1396" t="str">
        <f>VLOOKUP($E1396,Customer_Dim!$A$2:$F$501,3,FALSE)</f>
        <v>Female</v>
      </c>
      <c r="N1396" t="str">
        <f>VLOOKUP($E1396,Customer_Dim!$A$2:$F$501,5,FALSE)</f>
        <v>USA</v>
      </c>
      <c r="O1396" t="str">
        <f>VLOOKUP($E1396,Customer_Dim!$A$2:$F$501,6,FALSE)</f>
        <v>Bronze</v>
      </c>
      <c r="P1396" t="str">
        <f>VLOOKUP($A1396,Store_Dim!$A$2:$F$21,3,FALSE)</f>
        <v>SouthPort Sharon</v>
      </c>
    </row>
    <row r="1397" spans="1:16" hidden="1" x14ac:dyDescent="0.25">
      <c r="A1397" t="s">
        <v>797</v>
      </c>
      <c r="B1397" t="s">
        <v>871</v>
      </c>
      <c r="C1397" t="s">
        <v>630</v>
      </c>
      <c r="D1397" s="2">
        <v>45637</v>
      </c>
      <c r="E1397" t="s">
        <v>135</v>
      </c>
      <c r="F1397" t="str">
        <f>VLOOKUP($C1397,Product_Dim!$A$2:$D$101,3,FALSE)</f>
        <v>Khan, Jones and Paul</v>
      </c>
      <c r="G1397" t="str">
        <f>VLOOKUP($C1397,Product_Dim!$A$2:$D$101,2,FALSE)</f>
        <v>Home</v>
      </c>
      <c r="H1397">
        <v>2</v>
      </c>
      <c r="I1397">
        <v>502.69</v>
      </c>
      <c r="J1397">
        <v>0.23</v>
      </c>
      <c r="K1397" s="3">
        <v>774.14260000000002</v>
      </c>
      <c r="L1397" t="s">
        <v>852</v>
      </c>
      <c r="M1397" t="str">
        <f>VLOOKUP($E1397,Customer_Dim!$A$2:$F$501,3,FALSE)</f>
        <v>Female</v>
      </c>
      <c r="N1397" t="str">
        <f>VLOOKUP($E1397,Customer_Dim!$A$2:$F$501,5,FALSE)</f>
        <v>USA</v>
      </c>
      <c r="O1397" t="str">
        <f>VLOOKUP($E1397,Customer_Dim!$A$2:$F$501,6,FALSE)</f>
        <v>Platinum</v>
      </c>
      <c r="P1397" t="str">
        <f>VLOOKUP($A1397,Store_Dim!$A$2:$F$21,3,FALSE)</f>
        <v>SouthPort Sharon</v>
      </c>
    </row>
    <row r="1398" spans="1:16" x14ac:dyDescent="0.25">
      <c r="A1398" t="s">
        <v>797</v>
      </c>
      <c r="B1398" t="s">
        <v>1696</v>
      </c>
      <c r="C1398" t="s">
        <v>630</v>
      </c>
      <c r="D1398" s="2">
        <v>45446</v>
      </c>
      <c r="E1398" t="s">
        <v>322</v>
      </c>
      <c r="F1398" t="str">
        <f>VLOOKUP($C1398,Product_Dim!$A$2:$D$101,3,FALSE)</f>
        <v>Khan, Jones and Paul</v>
      </c>
      <c r="G1398" t="str">
        <f>VLOOKUP($C1398,Product_Dim!$A$2:$D$101,2,FALSE)</f>
        <v>Home</v>
      </c>
      <c r="H1398">
        <v>1</v>
      </c>
      <c r="I1398">
        <v>964.11</v>
      </c>
      <c r="J1398">
        <v>0.17</v>
      </c>
      <c r="K1398" s="3">
        <v>800.21129999999994</v>
      </c>
      <c r="L1398" t="s">
        <v>857</v>
      </c>
      <c r="M1398" t="str">
        <f>VLOOKUP($E1398,Customer_Dim!$A$2:$F$501,3,FALSE)</f>
        <v>Male</v>
      </c>
      <c r="N1398" t="str">
        <f>VLOOKUP($E1398,Customer_Dim!$A$2:$F$501,5,FALSE)</f>
        <v>USA</v>
      </c>
      <c r="O1398" t="str">
        <f>VLOOKUP($E1398,Customer_Dim!$A$2:$F$501,6,FALSE)</f>
        <v>Platinum</v>
      </c>
      <c r="P1398" t="str">
        <f>VLOOKUP($A1398,Store_Dim!$A$2:$F$21,3,FALSE)</f>
        <v>SouthPort Sharon</v>
      </c>
    </row>
    <row r="1399" spans="1:16" hidden="1" x14ac:dyDescent="0.25">
      <c r="A1399" t="s">
        <v>797</v>
      </c>
      <c r="B1399" t="s">
        <v>2777</v>
      </c>
      <c r="C1399" t="s">
        <v>630</v>
      </c>
      <c r="D1399" s="2">
        <v>45344</v>
      </c>
      <c r="E1399" t="s">
        <v>543</v>
      </c>
      <c r="F1399" t="str">
        <f>VLOOKUP($C1399,Product_Dim!$A$2:$D$101,3,FALSE)</f>
        <v>Khan, Jones and Paul</v>
      </c>
      <c r="G1399" t="str">
        <f>VLOOKUP($C1399,Product_Dim!$A$2:$D$101,2,FALSE)</f>
        <v>Home</v>
      </c>
      <c r="H1399">
        <v>2</v>
      </c>
      <c r="I1399">
        <v>846.35</v>
      </c>
      <c r="J1399">
        <v>0.3</v>
      </c>
      <c r="K1399" s="3">
        <v>1184.8900000000001</v>
      </c>
      <c r="L1399" t="s">
        <v>857</v>
      </c>
      <c r="M1399" t="str">
        <f>VLOOKUP($E1399,Customer_Dim!$A$2:$F$501,3,FALSE)</f>
        <v>Female</v>
      </c>
      <c r="N1399" t="str">
        <f>VLOOKUP($E1399,Customer_Dim!$A$2:$F$501,5,FALSE)</f>
        <v>USA</v>
      </c>
      <c r="O1399" t="str">
        <f>VLOOKUP($E1399,Customer_Dim!$A$2:$F$501,6,FALSE)</f>
        <v>Gold</v>
      </c>
      <c r="P1399" t="str">
        <f>VLOOKUP($A1399,Store_Dim!$A$2:$F$21,3,FALSE)</f>
        <v>SouthPort Sharon</v>
      </c>
    </row>
    <row r="1400" spans="1:16" hidden="1" x14ac:dyDescent="0.25">
      <c r="A1400" t="s">
        <v>797</v>
      </c>
      <c r="B1400" t="s">
        <v>1674</v>
      </c>
      <c r="C1400" t="s">
        <v>632</v>
      </c>
      <c r="D1400" s="2">
        <v>45607</v>
      </c>
      <c r="E1400" t="s">
        <v>26</v>
      </c>
      <c r="F1400" t="str">
        <f>VLOOKUP($C1400,Product_Dim!$A$2:$D$101,3,FALSE)</f>
        <v>Burns-Hansen</v>
      </c>
      <c r="G1400" t="str">
        <f>VLOOKUP($C1400,Product_Dim!$A$2:$D$101,2,FALSE)</f>
        <v>Sports</v>
      </c>
      <c r="H1400">
        <v>2</v>
      </c>
      <c r="I1400">
        <v>278.16000000000003</v>
      </c>
      <c r="J1400">
        <v>0.22</v>
      </c>
      <c r="K1400" s="3">
        <v>433.92960000000011</v>
      </c>
      <c r="L1400" t="s">
        <v>854</v>
      </c>
      <c r="M1400" t="str">
        <f>VLOOKUP($E1400,Customer_Dim!$A$2:$F$501,3,FALSE)</f>
        <v>Female</v>
      </c>
      <c r="N1400" t="str">
        <f>VLOOKUP($E1400,Customer_Dim!$A$2:$F$501,5,FALSE)</f>
        <v>USA</v>
      </c>
      <c r="O1400" t="str">
        <f>VLOOKUP($E1400,Customer_Dim!$A$2:$F$501,6,FALSE)</f>
        <v>Platinum</v>
      </c>
      <c r="P1400" t="str">
        <f>VLOOKUP($A1400,Store_Dim!$A$2:$F$21,3,FALSE)</f>
        <v>SouthPort Sharon</v>
      </c>
    </row>
    <row r="1401" spans="1:16" x14ac:dyDescent="0.25">
      <c r="A1401" t="s">
        <v>797</v>
      </c>
      <c r="B1401" t="s">
        <v>2343</v>
      </c>
      <c r="C1401" t="s">
        <v>632</v>
      </c>
      <c r="D1401" s="2">
        <v>45629</v>
      </c>
      <c r="E1401" t="s">
        <v>545</v>
      </c>
      <c r="F1401" t="str">
        <f>VLOOKUP($C1401,Product_Dim!$A$2:$D$101,3,FALSE)</f>
        <v>Burns-Hansen</v>
      </c>
      <c r="G1401" t="str">
        <f>VLOOKUP($C1401,Product_Dim!$A$2:$D$101,2,FALSE)</f>
        <v>Sports</v>
      </c>
      <c r="H1401">
        <v>3</v>
      </c>
      <c r="I1401">
        <v>199.41</v>
      </c>
      <c r="J1401">
        <v>0.16</v>
      </c>
      <c r="K1401" s="3">
        <v>502.51319999999998</v>
      </c>
      <c r="L1401" t="s">
        <v>857</v>
      </c>
      <c r="M1401" t="str">
        <f>VLOOKUP($E1401,Customer_Dim!$A$2:$F$501,3,FALSE)</f>
        <v>Male</v>
      </c>
      <c r="N1401" t="str">
        <f>VLOOKUP($E1401,Customer_Dim!$A$2:$F$501,5,FALSE)</f>
        <v>USA</v>
      </c>
      <c r="O1401" t="str">
        <f>VLOOKUP($E1401,Customer_Dim!$A$2:$F$501,6,FALSE)</f>
        <v>Gold</v>
      </c>
      <c r="P1401" t="str">
        <f>VLOOKUP($A1401,Store_Dim!$A$2:$F$21,3,FALSE)</f>
        <v>SouthPort Sharon</v>
      </c>
    </row>
    <row r="1402" spans="1:16" hidden="1" x14ac:dyDescent="0.25">
      <c r="A1402" t="s">
        <v>797</v>
      </c>
      <c r="B1402" t="s">
        <v>1523</v>
      </c>
      <c r="C1402" t="s">
        <v>634</v>
      </c>
      <c r="D1402" s="2">
        <v>45748</v>
      </c>
      <c r="E1402" t="s">
        <v>155</v>
      </c>
      <c r="F1402" t="str">
        <f>VLOOKUP($C1402,Product_Dim!$A$2:$D$101,3,FALSE)</f>
        <v>Hoffman Group</v>
      </c>
      <c r="G1402" t="str">
        <f>VLOOKUP($C1402,Product_Dim!$A$2:$D$101,2,FALSE)</f>
        <v>Home</v>
      </c>
      <c r="H1402">
        <v>2</v>
      </c>
      <c r="I1402">
        <v>145.18</v>
      </c>
      <c r="J1402">
        <v>0.26</v>
      </c>
      <c r="K1402" s="3">
        <v>214.8664</v>
      </c>
      <c r="L1402" t="s">
        <v>854</v>
      </c>
      <c r="M1402" t="str">
        <f>VLOOKUP($E1402,Customer_Dim!$A$2:$F$501,3,FALSE)</f>
        <v>Female</v>
      </c>
      <c r="N1402" t="str">
        <f>VLOOKUP($E1402,Customer_Dim!$A$2:$F$501,5,FALSE)</f>
        <v>USA</v>
      </c>
      <c r="O1402" t="str">
        <f>VLOOKUP($E1402,Customer_Dim!$A$2:$F$501,6,FALSE)</f>
        <v>Gold</v>
      </c>
      <c r="P1402" t="str">
        <f>VLOOKUP($A1402,Store_Dim!$A$2:$F$21,3,FALSE)</f>
        <v>SouthPort Sharon</v>
      </c>
    </row>
    <row r="1403" spans="1:16" hidden="1" x14ac:dyDescent="0.25">
      <c r="A1403" t="s">
        <v>797</v>
      </c>
      <c r="B1403" t="s">
        <v>1300</v>
      </c>
      <c r="C1403" t="s">
        <v>634</v>
      </c>
      <c r="D1403" s="2">
        <v>45551</v>
      </c>
      <c r="E1403" t="s">
        <v>228</v>
      </c>
      <c r="F1403" t="str">
        <f>VLOOKUP($C1403,Product_Dim!$A$2:$D$101,3,FALSE)</f>
        <v>Hoffman Group</v>
      </c>
      <c r="G1403" t="str">
        <f>VLOOKUP($C1403,Product_Dim!$A$2:$D$101,2,FALSE)</f>
        <v>Home</v>
      </c>
      <c r="H1403">
        <v>2</v>
      </c>
      <c r="I1403">
        <v>527.51</v>
      </c>
      <c r="J1403">
        <v>0.18</v>
      </c>
      <c r="K1403" s="3">
        <v>865.1164</v>
      </c>
      <c r="L1403" t="s">
        <v>854</v>
      </c>
      <c r="M1403" t="str">
        <f>VLOOKUP($E1403,Customer_Dim!$A$2:$F$501,3,FALSE)</f>
        <v>Female</v>
      </c>
      <c r="N1403" t="str">
        <f>VLOOKUP($E1403,Customer_Dim!$A$2:$F$501,5,FALSE)</f>
        <v>USA</v>
      </c>
      <c r="O1403" t="str">
        <f>VLOOKUP($E1403,Customer_Dim!$A$2:$F$501,6,FALSE)</f>
        <v>Silver</v>
      </c>
      <c r="P1403" t="str">
        <f>VLOOKUP($A1403,Store_Dim!$A$2:$F$21,3,FALSE)</f>
        <v>SouthPort Sharon</v>
      </c>
    </row>
    <row r="1404" spans="1:16" x14ac:dyDescent="0.25">
      <c r="A1404" t="s">
        <v>797</v>
      </c>
      <c r="B1404" t="s">
        <v>2671</v>
      </c>
      <c r="C1404" t="s">
        <v>634</v>
      </c>
      <c r="D1404" s="2">
        <v>45935</v>
      </c>
      <c r="E1404" t="s">
        <v>275</v>
      </c>
      <c r="F1404" t="str">
        <f>VLOOKUP($C1404,Product_Dim!$A$2:$D$101,3,FALSE)</f>
        <v>Hoffman Group</v>
      </c>
      <c r="G1404" t="str">
        <f>VLOOKUP($C1404,Product_Dim!$A$2:$D$101,2,FALSE)</f>
        <v>Home</v>
      </c>
      <c r="H1404">
        <v>2</v>
      </c>
      <c r="I1404">
        <v>823.36</v>
      </c>
      <c r="J1404">
        <v>0.23</v>
      </c>
      <c r="K1404" s="3">
        <v>1267.9744000000001</v>
      </c>
      <c r="L1404" t="s">
        <v>852</v>
      </c>
      <c r="M1404" t="str">
        <f>VLOOKUP($E1404,Customer_Dim!$A$2:$F$501,3,FALSE)</f>
        <v>Male</v>
      </c>
      <c r="N1404" t="str">
        <f>VLOOKUP($E1404,Customer_Dim!$A$2:$F$501,5,FALSE)</f>
        <v>USA</v>
      </c>
      <c r="O1404" t="str">
        <f>VLOOKUP($E1404,Customer_Dim!$A$2:$F$501,6,FALSE)</f>
        <v>Silver</v>
      </c>
      <c r="P1404" t="str">
        <f>VLOOKUP($A1404,Store_Dim!$A$2:$F$21,3,FALSE)</f>
        <v>SouthPort Sharon</v>
      </c>
    </row>
    <row r="1405" spans="1:16" hidden="1" x14ac:dyDescent="0.25">
      <c r="A1405" t="s">
        <v>797</v>
      </c>
      <c r="B1405" t="s">
        <v>1838</v>
      </c>
      <c r="C1405" t="s">
        <v>634</v>
      </c>
      <c r="D1405" s="2">
        <v>45914</v>
      </c>
      <c r="E1405" t="s">
        <v>558</v>
      </c>
      <c r="F1405" t="str">
        <f>VLOOKUP($C1405,Product_Dim!$A$2:$D$101,3,FALSE)</f>
        <v>Hoffman Group</v>
      </c>
      <c r="G1405" t="str">
        <f>VLOOKUP($C1405,Product_Dim!$A$2:$D$101,2,FALSE)</f>
        <v>Home</v>
      </c>
      <c r="H1405">
        <v>4</v>
      </c>
      <c r="I1405">
        <v>465.42</v>
      </c>
      <c r="J1405">
        <v>0.26</v>
      </c>
      <c r="K1405" s="3">
        <v>1377.6432</v>
      </c>
      <c r="L1405" t="s">
        <v>857</v>
      </c>
      <c r="M1405" t="str">
        <f>VLOOKUP($E1405,Customer_Dim!$A$2:$F$501,3,FALSE)</f>
        <v>Female</v>
      </c>
      <c r="N1405" t="str">
        <f>VLOOKUP($E1405,Customer_Dim!$A$2:$F$501,5,FALSE)</f>
        <v>USA</v>
      </c>
      <c r="O1405" t="str">
        <f>VLOOKUP($E1405,Customer_Dim!$A$2:$F$501,6,FALSE)</f>
        <v>Gold</v>
      </c>
      <c r="P1405" t="str">
        <f>VLOOKUP($A1405,Store_Dim!$A$2:$F$21,3,FALSE)</f>
        <v>SouthPort Sharon</v>
      </c>
    </row>
    <row r="1406" spans="1:16" x14ac:dyDescent="0.25">
      <c r="A1406" t="s">
        <v>797</v>
      </c>
      <c r="B1406" t="s">
        <v>2063</v>
      </c>
      <c r="C1406" t="s">
        <v>636</v>
      </c>
      <c r="D1406" s="2">
        <v>45862</v>
      </c>
      <c r="E1406" t="s">
        <v>101</v>
      </c>
      <c r="F1406" t="str">
        <f>VLOOKUP($C1406,Product_Dim!$A$2:$D$101,3,FALSE)</f>
        <v>Stevens, Fernandez and Martin</v>
      </c>
      <c r="G1406" t="str">
        <f>VLOOKUP($C1406,Product_Dim!$A$2:$D$101,2,FALSE)</f>
        <v>Home</v>
      </c>
      <c r="H1406">
        <v>4</v>
      </c>
      <c r="I1406">
        <v>153.94999999999999</v>
      </c>
      <c r="J1406">
        <v>0.11</v>
      </c>
      <c r="K1406" s="3">
        <v>548.06200000000001</v>
      </c>
      <c r="L1406" t="s">
        <v>854</v>
      </c>
      <c r="M1406" t="str">
        <f>VLOOKUP($E1406,Customer_Dim!$A$2:$F$501,3,FALSE)</f>
        <v>Male</v>
      </c>
      <c r="N1406" t="str">
        <f>VLOOKUP($E1406,Customer_Dim!$A$2:$F$501,5,FALSE)</f>
        <v>USA</v>
      </c>
      <c r="O1406" t="str">
        <f>VLOOKUP($E1406,Customer_Dim!$A$2:$F$501,6,FALSE)</f>
        <v>Platinum</v>
      </c>
      <c r="P1406" t="str">
        <f>VLOOKUP($A1406,Store_Dim!$A$2:$F$21,3,FALSE)</f>
        <v>SouthPort Sharon</v>
      </c>
    </row>
    <row r="1407" spans="1:16" hidden="1" x14ac:dyDescent="0.25">
      <c r="A1407" t="s">
        <v>797</v>
      </c>
      <c r="B1407" t="s">
        <v>1899</v>
      </c>
      <c r="C1407" t="s">
        <v>636</v>
      </c>
      <c r="D1407" s="2">
        <v>45818</v>
      </c>
      <c r="E1407" t="s">
        <v>566</v>
      </c>
      <c r="F1407" t="str">
        <f>VLOOKUP($C1407,Product_Dim!$A$2:$D$101,3,FALSE)</f>
        <v>Stevens, Fernandez and Martin</v>
      </c>
      <c r="G1407" t="str">
        <f>VLOOKUP($C1407,Product_Dim!$A$2:$D$101,2,FALSE)</f>
        <v>Home</v>
      </c>
      <c r="H1407">
        <v>3</v>
      </c>
      <c r="I1407">
        <v>272.27</v>
      </c>
      <c r="J1407">
        <v>0.01</v>
      </c>
      <c r="K1407" s="3">
        <v>808.64189999999996</v>
      </c>
      <c r="L1407" t="s">
        <v>852</v>
      </c>
      <c r="M1407" t="str">
        <f>VLOOKUP($E1407,Customer_Dim!$A$2:$F$501,3,FALSE)</f>
        <v>Female</v>
      </c>
      <c r="N1407" t="str">
        <f>VLOOKUP($E1407,Customer_Dim!$A$2:$F$501,5,FALSE)</f>
        <v>USA</v>
      </c>
      <c r="O1407" t="str">
        <f>VLOOKUP($E1407,Customer_Dim!$A$2:$F$501,6,FALSE)</f>
        <v>Platinum</v>
      </c>
      <c r="P1407" t="str">
        <f>VLOOKUP($A1407,Store_Dim!$A$2:$F$21,3,FALSE)</f>
        <v>SouthPort Sharon</v>
      </c>
    </row>
    <row r="1408" spans="1:16" x14ac:dyDescent="0.25">
      <c r="A1408" t="s">
        <v>797</v>
      </c>
      <c r="B1408" t="s">
        <v>1562</v>
      </c>
      <c r="C1408" t="s">
        <v>638</v>
      </c>
      <c r="D1408" s="2">
        <v>45572</v>
      </c>
      <c r="E1408" t="s">
        <v>513</v>
      </c>
      <c r="F1408" t="str">
        <f>VLOOKUP($C1408,Product_Dim!$A$2:$D$101,3,FALSE)</f>
        <v>Nolan-Snow</v>
      </c>
      <c r="G1408" t="str">
        <f>VLOOKUP($C1408,Product_Dim!$A$2:$D$101,2,FALSE)</f>
        <v>Sports</v>
      </c>
      <c r="H1408">
        <v>4</v>
      </c>
      <c r="I1408">
        <v>681.08</v>
      </c>
      <c r="J1408">
        <v>0</v>
      </c>
      <c r="K1408" s="3">
        <v>2724.32</v>
      </c>
      <c r="L1408" t="s">
        <v>854</v>
      </c>
      <c r="M1408" t="str">
        <f>VLOOKUP($E1408,Customer_Dim!$A$2:$F$501,3,FALSE)</f>
        <v>Male</v>
      </c>
      <c r="N1408" t="str">
        <f>VLOOKUP($E1408,Customer_Dim!$A$2:$F$501,5,FALSE)</f>
        <v>USA</v>
      </c>
      <c r="O1408" t="str">
        <f>VLOOKUP($E1408,Customer_Dim!$A$2:$F$501,6,FALSE)</f>
        <v>Silver</v>
      </c>
      <c r="P1408" t="str">
        <f>VLOOKUP($A1408,Store_Dim!$A$2:$F$21,3,FALSE)</f>
        <v>SouthPort Sharon</v>
      </c>
    </row>
    <row r="1409" spans="1:16" hidden="1" x14ac:dyDescent="0.25">
      <c r="A1409" t="s">
        <v>797</v>
      </c>
      <c r="B1409" t="s">
        <v>1174</v>
      </c>
      <c r="C1409" t="s">
        <v>640</v>
      </c>
      <c r="D1409" s="2">
        <v>45840</v>
      </c>
      <c r="E1409" t="s">
        <v>399</v>
      </c>
      <c r="F1409" t="str">
        <f>VLOOKUP($C1409,Product_Dim!$A$2:$D$101,3,FALSE)</f>
        <v>Griffin Ltd</v>
      </c>
      <c r="G1409" t="str">
        <f>VLOOKUP($C1409,Product_Dim!$A$2:$D$101,2,FALSE)</f>
        <v>Beauty</v>
      </c>
      <c r="H1409">
        <v>3</v>
      </c>
      <c r="I1409">
        <v>601.92999999999995</v>
      </c>
      <c r="J1409">
        <v>0.14000000000000001</v>
      </c>
      <c r="K1409" s="3">
        <v>1552.9793999999999</v>
      </c>
      <c r="L1409" t="s">
        <v>852</v>
      </c>
      <c r="M1409" t="str">
        <f>VLOOKUP($E1409,Customer_Dim!$A$2:$F$501,3,FALSE)</f>
        <v>Female</v>
      </c>
      <c r="N1409" t="str">
        <f>VLOOKUP($E1409,Customer_Dim!$A$2:$F$501,5,FALSE)</f>
        <v>USA</v>
      </c>
      <c r="O1409" t="str">
        <f>VLOOKUP($E1409,Customer_Dim!$A$2:$F$501,6,FALSE)</f>
        <v>Bronze</v>
      </c>
      <c r="P1409" t="str">
        <f>VLOOKUP($A1409,Store_Dim!$A$2:$F$21,3,FALSE)</f>
        <v>SouthPort Sharon</v>
      </c>
    </row>
    <row r="1410" spans="1:16" hidden="1" x14ac:dyDescent="0.25">
      <c r="A1410" t="s">
        <v>797</v>
      </c>
      <c r="B1410" t="s">
        <v>2117</v>
      </c>
      <c r="C1410" t="s">
        <v>640</v>
      </c>
      <c r="D1410" s="2">
        <v>45530</v>
      </c>
      <c r="E1410" t="s">
        <v>494</v>
      </c>
      <c r="F1410" t="str">
        <f>VLOOKUP($C1410,Product_Dim!$A$2:$D$101,3,FALSE)</f>
        <v>Griffin Ltd</v>
      </c>
      <c r="G1410" t="str">
        <f>VLOOKUP($C1410,Product_Dim!$A$2:$D$101,2,FALSE)</f>
        <v>Beauty</v>
      </c>
      <c r="H1410">
        <v>3</v>
      </c>
      <c r="I1410">
        <v>918.76</v>
      </c>
      <c r="J1410">
        <v>0.2</v>
      </c>
      <c r="K1410" s="3">
        <v>2205.0239999999999</v>
      </c>
      <c r="L1410" t="s">
        <v>854</v>
      </c>
      <c r="M1410" t="str">
        <f>VLOOKUP($E1410,Customer_Dim!$A$2:$F$501,3,FALSE)</f>
        <v>Female</v>
      </c>
      <c r="N1410" t="str">
        <f>VLOOKUP($E1410,Customer_Dim!$A$2:$F$501,5,FALSE)</f>
        <v>USA</v>
      </c>
      <c r="O1410" t="str">
        <f>VLOOKUP($E1410,Customer_Dim!$A$2:$F$501,6,FALSE)</f>
        <v>Gold</v>
      </c>
      <c r="P1410" t="str">
        <f>VLOOKUP($A1410,Store_Dim!$A$2:$F$21,3,FALSE)</f>
        <v>SouthPort Sharon</v>
      </c>
    </row>
    <row r="1411" spans="1:16" hidden="1" x14ac:dyDescent="0.25">
      <c r="A1411" t="s">
        <v>797</v>
      </c>
      <c r="B1411" t="s">
        <v>1055</v>
      </c>
      <c r="C1411" t="s">
        <v>642</v>
      </c>
      <c r="D1411" s="2">
        <v>45742</v>
      </c>
      <c r="E1411" t="s">
        <v>208</v>
      </c>
      <c r="F1411" t="str">
        <f>VLOOKUP($C1411,Product_Dim!$A$2:$D$101,3,FALSE)</f>
        <v>Weiss-Watson</v>
      </c>
      <c r="G1411" t="str">
        <f>VLOOKUP($C1411,Product_Dim!$A$2:$D$101,2,FALSE)</f>
        <v>Home</v>
      </c>
      <c r="H1411">
        <v>1</v>
      </c>
      <c r="I1411">
        <v>885.72</v>
      </c>
      <c r="J1411">
        <v>0.15</v>
      </c>
      <c r="K1411" s="3">
        <v>752.86199999999997</v>
      </c>
      <c r="L1411" t="s">
        <v>852</v>
      </c>
      <c r="M1411" t="str">
        <f>VLOOKUP($E1411,Customer_Dim!$A$2:$F$501,3,FALSE)</f>
        <v>Female</v>
      </c>
      <c r="N1411" t="str">
        <f>VLOOKUP($E1411,Customer_Dim!$A$2:$F$501,5,FALSE)</f>
        <v>USA</v>
      </c>
      <c r="O1411" t="str">
        <f>VLOOKUP($E1411,Customer_Dim!$A$2:$F$501,6,FALSE)</f>
        <v>Bronze</v>
      </c>
      <c r="P1411" t="str">
        <f>VLOOKUP($A1411,Store_Dim!$A$2:$F$21,3,FALSE)</f>
        <v>SouthPort Sharon</v>
      </c>
    </row>
    <row r="1412" spans="1:16" hidden="1" x14ac:dyDescent="0.25">
      <c r="A1412" t="s">
        <v>797</v>
      </c>
      <c r="B1412" t="s">
        <v>957</v>
      </c>
      <c r="C1412" t="s">
        <v>644</v>
      </c>
      <c r="D1412" s="2">
        <v>45907</v>
      </c>
      <c r="E1412" t="s">
        <v>247</v>
      </c>
      <c r="F1412" t="str">
        <f>VLOOKUP($C1412,Product_Dim!$A$2:$D$101,3,FALSE)</f>
        <v>Lucero LLC</v>
      </c>
      <c r="G1412" t="str">
        <f>VLOOKUP($C1412,Product_Dim!$A$2:$D$101,2,FALSE)</f>
        <v>Electronics</v>
      </c>
      <c r="H1412">
        <v>4</v>
      </c>
      <c r="I1412">
        <v>925.19</v>
      </c>
      <c r="J1412">
        <v>0.19</v>
      </c>
      <c r="K1412" s="3">
        <v>2997.615600000001</v>
      </c>
      <c r="L1412" t="s">
        <v>854</v>
      </c>
      <c r="M1412" t="str">
        <f>VLOOKUP($E1412,Customer_Dim!$A$2:$F$501,3,FALSE)</f>
        <v>Female</v>
      </c>
      <c r="N1412" t="str">
        <f>VLOOKUP($E1412,Customer_Dim!$A$2:$F$501,5,FALSE)</f>
        <v>USA</v>
      </c>
      <c r="O1412" t="str">
        <f>VLOOKUP($E1412,Customer_Dim!$A$2:$F$501,6,FALSE)</f>
        <v>Silver</v>
      </c>
      <c r="P1412" t="str">
        <f>VLOOKUP($A1412,Store_Dim!$A$2:$F$21,3,FALSE)</f>
        <v>SouthPort Sharon</v>
      </c>
    </row>
    <row r="1413" spans="1:16" x14ac:dyDescent="0.25">
      <c r="A1413" t="s">
        <v>797</v>
      </c>
      <c r="B1413" t="s">
        <v>1236</v>
      </c>
      <c r="C1413" t="s">
        <v>644</v>
      </c>
      <c r="D1413" s="2">
        <v>45322</v>
      </c>
      <c r="E1413" t="s">
        <v>273</v>
      </c>
      <c r="F1413" t="str">
        <f>VLOOKUP($C1413,Product_Dim!$A$2:$D$101,3,FALSE)</f>
        <v>Lucero LLC</v>
      </c>
      <c r="G1413" t="str">
        <f>VLOOKUP($C1413,Product_Dim!$A$2:$D$101,2,FALSE)</f>
        <v>Electronics</v>
      </c>
      <c r="H1413">
        <v>2</v>
      </c>
      <c r="I1413">
        <v>56.91</v>
      </c>
      <c r="J1413">
        <v>0.08</v>
      </c>
      <c r="K1413" s="3">
        <v>104.7144</v>
      </c>
      <c r="L1413" t="s">
        <v>857</v>
      </c>
      <c r="M1413" t="str">
        <f>VLOOKUP($E1413,Customer_Dim!$A$2:$F$501,3,FALSE)</f>
        <v>Male</v>
      </c>
      <c r="N1413" t="str">
        <f>VLOOKUP($E1413,Customer_Dim!$A$2:$F$501,5,FALSE)</f>
        <v>USA</v>
      </c>
      <c r="O1413" t="str">
        <f>VLOOKUP($E1413,Customer_Dim!$A$2:$F$501,6,FALSE)</f>
        <v>Platinum</v>
      </c>
      <c r="P1413" t="str">
        <f>VLOOKUP($A1413,Store_Dim!$A$2:$F$21,3,FALSE)</f>
        <v>SouthPort Sharon</v>
      </c>
    </row>
    <row r="1414" spans="1:16" x14ac:dyDescent="0.25">
      <c r="A1414" t="s">
        <v>797</v>
      </c>
      <c r="B1414" t="s">
        <v>2162</v>
      </c>
      <c r="C1414" t="s">
        <v>644</v>
      </c>
      <c r="D1414" s="2">
        <v>45902</v>
      </c>
      <c r="E1414" t="s">
        <v>470</v>
      </c>
      <c r="F1414" t="str">
        <f>VLOOKUP($C1414,Product_Dim!$A$2:$D$101,3,FALSE)</f>
        <v>Lucero LLC</v>
      </c>
      <c r="G1414" t="str">
        <f>VLOOKUP($C1414,Product_Dim!$A$2:$D$101,2,FALSE)</f>
        <v>Electronics</v>
      </c>
      <c r="H1414">
        <v>2</v>
      </c>
      <c r="I1414">
        <v>511.7</v>
      </c>
      <c r="J1414">
        <v>0.12</v>
      </c>
      <c r="K1414" s="3">
        <v>900.59199999999998</v>
      </c>
      <c r="L1414" t="s">
        <v>857</v>
      </c>
      <c r="M1414" t="str">
        <f>VLOOKUP($E1414,Customer_Dim!$A$2:$F$501,3,FALSE)</f>
        <v>Male</v>
      </c>
      <c r="N1414" t="str">
        <f>VLOOKUP($E1414,Customer_Dim!$A$2:$F$501,5,FALSE)</f>
        <v>USA</v>
      </c>
      <c r="O1414" t="str">
        <f>VLOOKUP($E1414,Customer_Dim!$A$2:$F$501,6,FALSE)</f>
        <v>Bronze</v>
      </c>
      <c r="P1414" t="str">
        <f>VLOOKUP($A1414,Store_Dim!$A$2:$F$21,3,FALSE)</f>
        <v>SouthPort Sharon</v>
      </c>
    </row>
    <row r="1415" spans="1:16" hidden="1" x14ac:dyDescent="0.25">
      <c r="A1415" t="s">
        <v>797</v>
      </c>
      <c r="B1415" t="s">
        <v>2264</v>
      </c>
      <c r="C1415" t="s">
        <v>646</v>
      </c>
      <c r="D1415" s="2">
        <v>45760</v>
      </c>
      <c r="E1415" t="s">
        <v>208</v>
      </c>
      <c r="F1415" t="str">
        <f>VLOOKUP($C1415,Product_Dim!$A$2:$D$101,3,FALSE)</f>
        <v>Jones LLC</v>
      </c>
      <c r="G1415" t="str">
        <f>VLOOKUP($C1415,Product_Dim!$A$2:$D$101,2,FALSE)</f>
        <v>Home</v>
      </c>
      <c r="H1415">
        <v>2</v>
      </c>
      <c r="I1415">
        <v>326.85000000000002</v>
      </c>
      <c r="J1415">
        <v>0.17</v>
      </c>
      <c r="K1415" s="3">
        <v>542.57100000000003</v>
      </c>
      <c r="L1415" t="s">
        <v>857</v>
      </c>
      <c r="M1415" t="str">
        <f>VLOOKUP($E1415,Customer_Dim!$A$2:$F$501,3,FALSE)</f>
        <v>Female</v>
      </c>
      <c r="N1415" t="str">
        <f>VLOOKUP($E1415,Customer_Dim!$A$2:$F$501,5,FALSE)</f>
        <v>USA</v>
      </c>
      <c r="O1415" t="str">
        <f>VLOOKUP($E1415,Customer_Dim!$A$2:$F$501,6,FALSE)</f>
        <v>Bronze</v>
      </c>
      <c r="P1415" t="str">
        <f>VLOOKUP($A1415,Store_Dim!$A$2:$F$21,3,FALSE)</f>
        <v>SouthPort Sharon</v>
      </c>
    </row>
    <row r="1416" spans="1:16" hidden="1" x14ac:dyDescent="0.25">
      <c r="A1416" t="s">
        <v>797</v>
      </c>
      <c r="B1416" t="s">
        <v>2443</v>
      </c>
      <c r="C1416" t="s">
        <v>648</v>
      </c>
      <c r="D1416" s="2">
        <v>45235</v>
      </c>
      <c r="E1416" t="s">
        <v>73</v>
      </c>
      <c r="F1416" t="str">
        <f>VLOOKUP($C1416,Product_Dim!$A$2:$D$101,3,FALSE)</f>
        <v>Smith-Mills</v>
      </c>
      <c r="G1416" t="str">
        <f>VLOOKUP($C1416,Product_Dim!$A$2:$D$101,2,FALSE)</f>
        <v>Clothing</v>
      </c>
      <c r="H1416">
        <v>3</v>
      </c>
      <c r="I1416">
        <v>811.45</v>
      </c>
      <c r="J1416">
        <v>0.26</v>
      </c>
      <c r="K1416" s="3">
        <v>1801.4190000000001</v>
      </c>
      <c r="L1416" t="s">
        <v>852</v>
      </c>
      <c r="M1416" t="str">
        <f>VLOOKUP($E1416,Customer_Dim!$A$2:$F$501,3,FALSE)</f>
        <v>Female</v>
      </c>
      <c r="N1416" t="str">
        <f>VLOOKUP($E1416,Customer_Dim!$A$2:$F$501,5,FALSE)</f>
        <v>USA</v>
      </c>
      <c r="O1416" t="str">
        <f>VLOOKUP($E1416,Customer_Dim!$A$2:$F$501,6,FALSE)</f>
        <v>Platinum</v>
      </c>
      <c r="P1416" t="str">
        <f>VLOOKUP($A1416,Store_Dim!$A$2:$F$21,3,FALSE)</f>
        <v>SouthPort Sharon</v>
      </c>
    </row>
    <row r="1417" spans="1:16" hidden="1" x14ac:dyDescent="0.25">
      <c r="A1417" t="s">
        <v>797</v>
      </c>
      <c r="B1417" t="s">
        <v>1186</v>
      </c>
      <c r="C1417" t="s">
        <v>648</v>
      </c>
      <c r="D1417" s="2">
        <v>45815</v>
      </c>
      <c r="E1417" t="s">
        <v>197</v>
      </c>
      <c r="F1417" t="str">
        <f>VLOOKUP($C1417,Product_Dim!$A$2:$D$101,3,FALSE)</f>
        <v>Smith-Mills</v>
      </c>
      <c r="G1417" t="str">
        <f>VLOOKUP($C1417,Product_Dim!$A$2:$D$101,2,FALSE)</f>
        <v>Clothing</v>
      </c>
      <c r="H1417">
        <v>3</v>
      </c>
      <c r="I1417">
        <v>399.42</v>
      </c>
      <c r="J1417">
        <v>0.02</v>
      </c>
      <c r="K1417" s="3">
        <v>1174.2947999999999</v>
      </c>
      <c r="L1417" t="s">
        <v>852</v>
      </c>
      <c r="M1417" t="str">
        <f>VLOOKUP($E1417,Customer_Dim!$A$2:$F$501,3,FALSE)</f>
        <v>Female</v>
      </c>
      <c r="N1417" t="str">
        <f>VLOOKUP($E1417,Customer_Dim!$A$2:$F$501,5,FALSE)</f>
        <v>USA</v>
      </c>
      <c r="O1417" t="str">
        <f>VLOOKUP($E1417,Customer_Dim!$A$2:$F$501,6,FALSE)</f>
        <v>Bronze</v>
      </c>
      <c r="P1417" t="str">
        <f>VLOOKUP($A1417,Store_Dim!$A$2:$F$21,3,FALSE)</f>
        <v>SouthPort Sharon</v>
      </c>
    </row>
    <row r="1418" spans="1:16" hidden="1" x14ac:dyDescent="0.25">
      <c r="A1418" t="s">
        <v>797</v>
      </c>
      <c r="B1418" t="s">
        <v>872</v>
      </c>
      <c r="C1418" t="s">
        <v>654</v>
      </c>
      <c r="D1418" s="2">
        <v>45517</v>
      </c>
      <c r="E1418" t="s">
        <v>155</v>
      </c>
      <c r="F1418" t="str">
        <f>VLOOKUP($C1418,Product_Dim!$A$2:$D$101,3,FALSE)</f>
        <v>Cummings and Sons</v>
      </c>
      <c r="G1418" t="str">
        <f>VLOOKUP($C1418,Product_Dim!$A$2:$D$101,2,FALSE)</f>
        <v>Electronics</v>
      </c>
      <c r="H1418">
        <v>2</v>
      </c>
      <c r="I1418">
        <v>559.23</v>
      </c>
      <c r="J1418">
        <v>0.25</v>
      </c>
      <c r="K1418" s="3">
        <v>838.84500000000003</v>
      </c>
      <c r="L1418" t="s">
        <v>857</v>
      </c>
      <c r="M1418" t="str">
        <f>VLOOKUP($E1418,Customer_Dim!$A$2:$F$501,3,FALSE)</f>
        <v>Female</v>
      </c>
      <c r="N1418" t="str">
        <f>VLOOKUP($E1418,Customer_Dim!$A$2:$F$501,5,FALSE)</f>
        <v>USA</v>
      </c>
      <c r="O1418" t="str">
        <f>VLOOKUP($E1418,Customer_Dim!$A$2:$F$501,6,FALSE)</f>
        <v>Gold</v>
      </c>
      <c r="P1418" t="str">
        <f>VLOOKUP($A1418,Store_Dim!$A$2:$F$21,3,FALSE)</f>
        <v>SouthPort Sharon</v>
      </c>
    </row>
    <row r="1419" spans="1:16" hidden="1" x14ac:dyDescent="0.25">
      <c r="A1419" t="s">
        <v>797</v>
      </c>
      <c r="B1419" t="s">
        <v>2059</v>
      </c>
      <c r="C1419" t="s">
        <v>654</v>
      </c>
      <c r="D1419" s="2">
        <v>45566</v>
      </c>
      <c r="E1419" t="s">
        <v>467</v>
      </c>
      <c r="F1419" t="str">
        <f>VLOOKUP($C1419,Product_Dim!$A$2:$D$101,3,FALSE)</f>
        <v>Cummings and Sons</v>
      </c>
      <c r="G1419" t="str">
        <f>VLOOKUP($C1419,Product_Dim!$A$2:$D$101,2,FALSE)</f>
        <v>Electronics</v>
      </c>
      <c r="H1419">
        <v>4</v>
      </c>
      <c r="I1419">
        <v>983.38</v>
      </c>
      <c r="J1419">
        <v>0.25</v>
      </c>
      <c r="K1419" s="3">
        <v>2950.14</v>
      </c>
      <c r="L1419" t="s">
        <v>857</v>
      </c>
      <c r="M1419" t="str">
        <f>VLOOKUP($E1419,Customer_Dim!$A$2:$F$501,3,FALSE)</f>
        <v>Female</v>
      </c>
      <c r="N1419" t="str">
        <f>VLOOKUP($E1419,Customer_Dim!$A$2:$F$501,5,FALSE)</f>
        <v>USA</v>
      </c>
      <c r="O1419" t="str">
        <f>VLOOKUP($E1419,Customer_Dim!$A$2:$F$501,6,FALSE)</f>
        <v>Platinum</v>
      </c>
      <c r="P1419" t="str">
        <f>VLOOKUP($A1419,Store_Dim!$A$2:$F$21,3,FALSE)</f>
        <v>SouthPort Sharon</v>
      </c>
    </row>
    <row r="1420" spans="1:16" hidden="1" x14ac:dyDescent="0.25">
      <c r="A1420" t="s">
        <v>797</v>
      </c>
      <c r="B1420" t="s">
        <v>2231</v>
      </c>
      <c r="C1420" t="s">
        <v>654</v>
      </c>
      <c r="D1420" s="2">
        <v>45667</v>
      </c>
      <c r="E1420" t="s">
        <v>472</v>
      </c>
      <c r="F1420" t="str">
        <f>VLOOKUP($C1420,Product_Dim!$A$2:$D$101,3,FALSE)</f>
        <v>Cummings and Sons</v>
      </c>
      <c r="G1420" t="str">
        <f>VLOOKUP($C1420,Product_Dim!$A$2:$D$101,2,FALSE)</f>
        <v>Electronics</v>
      </c>
      <c r="H1420">
        <v>4</v>
      </c>
      <c r="I1420">
        <v>995.4</v>
      </c>
      <c r="J1420">
        <v>0.27</v>
      </c>
      <c r="K1420" s="3">
        <v>2906.5680000000002</v>
      </c>
      <c r="L1420" t="s">
        <v>852</v>
      </c>
      <c r="M1420" t="str">
        <f>VLOOKUP($E1420,Customer_Dim!$A$2:$F$501,3,FALSE)</f>
        <v>Female</v>
      </c>
      <c r="N1420" t="str">
        <f>VLOOKUP($E1420,Customer_Dim!$A$2:$F$501,5,FALSE)</f>
        <v>USA</v>
      </c>
      <c r="O1420" t="str">
        <f>VLOOKUP($E1420,Customer_Dim!$A$2:$F$501,6,FALSE)</f>
        <v>Gold</v>
      </c>
      <c r="P1420" t="str">
        <f>VLOOKUP($A1420,Store_Dim!$A$2:$F$21,3,FALSE)</f>
        <v>SouthPort Sharon</v>
      </c>
    </row>
    <row r="1421" spans="1:16" hidden="1" x14ac:dyDescent="0.25">
      <c r="A1421" t="s">
        <v>797</v>
      </c>
      <c r="B1421" t="s">
        <v>1297</v>
      </c>
      <c r="C1421" t="s">
        <v>656</v>
      </c>
      <c r="D1421" s="2">
        <v>45626</v>
      </c>
      <c r="E1421" t="s">
        <v>223</v>
      </c>
      <c r="F1421" t="str">
        <f>VLOOKUP($C1421,Product_Dim!$A$2:$D$101,3,FALSE)</f>
        <v>Taylor-Hart</v>
      </c>
      <c r="G1421" t="str">
        <f>VLOOKUP($C1421,Product_Dim!$A$2:$D$101,2,FALSE)</f>
        <v>Electronics</v>
      </c>
      <c r="H1421">
        <v>4</v>
      </c>
      <c r="I1421">
        <v>753.49</v>
      </c>
      <c r="J1421">
        <v>0.26</v>
      </c>
      <c r="K1421" s="3">
        <v>2230.3303999999998</v>
      </c>
      <c r="L1421" t="s">
        <v>857</v>
      </c>
      <c r="M1421" t="str">
        <f>VLOOKUP($E1421,Customer_Dim!$A$2:$F$501,3,FALSE)</f>
        <v>Female</v>
      </c>
      <c r="N1421" t="str">
        <f>VLOOKUP($E1421,Customer_Dim!$A$2:$F$501,5,FALSE)</f>
        <v>USA</v>
      </c>
      <c r="O1421" t="str">
        <f>VLOOKUP($E1421,Customer_Dim!$A$2:$F$501,6,FALSE)</f>
        <v>Gold</v>
      </c>
      <c r="P1421" t="str">
        <f>VLOOKUP($A1421,Store_Dim!$A$2:$F$21,3,FALSE)</f>
        <v>SouthPort Sharon</v>
      </c>
    </row>
    <row r="1422" spans="1:16" hidden="1" x14ac:dyDescent="0.25">
      <c r="A1422" t="s">
        <v>797</v>
      </c>
      <c r="B1422" t="s">
        <v>1710</v>
      </c>
      <c r="C1422" t="s">
        <v>660</v>
      </c>
      <c r="D1422" s="2">
        <v>45874</v>
      </c>
      <c r="E1422" t="s">
        <v>482</v>
      </c>
      <c r="F1422" t="str">
        <f>VLOOKUP($C1422,Product_Dim!$A$2:$D$101,3,FALSE)</f>
        <v>Holmes LLC</v>
      </c>
      <c r="G1422" t="str">
        <f>VLOOKUP($C1422,Product_Dim!$A$2:$D$101,2,FALSE)</f>
        <v>Electronics</v>
      </c>
      <c r="H1422">
        <v>1</v>
      </c>
      <c r="I1422">
        <v>913.98</v>
      </c>
      <c r="J1422">
        <v>0.27</v>
      </c>
      <c r="K1422" s="3">
        <v>667.20539999999994</v>
      </c>
      <c r="L1422" t="s">
        <v>854</v>
      </c>
      <c r="M1422" t="str">
        <f>VLOOKUP($E1422,Customer_Dim!$A$2:$F$501,3,FALSE)</f>
        <v>Female</v>
      </c>
      <c r="N1422" t="str">
        <f>VLOOKUP($E1422,Customer_Dim!$A$2:$F$501,5,FALSE)</f>
        <v>USA</v>
      </c>
      <c r="O1422" t="str">
        <f>VLOOKUP($E1422,Customer_Dim!$A$2:$F$501,6,FALSE)</f>
        <v>Silver</v>
      </c>
      <c r="P1422" t="str">
        <f>VLOOKUP($A1422,Store_Dim!$A$2:$F$21,3,FALSE)</f>
        <v>SouthPort Sharon</v>
      </c>
    </row>
    <row r="1423" spans="1:16" hidden="1" x14ac:dyDescent="0.25">
      <c r="A1423" t="s">
        <v>797</v>
      </c>
      <c r="B1423" t="s">
        <v>1566</v>
      </c>
      <c r="C1423" t="s">
        <v>662</v>
      </c>
      <c r="D1423" s="2">
        <v>45229</v>
      </c>
      <c r="E1423" t="s">
        <v>97</v>
      </c>
      <c r="F1423" t="str">
        <f>VLOOKUP($C1423,Product_Dim!$A$2:$D$101,3,FALSE)</f>
        <v>Robinson Inc</v>
      </c>
      <c r="G1423" t="str">
        <f>VLOOKUP($C1423,Product_Dim!$A$2:$D$101,2,FALSE)</f>
        <v>Electronics</v>
      </c>
      <c r="H1423">
        <v>1</v>
      </c>
      <c r="I1423">
        <v>651.30999999999995</v>
      </c>
      <c r="J1423">
        <v>0.24</v>
      </c>
      <c r="K1423" s="3">
        <v>494.99560000000002</v>
      </c>
      <c r="L1423" t="s">
        <v>854</v>
      </c>
      <c r="M1423" t="str">
        <f>VLOOKUP($E1423,Customer_Dim!$A$2:$F$501,3,FALSE)</f>
        <v>Female</v>
      </c>
      <c r="N1423" t="str">
        <f>VLOOKUP($E1423,Customer_Dim!$A$2:$F$501,5,FALSE)</f>
        <v>USA</v>
      </c>
      <c r="O1423" t="str">
        <f>VLOOKUP($E1423,Customer_Dim!$A$2:$F$501,6,FALSE)</f>
        <v>Gold</v>
      </c>
      <c r="P1423" t="str">
        <f>VLOOKUP($A1423,Store_Dim!$A$2:$F$21,3,FALSE)</f>
        <v>SouthPort Sharon</v>
      </c>
    </row>
    <row r="1424" spans="1:16" hidden="1" x14ac:dyDescent="0.25">
      <c r="A1424" t="s">
        <v>797</v>
      </c>
      <c r="B1424" t="s">
        <v>2720</v>
      </c>
      <c r="C1424" t="s">
        <v>662</v>
      </c>
      <c r="D1424" s="2">
        <v>45831</v>
      </c>
      <c r="E1424" t="s">
        <v>154</v>
      </c>
      <c r="F1424" t="str">
        <f>VLOOKUP($C1424,Product_Dim!$A$2:$D$101,3,FALSE)</f>
        <v>Robinson Inc</v>
      </c>
      <c r="G1424" t="str">
        <f>VLOOKUP($C1424,Product_Dim!$A$2:$D$101,2,FALSE)</f>
        <v>Electronics</v>
      </c>
      <c r="H1424">
        <v>3</v>
      </c>
      <c r="I1424">
        <v>523.66</v>
      </c>
      <c r="J1424">
        <v>0.27</v>
      </c>
      <c r="K1424" s="3">
        <v>1146.8154</v>
      </c>
      <c r="L1424" t="s">
        <v>854</v>
      </c>
      <c r="M1424" t="str">
        <f>VLOOKUP($E1424,Customer_Dim!$A$2:$F$501,3,FALSE)</f>
        <v>Female</v>
      </c>
      <c r="N1424" t="str">
        <f>VLOOKUP($E1424,Customer_Dim!$A$2:$F$501,5,FALSE)</f>
        <v>USA</v>
      </c>
      <c r="O1424" t="str">
        <f>VLOOKUP($E1424,Customer_Dim!$A$2:$F$501,6,FALSE)</f>
        <v>Gold</v>
      </c>
      <c r="P1424" t="str">
        <f>VLOOKUP($A1424,Store_Dim!$A$2:$F$21,3,FALSE)</f>
        <v>SouthPort Sharon</v>
      </c>
    </row>
    <row r="1425" spans="1:16" hidden="1" x14ac:dyDescent="0.25">
      <c r="A1425" t="s">
        <v>797</v>
      </c>
      <c r="B1425" t="s">
        <v>1365</v>
      </c>
      <c r="C1425" t="s">
        <v>662</v>
      </c>
      <c r="D1425" s="2">
        <v>45676</v>
      </c>
      <c r="E1425" t="s">
        <v>419</v>
      </c>
      <c r="F1425" t="str">
        <f>VLOOKUP($C1425,Product_Dim!$A$2:$D$101,3,FALSE)</f>
        <v>Robinson Inc</v>
      </c>
      <c r="G1425" t="str">
        <f>VLOOKUP($C1425,Product_Dim!$A$2:$D$101,2,FALSE)</f>
        <v>Electronics</v>
      </c>
      <c r="H1425">
        <v>3</v>
      </c>
      <c r="I1425">
        <v>307.48</v>
      </c>
      <c r="J1425">
        <v>0.24</v>
      </c>
      <c r="K1425" s="3">
        <v>701.0544000000001</v>
      </c>
      <c r="L1425" t="s">
        <v>852</v>
      </c>
      <c r="M1425" t="str">
        <f>VLOOKUP($E1425,Customer_Dim!$A$2:$F$501,3,FALSE)</f>
        <v>Female</v>
      </c>
      <c r="N1425" t="str">
        <f>VLOOKUP($E1425,Customer_Dim!$A$2:$F$501,5,FALSE)</f>
        <v>USA</v>
      </c>
      <c r="O1425" t="str">
        <f>VLOOKUP($E1425,Customer_Dim!$A$2:$F$501,6,FALSE)</f>
        <v>Silver</v>
      </c>
      <c r="P1425" t="str">
        <f>VLOOKUP($A1425,Store_Dim!$A$2:$F$21,3,FALSE)</f>
        <v>SouthPort Sharon</v>
      </c>
    </row>
    <row r="1426" spans="1:16" x14ac:dyDescent="0.25">
      <c r="A1426" t="s">
        <v>797</v>
      </c>
      <c r="B1426" t="s">
        <v>1885</v>
      </c>
      <c r="C1426" t="s">
        <v>664</v>
      </c>
      <c r="D1426" s="2">
        <v>45719</v>
      </c>
      <c r="E1426" t="s">
        <v>341</v>
      </c>
      <c r="F1426" t="str">
        <f>VLOOKUP($C1426,Product_Dim!$A$2:$D$101,3,FALSE)</f>
        <v>Cox Inc</v>
      </c>
      <c r="G1426" t="str">
        <f>VLOOKUP($C1426,Product_Dim!$A$2:$D$101,2,FALSE)</f>
        <v>Sports</v>
      </c>
      <c r="H1426">
        <v>1</v>
      </c>
      <c r="I1426">
        <v>34.51</v>
      </c>
      <c r="J1426">
        <v>0.04</v>
      </c>
      <c r="K1426" s="3">
        <v>33.129600000000003</v>
      </c>
      <c r="L1426" t="s">
        <v>857</v>
      </c>
      <c r="M1426" t="str">
        <f>VLOOKUP($E1426,Customer_Dim!$A$2:$F$501,3,FALSE)</f>
        <v>Male</v>
      </c>
      <c r="N1426" t="str">
        <f>VLOOKUP($E1426,Customer_Dim!$A$2:$F$501,5,FALSE)</f>
        <v>USA</v>
      </c>
      <c r="O1426" t="str">
        <f>VLOOKUP($E1426,Customer_Dim!$A$2:$F$501,6,FALSE)</f>
        <v>Silver</v>
      </c>
      <c r="P1426" t="str">
        <f>VLOOKUP($A1426,Store_Dim!$A$2:$F$21,3,FALSE)</f>
        <v>SouthPort Sharon</v>
      </c>
    </row>
    <row r="1427" spans="1:16" hidden="1" x14ac:dyDescent="0.25">
      <c r="A1427" t="s">
        <v>797</v>
      </c>
      <c r="B1427" t="s">
        <v>1873</v>
      </c>
      <c r="C1427" t="s">
        <v>666</v>
      </c>
      <c r="D1427" s="2">
        <v>45733</v>
      </c>
      <c r="E1427" t="s">
        <v>420</v>
      </c>
      <c r="F1427" t="str">
        <f>VLOOKUP($C1427,Product_Dim!$A$2:$D$101,3,FALSE)</f>
        <v>Bridges, Banks and Cummings</v>
      </c>
      <c r="G1427" t="str">
        <f>VLOOKUP($C1427,Product_Dim!$A$2:$D$101,2,FALSE)</f>
        <v>Sports</v>
      </c>
      <c r="H1427">
        <v>2</v>
      </c>
      <c r="I1427">
        <v>825.04</v>
      </c>
      <c r="J1427">
        <v>0.2</v>
      </c>
      <c r="K1427" s="3">
        <v>1320.0640000000001</v>
      </c>
      <c r="L1427" t="s">
        <v>852</v>
      </c>
      <c r="M1427" t="str">
        <f>VLOOKUP($E1427,Customer_Dim!$A$2:$F$501,3,FALSE)</f>
        <v>Female</v>
      </c>
      <c r="N1427" t="str">
        <f>VLOOKUP($E1427,Customer_Dim!$A$2:$F$501,5,FALSE)</f>
        <v>USA</v>
      </c>
      <c r="O1427" t="str">
        <f>VLOOKUP($E1427,Customer_Dim!$A$2:$F$501,6,FALSE)</f>
        <v>Platinum</v>
      </c>
      <c r="P1427" t="str">
        <f>VLOOKUP($A1427,Store_Dim!$A$2:$F$21,3,FALSE)</f>
        <v>SouthPort Sharon</v>
      </c>
    </row>
    <row r="1428" spans="1:16" x14ac:dyDescent="0.25">
      <c r="A1428" t="s">
        <v>797</v>
      </c>
      <c r="B1428" t="s">
        <v>971</v>
      </c>
      <c r="C1428" t="s">
        <v>668</v>
      </c>
      <c r="D1428" s="2">
        <v>45554</v>
      </c>
      <c r="E1428" t="s">
        <v>118</v>
      </c>
      <c r="F1428" t="str">
        <f>VLOOKUP($C1428,Product_Dim!$A$2:$D$101,3,FALSE)</f>
        <v>Kelly, Smith and Perez</v>
      </c>
      <c r="G1428" t="str">
        <f>VLOOKUP($C1428,Product_Dim!$A$2:$D$101,2,FALSE)</f>
        <v>Clothing</v>
      </c>
      <c r="H1428">
        <v>3</v>
      </c>
      <c r="I1428">
        <v>479.63</v>
      </c>
      <c r="J1428">
        <v>0.3</v>
      </c>
      <c r="K1428" s="3">
        <v>1007.223</v>
      </c>
      <c r="L1428" t="s">
        <v>854</v>
      </c>
      <c r="M1428" t="str">
        <f>VLOOKUP($E1428,Customer_Dim!$A$2:$F$501,3,FALSE)</f>
        <v>Male</v>
      </c>
      <c r="N1428" t="str">
        <f>VLOOKUP($E1428,Customer_Dim!$A$2:$F$501,5,FALSE)</f>
        <v>USA</v>
      </c>
      <c r="O1428" t="str">
        <f>VLOOKUP($E1428,Customer_Dim!$A$2:$F$501,6,FALSE)</f>
        <v>Silver</v>
      </c>
      <c r="P1428" t="str">
        <f>VLOOKUP($A1428,Store_Dim!$A$2:$F$21,3,FALSE)</f>
        <v>SouthPort Sharon</v>
      </c>
    </row>
    <row r="1429" spans="1:16" hidden="1" x14ac:dyDescent="0.25">
      <c r="A1429" t="s">
        <v>797</v>
      </c>
      <c r="B1429" t="s">
        <v>2318</v>
      </c>
      <c r="C1429" t="s">
        <v>668</v>
      </c>
      <c r="D1429" s="2">
        <v>45796</v>
      </c>
      <c r="E1429" t="s">
        <v>438</v>
      </c>
      <c r="F1429" t="str">
        <f>VLOOKUP($C1429,Product_Dim!$A$2:$D$101,3,FALSE)</f>
        <v>Kelly, Smith and Perez</v>
      </c>
      <c r="G1429" t="str">
        <f>VLOOKUP($C1429,Product_Dim!$A$2:$D$101,2,FALSE)</f>
        <v>Clothing</v>
      </c>
      <c r="H1429">
        <v>1</v>
      </c>
      <c r="I1429">
        <v>695.26</v>
      </c>
      <c r="J1429">
        <v>0.23</v>
      </c>
      <c r="K1429" s="3">
        <v>535.35019999999997</v>
      </c>
      <c r="L1429" t="s">
        <v>854</v>
      </c>
      <c r="M1429" t="str">
        <f>VLOOKUP($E1429,Customer_Dim!$A$2:$F$501,3,FALSE)</f>
        <v>Female</v>
      </c>
      <c r="N1429" t="str">
        <f>VLOOKUP($E1429,Customer_Dim!$A$2:$F$501,5,FALSE)</f>
        <v>USA</v>
      </c>
      <c r="O1429" t="str">
        <f>VLOOKUP($E1429,Customer_Dim!$A$2:$F$501,6,FALSE)</f>
        <v>Platinum</v>
      </c>
      <c r="P1429" t="str">
        <f>VLOOKUP($A1429,Store_Dim!$A$2:$F$21,3,FALSE)</f>
        <v>SouthPort Sharon</v>
      </c>
    </row>
    <row r="1430" spans="1:16" x14ac:dyDescent="0.25">
      <c r="A1430" t="s">
        <v>797</v>
      </c>
      <c r="B1430" t="s">
        <v>2829</v>
      </c>
      <c r="C1430" t="s">
        <v>583</v>
      </c>
      <c r="D1430" s="2">
        <v>45390</v>
      </c>
      <c r="E1430" t="s">
        <v>367</v>
      </c>
      <c r="F1430" t="str">
        <f>VLOOKUP($C1430,Product_Dim!$A$2:$D$101,3,FALSE)</f>
        <v>Baldwin, Garza and Gonzalez</v>
      </c>
      <c r="G1430" t="str">
        <f>VLOOKUP($C1430,Product_Dim!$A$2:$D$101,2,FALSE)</f>
        <v>Clothing</v>
      </c>
      <c r="H1430">
        <v>2</v>
      </c>
      <c r="I1430">
        <v>227.95</v>
      </c>
      <c r="J1430">
        <v>0.24</v>
      </c>
      <c r="K1430" s="3">
        <v>346.48399999999998</v>
      </c>
      <c r="L1430" t="s">
        <v>857</v>
      </c>
      <c r="M1430" t="str">
        <f>VLOOKUP($E1430,Customer_Dim!$A$2:$F$501,3,FALSE)</f>
        <v>Male</v>
      </c>
      <c r="N1430" t="str">
        <f>VLOOKUP($E1430,Customer_Dim!$A$2:$F$501,5,FALSE)</f>
        <v>USA</v>
      </c>
      <c r="O1430" t="str">
        <f>VLOOKUP($E1430,Customer_Dim!$A$2:$F$501,6,FALSE)</f>
        <v>Silver</v>
      </c>
      <c r="P1430" t="str">
        <f>VLOOKUP($A1430,Store_Dim!$A$2:$F$21,3,FALSE)</f>
        <v>SouthPort Sharon</v>
      </c>
    </row>
    <row r="1431" spans="1:16" x14ac:dyDescent="0.25">
      <c r="A1431" t="s">
        <v>797</v>
      </c>
      <c r="B1431" t="s">
        <v>2707</v>
      </c>
      <c r="C1431" t="s">
        <v>583</v>
      </c>
      <c r="D1431" s="2">
        <v>45740</v>
      </c>
      <c r="E1431" t="s">
        <v>372</v>
      </c>
      <c r="F1431" t="str">
        <f>VLOOKUP($C1431,Product_Dim!$A$2:$D$101,3,FALSE)</f>
        <v>Baldwin, Garza and Gonzalez</v>
      </c>
      <c r="G1431" t="str">
        <f>VLOOKUP($C1431,Product_Dim!$A$2:$D$101,2,FALSE)</f>
        <v>Clothing</v>
      </c>
      <c r="H1431">
        <v>1</v>
      </c>
      <c r="I1431">
        <v>47.47</v>
      </c>
      <c r="J1431">
        <v>0.28000000000000003</v>
      </c>
      <c r="K1431" s="3">
        <v>34.178400000000003</v>
      </c>
      <c r="L1431" t="s">
        <v>852</v>
      </c>
      <c r="M1431" t="str">
        <f>VLOOKUP($E1431,Customer_Dim!$A$2:$F$501,3,FALSE)</f>
        <v>Male</v>
      </c>
      <c r="N1431" t="str">
        <f>VLOOKUP($E1431,Customer_Dim!$A$2:$F$501,5,FALSE)</f>
        <v>USA</v>
      </c>
      <c r="O1431" t="str">
        <f>VLOOKUP($E1431,Customer_Dim!$A$2:$F$501,6,FALSE)</f>
        <v>Platinum</v>
      </c>
      <c r="P1431" t="str">
        <f>VLOOKUP($A1431,Store_Dim!$A$2:$F$21,3,FALSE)</f>
        <v>SouthPort Sharon</v>
      </c>
    </row>
    <row r="1432" spans="1:16" hidden="1" x14ac:dyDescent="0.25">
      <c r="A1432" t="s">
        <v>797</v>
      </c>
      <c r="B1432" t="s">
        <v>2000</v>
      </c>
      <c r="C1432" t="s">
        <v>676</v>
      </c>
      <c r="D1432" s="2">
        <v>45508</v>
      </c>
      <c r="E1432" t="s">
        <v>97</v>
      </c>
      <c r="F1432" t="str">
        <f>VLOOKUP($C1432,Product_Dim!$A$2:$D$101,3,FALSE)</f>
        <v>Smith-King</v>
      </c>
      <c r="G1432" t="str">
        <f>VLOOKUP($C1432,Product_Dim!$A$2:$D$101,2,FALSE)</f>
        <v>Sports</v>
      </c>
      <c r="H1432">
        <v>4</v>
      </c>
      <c r="I1432">
        <v>594.89</v>
      </c>
      <c r="J1432">
        <v>0.3</v>
      </c>
      <c r="K1432" s="3">
        <v>1665.692</v>
      </c>
      <c r="L1432" t="s">
        <v>854</v>
      </c>
      <c r="M1432" t="str">
        <f>VLOOKUP($E1432,Customer_Dim!$A$2:$F$501,3,FALSE)</f>
        <v>Female</v>
      </c>
      <c r="N1432" t="str">
        <f>VLOOKUP($E1432,Customer_Dim!$A$2:$F$501,5,FALSE)</f>
        <v>USA</v>
      </c>
      <c r="O1432" t="str">
        <f>VLOOKUP($E1432,Customer_Dim!$A$2:$F$501,6,FALSE)</f>
        <v>Gold</v>
      </c>
      <c r="P1432" t="str">
        <f>VLOOKUP($A1432,Store_Dim!$A$2:$F$21,3,FALSE)</f>
        <v>SouthPort Sharon</v>
      </c>
    </row>
    <row r="1433" spans="1:16" hidden="1" x14ac:dyDescent="0.25">
      <c r="A1433" t="s">
        <v>797</v>
      </c>
      <c r="B1433" t="s">
        <v>2562</v>
      </c>
      <c r="C1433" t="s">
        <v>676</v>
      </c>
      <c r="D1433" s="2">
        <v>45715</v>
      </c>
      <c r="E1433" t="s">
        <v>97</v>
      </c>
      <c r="F1433" t="str">
        <f>VLOOKUP($C1433,Product_Dim!$A$2:$D$101,3,FALSE)</f>
        <v>Smith-King</v>
      </c>
      <c r="G1433" t="str">
        <f>VLOOKUP($C1433,Product_Dim!$A$2:$D$101,2,FALSE)</f>
        <v>Sports</v>
      </c>
      <c r="H1433">
        <v>3</v>
      </c>
      <c r="I1433">
        <v>766.47</v>
      </c>
      <c r="J1433">
        <v>0.18</v>
      </c>
      <c r="K1433" s="3">
        <v>1885.5162</v>
      </c>
      <c r="L1433" t="s">
        <v>852</v>
      </c>
      <c r="M1433" t="str">
        <f>VLOOKUP($E1433,Customer_Dim!$A$2:$F$501,3,FALSE)</f>
        <v>Female</v>
      </c>
      <c r="N1433" t="str">
        <f>VLOOKUP($E1433,Customer_Dim!$A$2:$F$501,5,FALSE)</f>
        <v>USA</v>
      </c>
      <c r="O1433" t="str">
        <f>VLOOKUP($E1433,Customer_Dim!$A$2:$F$501,6,FALSE)</f>
        <v>Gold</v>
      </c>
      <c r="P1433" t="str">
        <f>VLOOKUP($A1433,Store_Dim!$A$2:$F$21,3,FALSE)</f>
        <v>SouthPort Sharon</v>
      </c>
    </row>
    <row r="1434" spans="1:16" hidden="1" x14ac:dyDescent="0.25">
      <c r="A1434" t="s">
        <v>797</v>
      </c>
      <c r="B1434" t="s">
        <v>2525</v>
      </c>
      <c r="C1434" t="s">
        <v>676</v>
      </c>
      <c r="D1434" s="2">
        <v>45668</v>
      </c>
      <c r="E1434" t="s">
        <v>277</v>
      </c>
      <c r="F1434" t="str">
        <f>VLOOKUP($C1434,Product_Dim!$A$2:$D$101,3,FALSE)</f>
        <v>Smith-King</v>
      </c>
      <c r="G1434" t="str">
        <f>VLOOKUP($C1434,Product_Dim!$A$2:$D$101,2,FALSE)</f>
        <v>Sports</v>
      </c>
      <c r="H1434">
        <v>4</v>
      </c>
      <c r="I1434">
        <v>943.36</v>
      </c>
      <c r="J1434">
        <v>0.18</v>
      </c>
      <c r="K1434" s="3">
        <v>3094.2208000000001</v>
      </c>
      <c r="L1434" t="s">
        <v>854</v>
      </c>
      <c r="M1434" t="str">
        <f>VLOOKUP($E1434,Customer_Dim!$A$2:$F$501,3,FALSE)</f>
        <v>Female</v>
      </c>
      <c r="N1434" t="str">
        <f>VLOOKUP($E1434,Customer_Dim!$A$2:$F$501,5,FALSE)</f>
        <v>USA</v>
      </c>
      <c r="O1434" t="str">
        <f>VLOOKUP($E1434,Customer_Dim!$A$2:$F$501,6,FALSE)</f>
        <v>Platinum</v>
      </c>
      <c r="P1434" t="str">
        <f>VLOOKUP($A1434,Store_Dim!$A$2:$F$21,3,FALSE)</f>
        <v>SouthPort Sharon</v>
      </c>
    </row>
    <row r="1435" spans="1:16" hidden="1" x14ac:dyDescent="0.25">
      <c r="A1435" t="s">
        <v>797</v>
      </c>
      <c r="B1435" t="s">
        <v>1870</v>
      </c>
      <c r="C1435" t="s">
        <v>682</v>
      </c>
      <c r="D1435" s="2">
        <v>45461</v>
      </c>
      <c r="E1435" t="s">
        <v>204</v>
      </c>
      <c r="F1435" t="str">
        <f>VLOOKUP($C1435,Product_Dim!$A$2:$D$101,3,FALSE)</f>
        <v>Hamilton, Woods and Walker</v>
      </c>
      <c r="G1435" t="str">
        <f>VLOOKUP($C1435,Product_Dim!$A$2:$D$101,2,FALSE)</f>
        <v>Clothing</v>
      </c>
      <c r="H1435">
        <v>3</v>
      </c>
      <c r="I1435">
        <v>155.87</v>
      </c>
      <c r="J1435">
        <v>0.03</v>
      </c>
      <c r="K1435" s="3">
        <v>453.58170000000001</v>
      </c>
      <c r="L1435" t="s">
        <v>857</v>
      </c>
      <c r="M1435" t="str">
        <f>VLOOKUP($E1435,Customer_Dim!$A$2:$F$501,3,FALSE)</f>
        <v>Female</v>
      </c>
      <c r="N1435" t="str">
        <f>VLOOKUP($E1435,Customer_Dim!$A$2:$F$501,5,FALSE)</f>
        <v>USA</v>
      </c>
      <c r="O1435" t="str">
        <f>VLOOKUP($E1435,Customer_Dim!$A$2:$F$501,6,FALSE)</f>
        <v>Gold</v>
      </c>
      <c r="P1435" t="str">
        <f>VLOOKUP($A1435,Store_Dim!$A$2:$F$21,3,FALSE)</f>
        <v>SouthPort Sharon</v>
      </c>
    </row>
    <row r="1436" spans="1:16" hidden="1" x14ac:dyDescent="0.25">
      <c r="A1436" t="s">
        <v>797</v>
      </c>
      <c r="B1436" t="s">
        <v>2517</v>
      </c>
      <c r="C1436" t="s">
        <v>684</v>
      </c>
      <c r="D1436" s="2">
        <v>45440</v>
      </c>
      <c r="E1436" t="s">
        <v>53</v>
      </c>
      <c r="F1436" t="str">
        <f>VLOOKUP($C1436,Product_Dim!$A$2:$D$101,3,FALSE)</f>
        <v>Thompson-French</v>
      </c>
      <c r="G1436" t="str">
        <f>VLOOKUP($C1436,Product_Dim!$A$2:$D$101,2,FALSE)</f>
        <v>Sports</v>
      </c>
      <c r="H1436">
        <v>1</v>
      </c>
      <c r="I1436">
        <v>62.26</v>
      </c>
      <c r="J1436">
        <v>0.03</v>
      </c>
      <c r="K1436" s="3">
        <v>60.392200000000003</v>
      </c>
      <c r="L1436" t="s">
        <v>857</v>
      </c>
      <c r="M1436" t="str">
        <f>VLOOKUP($E1436,Customer_Dim!$A$2:$F$501,3,FALSE)</f>
        <v>Female</v>
      </c>
      <c r="N1436" t="str">
        <f>VLOOKUP($E1436,Customer_Dim!$A$2:$F$501,5,FALSE)</f>
        <v>USA</v>
      </c>
      <c r="O1436" t="str">
        <f>VLOOKUP($E1436,Customer_Dim!$A$2:$F$501,6,FALSE)</f>
        <v>Gold</v>
      </c>
      <c r="P1436" t="str">
        <f>VLOOKUP($A1436,Store_Dim!$A$2:$F$21,3,FALSE)</f>
        <v>SouthPort Sharon</v>
      </c>
    </row>
    <row r="1437" spans="1:16" hidden="1" x14ac:dyDescent="0.25">
      <c r="A1437" t="s">
        <v>797</v>
      </c>
      <c r="B1437" t="s">
        <v>860</v>
      </c>
      <c r="C1437" t="s">
        <v>688</v>
      </c>
      <c r="D1437" s="2">
        <v>45850</v>
      </c>
      <c r="E1437" t="s">
        <v>45</v>
      </c>
      <c r="F1437" t="str">
        <f>VLOOKUP($C1437,Product_Dim!$A$2:$D$101,3,FALSE)</f>
        <v>Hernandez, Kennedy and Porter</v>
      </c>
      <c r="G1437" t="str">
        <f>VLOOKUP($C1437,Product_Dim!$A$2:$D$101,2,FALSE)</f>
        <v>Home</v>
      </c>
      <c r="H1437">
        <v>2</v>
      </c>
      <c r="I1437">
        <v>785.31</v>
      </c>
      <c r="J1437">
        <v>0.15</v>
      </c>
      <c r="K1437" s="3">
        <v>1335.027</v>
      </c>
      <c r="L1437" t="s">
        <v>854</v>
      </c>
      <c r="M1437" t="str">
        <f>VLOOKUP($E1437,Customer_Dim!$A$2:$F$501,3,FALSE)</f>
        <v>Female</v>
      </c>
      <c r="N1437" t="str">
        <f>VLOOKUP($E1437,Customer_Dim!$A$2:$F$501,5,FALSE)</f>
        <v>USA</v>
      </c>
      <c r="O1437" t="str">
        <f>VLOOKUP($E1437,Customer_Dim!$A$2:$F$501,6,FALSE)</f>
        <v>Bronze</v>
      </c>
      <c r="P1437" t="str">
        <f>VLOOKUP($A1437,Store_Dim!$A$2:$F$21,3,FALSE)</f>
        <v>SouthPort Sharon</v>
      </c>
    </row>
    <row r="1438" spans="1:16" hidden="1" x14ac:dyDescent="0.25">
      <c r="A1438" t="s">
        <v>797</v>
      </c>
      <c r="B1438" t="s">
        <v>987</v>
      </c>
      <c r="C1438" t="s">
        <v>690</v>
      </c>
      <c r="D1438" s="2">
        <v>45910</v>
      </c>
      <c r="E1438" t="s">
        <v>396</v>
      </c>
      <c r="F1438" t="str">
        <f>VLOOKUP($C1438,Product_Dim!$A$2:$D$101,3,FALSE)</f>
        <v>Atkinson, Camacho and Oliver</v>
      </c>
      <c r="G1438" t="str">
        <f>VLOOKUP($C1438,Product_Dim!$A$2:$D$101,2,FALSE)</f>
        <v>Sports</v>
      </c>
      <c r="H1438">
        <v>2</v>
      </c>
      <c r="I1438">
        <v>267.19</v>
      </c>
      <c r="J1438">
        <v>7.0000000000000007E-2</v>
      </c>
      <c r="K1438" s="3">
        <v>496.97340000000003</v>
      </c>
      <c r="L1438" t="s">
        <v>852</v>
      </c>
      <c r="M1438" t="str">
        <f>VLOOKUP($E1438,Customer_Dim!$A$2:$F$501,3,FALSE)</f>
        <v>Female</v>
      </c>
      <c r="N1438" t="str">
        <f>VLOOKUP($E1438,Customer_Dim!$A$2:$F$501,5,FALSE)</f>
        <v>USA</v>
      </c>
      <c r="O1438" t="str">
        <f>VLOOKUP($E1438,Customer_Dim!$A$2:$F$501,6,FALSE)</f>
        <v>Bronze</v>
      </c>
      <c r="P1438" t="str">
        <f>VLOOKUP($A1438,Store_Dim!$A$2:$F$21,3,FALSE)</f>
        <v>SouthPort Sharon</v>
      </c>
    </row>
    <row r="1439" spans="1:16" x14ac:dyDescent="0.25">
      <c r="A1439" t="s">
        <v>797</v>
      </c>
      <c r="B1439" t="s">
        <v>2149</v>
      </c>
      <c r="C1439" t="s">
        <v>696</v>
      </c>
      <c r="D1439" s="2">
        <v>45313</v>
      </c>
      <c r="E1439" t="s">
        <v>313</v>
      </c>
      <c r="F1439" t="str">
        <f>VLOOKUP($C1439,Product_Dim!$A$2:$D$101,3,FALSE)</f>
        <v>Gibson, Green and Lopez</v>
      </c>
      <c r="G1439" t="str">
        <f>VLOOKUP($C1439,Product_Dim!$A$2:$D$101,2,FALSE)</f>
        <v>Beauty</v>
      </c>
      <c r="H1439">
        <v>3</v>
      </c>
      <c r="I1439">
        <v>543.49</v>
      </c>
      <c r="J1439">
        <v>0.05</v>
      </c>
      <c r="K1439" s="3">
        <v>1548.9465</v>
      </c>
      <c r="L1439" t="s">
        <v>854</v>
      </c>
      <c r="M1439" t="str">
        <f>VLOOKUP($E1439,Customer_Dim!$A$2:$F$501,3,FALSE)</f>
        <v>Male</v>
      </c>
      <c r="N1439" t="str">
        <f>VLOOKUP($E1439,Customer_Dim!$A$2:$F$501,5,FALSE)</f>
        <v>USA</v>
      </c>
      <c r="O1439" t="str">
        <f>VLOOKUP($E1439,Customer_Dim!$A$2:$F$501,6,FALSE)</f>
        <v>Platinum</v>
      </c>
      <c r="P1439" t="str">
        <f>VLOOKUP($A1439,Store_Dim!$A$2:$F$21,3,FALSE)</f>
        <v>SouthPort Sharon</v>
      </c>
    </row>
    <row r="1440" spans="1:16" x14ac:dyDescent="0.25">
      <c r="A1440" t="s">
        <v>797</v>
      </c>
      <c r="B1440" t="s">
        <v>2591</v>
      </c>
      <c r="C1440" t="s">
        <v>696</v>
      </c>
      <c r="D1440" s="2">
        <v>45314</v>
      </c>
      <c r="E1440" t="s">
        <v>411</v>
      </c>
      <c r="F1440" t="str">
        <f>VLOOKUP($C1440,Product_Dim!$A$2:$D$101,3,FALSE)</f>
        <v>Gibson, Green and Lopez</v>
      </c>
      <c r="G1440" t="str">
        <f>VLOOKUP($C1440,Product_Dim!$A$2:$D$101,2,FALSE)</f>
        <v>Beauty</v>
      </c>
      <c r="H1440">
        <v>1</v>
      </c>
      <c r="I1440">
        <v>88.78</v>
      </c>
      <c r="J1440">
        <v>0.18</v>
      </c>
      <c r="K1440" s="3">
        <v>72.799600000000012</v>
      </c>
      <c r="L1440" t="s">
        <v>852</v>
      </c>
      <c r="M1440" t="str">
        <f>VLOOKUP($E1440,Customer_Dim!$A$2:$F$501,3,FALSE)</f>
        <v>Male</v>
      </c>
      <c r="N1440" t="str">
        <f>VLOOKUP($E1440,Customer_Dim!$A$2:$F$501,5,FALSE)</f>
        <v>USA</v>
      </c>
      <c r="O1440" t="str">
        <f>VLOOKUP($E1440,Customer_Dim!$A$2:$F$501,6,FALSE)</f>
        <v>Gold</v>
      </c>
      <c r="P1440" t="str">
        <f>VLOOKUP($A1440,Store_Dim!$A$2:$F$21,3,FALSE)</f>
        <v>SouthPort Sharon</v>
      </c>
    </row>
    <row r="1441" spans="1:16" hidden="1" x14ac:dyDescent="0.25">
      <c r="A1441" t="s">
        <v>797</v>
      </c>
      <c r="B1441" t="s">
        <v>2368</v>
      </c>
      <c r="C1441" t="s">
        <v>698</v>
      </c>
      <c r="D1441" s="2">
        <v>45477</v>
      </c>
      <c r="E1441" t="s">
        <v>463</v>
      </c>
      <c r="F1441" t="str">
        <f>VLOOKUP($C1441,Product_Dim!$A$2:$D$101,3,FALSE)</f>
        <v>Lopez LLC</v>
      </c>
      <c r="G1441" t="str">
        <f>VLOOKUP($C1441,Product_Dim!$A$2:$D$101,2,FALSE)</f>
        <v>Sports</v>
      </c>
      <c r="H1441">
        <v>1</v>
      </c>
      <c r="I1441">
        <v>994.18</v>
      </c>
      <c r="J1441">
        <v>0.05</v>
      </c>
      <c r="K1441" s="3">
        <v>944.47099999999989</v>
      </c>
      <c r="L1441" t="s">
        <v>854</v>
      </c>
      <c r="M1441" t="str">
        <f>VLOOKUP($E1441,Customer_Dim!$A$2:$F$501,3,FALSE)</f>
        <v>Female</v>
      </c>
      <c r="N1441" t="str">
        <f>VLOOKUP($E1441,Customer_Dim!$A$2:$F$501,5,FALSE)</f>
        <v>USA</v>
      </c>
      <c r="O1441" t="str">
        <f>VLOOKUP($E1441,Customer_Dim!$A$2:$F$501,6,FALSE)</f>
        <v>Silver</v>
      </c>
      <c r="P1441" t="str">
        <f>VLOOKUP($A1441,Store_Dim!$A$2:$F$21,3,FALSE)</f>
        <v>SouthPort Sharon</v>
      </c>
    </row>
    <row r="1442" spans="1:16" x14ac:dyDescent="0.25">
      <c r="A1442" t="s">
        <v>797</v>
      </c>
      <c r="B1442" t="s">
        <v>1869</v>
      </c>
      <c r="C1442" t="s">
        <v>700</v>
      </c>
      <c r="D1442" s="2">
        <v>45725</v>
      </c>
      <c r="E1442" t="s">
        <v>314</v>
      </c>
      <c r="F1442" t="str">
        <f>VLOOKUP($C1442,Product_Dim!$A$2:$D$101,3,FALSE)</f>
        <v>Murray, Gould and Ware</v>
      </c>
      <c r="G1442" t="str">
        <f>VLOOKUP($C1442,Product_Dim!$A$2:$D$101,2,FALSE)</f>
        <v>Electronics</v>
      </c>
      <c r="H1442">
        <v>4</v>
      </c>
      <c r="I1442">
        <v>139.05000000000001</v>
      </c>
      <c r="J1442">
        <v>0.28999999999999998</v>
      </c>
      <c r="K1442" s="3">
        <v>394.90199999999999</v>
      </c>
      <c r="L1442" t="s">
        <v>857</v>
      </c>
      <c r="M1442" t="str">
        <f>VLOOKUP($E1442,Customer_Dim!$A$2:$F$501,3,FALSE)</f>
        <v>Male</v>
      </c>
      <c r="N1442" t="str">
        <f>VLOOKUP($E1442,Customer_Dim!$A$2:$F$501,5,FALSE)</f>
        <v>USA</v>
      </c>
      <c r="O1442" t="str">
        <f>VLOOKUP($E1442,Customer_Dim!$A$2:$F$501,6,FALSE)</f>
        <v>Gold</v>
      </c>
      <c r="P1442" t="str">
        <f>VLOOKUP($A1442,Store_Dim!$A$2:$F$21,3,FALSE)</f>
        <v>SouthPort Sharon</v>
      </c>
    </row>
    <row r="1443" spans="1:16" hidden="1" x14ac:dyDescent="0.25">
      <c r="A1443" t="s">
        <v>797</v>
      </c>
      <c r="B1443" t="s">
        <v>1480</v>
      </c>
      <c r="C1443" t="s">
        <v>700</v>
      </c>
      <c r="D1443" s="2">
        <v>45545</v>
      </c>
      <c r="E1443" t="s">
        <v>463</v>
      </c>
      <c r="F1443" t="str">
        <f>VLOOKUP($C1443,Product_Dim!$A$2:$D$101,3,FALSE)</f>
        <v>Murray, Gould and Ware</v>
      </c>
      <c r="G1443" t="str">
        <f>VLOOKUP($C1443,Product_Dim!$A$2:$D$101,2,FALSE)</f>
        <v>Electronics</v>
      </c>
      <c r="H1443">
        <v>3</v>
      </c>
      <c r="I1443">
        <v>392.65</v>
      </c>
      <c r="J1443">
        <v>0.17</v>
      </c>
      <c r="K1443" s="3">
        <v>977.69849999999985</v>
      </c>
      <c r="L1443" t="s">
        <v>854</v>
      </c>
      <c r="M1443" t="str">
        <f>VLOOKUP($E1443,Customer_Dim!$A$2:$F$501,3,FALSE)</f>
        <v>Female</v>
      </c>
      <c r="N1443" t="str">
        <f>VLOOKUP($E1443,Customer_Dim!$A$2:$F$501,5,FALSE)</f>
        <v>USA</v>
      </c>
      <c r="O1443" t="str">
        <f>VLOOKUP($E1443,Customer_Dim!$A$2:$F$501,6,FALSE)</f>
        <v>Silver</v>
      </c>
      <c r="P1443" t="str">
        <f>VLOOKUP($A1443,Store_Dim!$A$2:$F$21,3,FALSE)</f>
        <v>SouthPort Sharon</v>
      </c>
    </row>
    <row r="1444" spans="1:16" hidden="1" x14ac:dyDescent="0.25">
      <c r="A1444" t="s">
        <v>797</v>
      </c>
      <c r="B1444" t="s">
        <v>1120</v>
      </c>
      <c r="C1444" t="s">
        <v>704</v>
      </c>
      <c r="D1444" s="2">
        <v>45437</v>
      </c>
      <c r="E1444" t="s">
        <v>500</v>
      </c>
      <c r="F1444" t="str">
        <f>VLOOKUP($C1444,Product_Dim!$A$2:$D$101,3,FALSE)</f>
        <v>Zhang Inc</v>
      </c>
      <c r="G1444" t="str">
        <f>VLOOKUP($C1444,Product_Dim!$A$2:$D$101,2,FALSE)</f>
        <v>Beauty</v>
      </c>
      <c r="H1444">
        <v>4</v>
      </c>
      <c r="I1444">
        <v>779.25</v>
      </c>
      <c r="J1444">
        <v>0.25</v>
      </c>
      <c r="K1444" s="3">
        <v>2337.75</v>
      </c>
      <c r="L1444" t="s">
        <v>852</v>
      </c>
      <c r="M1444" t="str">
        <f>VLOOKUP($E1444,Customer_Dim!$A$2:$F$501,3,FALSE)</f>
        <v>Female</v>
      </c>
      <c r="N1444" t="str">
        <f>VLOOKUP($E1444,Customer_Dim!$A$2:$F$501,5,FALSE)</f>
        <v>USA</v>
      </c>
      <c r="O1444" t="str">
        <f>VLOOKUP($E1444,Customer_Dim!$A$2:$F$501,6,FALSE)</f>
        <v>Silver</v>
      </c>
      <c r="P1444" t="str">
        <f>VLOOKUP($A1444,Store_Dim!$A$2:$F$21,3,FALSE)</f>
        <v>SouthPort Sharon</v>
      </c>
    </row>
    <row r="1445" spans="1:16" hidden="1" x14ac:dyDescent="0.25">
      <c r="A1445" t="s">
        <v>797</v>
      </c>
      <c r="B1445" t="s">
        <v>1680</v>
      </c>
      <c r="C1445" t="s">
        <v>706</v>
      </c>
      <c r="D1445" s="2">
        <v>45532</v>
      </c>
      <c r="E1445" t="s">
        <v>354</v>
      </c>
      <c r="F1445" t="str">
        <f>VLOOKUP($C1445,Product_Dim!$A$2:$D$101,3,FALSE)</f>
        <v>Montgomery, Benton and Miller</v>
      </c>
      <c r="G1445" t="str">
        <f>VLOOKUP($C1445,Product_Dim!$A$2:$D$101,2,FALSE)</f>
        <v>Sports</v>
      </c>
      <c r="H1445">
        <v>4</v>
      </c>
      <c r="I1445">
        <v>277.58</v>
      </c>
      <c r="J1445">
        <v>0.22</v>
      </c>
      <c r="K1445" s="3">
        <v>866.04959999999994</v>
      </c>
      <c r="L1445" t="s">
        <v>854</v>
      </c>
      <c r="M1445" t="str">
        <f>VLOOKUP($E1445,Customer_Dim!$A$2:$F$501,3,FALSE)</f>
        <v>Female</v>
      </c>
      <c r="N1445" t="str">
        <f>VLOOKUP($E1445,Customer_Dim!$A$2:$F$501,5,FALSE)</f>
        <v>USA</v>
      </c>
      <c r="O1445" t="str">
        <f>VLOOKUP($E1445,Customer_Dim!$A$2:$F$501,6,FALSE)</f>
        <v>Gold</v>
      </c>
      <c r="P1445" t="str">
        <f>VLOOKUP($A1445,Store_Dim!$A$2:$F$21,3,FALSE)</f>
        <v>SouthPort Sharon</v>
      </c>
    </row>
    <row r="1446" spans="1:16" x14ac:dyDescent="0.25">
      <c r="A1446" t="s">
        <v>797</v>
      </c>
      <c r="B1446" t="s">
        <v>1524</v>
      </c>
      <c r="C1446" t="s">
        <v>710</v>
      </c>
      <c r="D1446" s="2">
        <v>45369</v>
      </c>
      <c r="E1446" t="s">
        <v>287</v>
      </c>
      <c r="F1446" t="str">
        <f>VLOOKUP($C1446,Product_Dim!$A$2:$D$101,3,FALSE)</f>
        <v>Flores-Davis</v>
      </c>
      <c r="G1446" t="str">
        <f>VLOOKUP($C1446,Product_Dim!$A$2:$D$101,2,FALSE)</f>
        <v>Electronics</v>
      </c>
      <c r="H1446">
        <v>2</v>
      </c>
      <c r="I1446">
        <v>132.77000000000001</v>
      </c>
      <c r="J1446">
        <v>0.13</v>
      </c>
      <c r="K1446" s="3">
        <v>231.0198</v>
      </c>
      <c r="L1446" t="s">
        <v>857</v>
      </c>
      <c r="M1446" t="str">
        <f>VLOOKUP($E1446,Customer_Dim!$A$2:$F$501,3,FALSE)</f>
        <v>Male</v>
      </c>
      <c r="N1446" t="str">
        <f>VLOOKUP($E1446,Customer_Dim!$A$2:$F$501,5,FALSE)</f>
        <v>USA</v>
      </c>
      <c r="O1446" t="str">
        <f>VLOOKUP($E1446,Customer_Dim!$A$2:$F$501,6,FALSE)</f>
        <v>Platinum</v>
      </c>
      <c r="P1446" t="str">
        <f>VLOOKUP($A1446,Store_Dim!$A$2:$F$21,3,FALSE)</f>
        <v>SouthPort Sharon</v>
      </c>
    </row>
    <row r="1447" spans="1:16" hidden="1" x14ac:dyDescent="0.25">
      <c r="A1447" t="s">
        <v>797</v>
      </c>
      <c r="B1447" t="s">
        <v>2314</v>
      </c>
      <c r="C1447" t="s">
        <v>712</v>
      </c>
      <c r="D1447" s="2">
        <v>45478</v>
      </c>
      <c r="E1447" t="s">
        <v>468</v>
      </c>
      <c r="F1447" t="str">
        <f>VLOOKUP($C1447,Product_Dim!$A$2:$D$101,3,FALSE)</f>
        <v>Wolfe, Ross and Hester</v>
      </c>
      <c r="G1447" t="str">
        <f>VLOOKUP($C1447,Product_Dim!$A$2:$D$101,2,FALSE)</f>
        <v>Home</v>
      </c>
      <c r="H1447">
        <v>2</v>
      </c>
      <c r="I1447">
        <v>821.35</v>
      </c>
      <c r="J1447">
        <v>0.11</v>
      </c>
      <c r="K1447" s="3">
        <v>1462.0029999999999</v>
      </c>
      <c r="L1447" t="s">
        <v>854</v>
      </c>
      <c r="M1447" t="str">
        <f>VLOOKUP($E1447,Customer_Dim!$A$2:$F$501,3,FALSE)</f>
        <v>Female</v>
      </c>
      <c r="N1447" t="str">
        <f>VLOOKUP($E1447,Customer_Dim!$A$2:$F$501,5,FALSE)</f>
        <v>USA</v>
      </c>
      <c r="O1447" t="str">
        <f>VLOOKUP($E1447,Customer_Dim!$A$2:$F$501,6,FALSE)</f>
        <v>Platinum</v>
      </c>
      <c r="P1447" t="str">
        <f>VLOOKUP($A1447,Store_Dim!$A$2:$F$21,3,FALSE)</f>
        <v>SouthPort Sharon</v>
      </c>
    </row>
    <row r="1448" spans="1:16" x14ac:dyDescent="0.25">
      <c r="A1448" t="s">
        <v>797</v>
      </c>
      <c r="B1448" t="s">
        <v>1047</v>
      </c>
      <c r="C1448" t="s">
        <v>588</v>
      </c>
      <c r="D1448" s="2">
        <v>45763</v>
      </c>
      <c r="E1448" t="s">
        <v>226</v>
      </c>
      <c r="F1448" t="str">
        <f>VLOOKUP($C1448,Product_Dim!$A$2:$D$101,3,FALSE)</f>
        <v>Harrell LLC</v>
      </c>
      <c r="G1448" t="str">
        <f>VLOOKUP($C1448,Product_Dim!$A$2:$D$101,2,FALSE)</f>
        <v>Home</v>
      </c>
      <c r="H1448">
        <v>1</v>
      </c>
      <c r="I1448">
        <v>271.76</v>
      </c>
      <c r="J1448">
        <v>0.03</v>
      </c>
      <c r="K1448" s="3">
        <v>263.60719999999998</v>
      </c>
      <c r="L1448" t="s">
        <v>852</v>
      </c>
      <c r="M1448" t="str">
        <f>VLOOKUP($E1448,Customer_Dim!$A$2:$F$501,3,FALSE)</f>
        <v>Male</v>
      </c>
      <c r="N1448" t="str">
        <f>VLOOKUP($E1448,Customer_Dim!$A$2:$F$501,5,FALSE)</f>
        <v>USA</v>
      </c>
      <c r="O1448" t="str">
        <f>VLOOKUP($E1448,Customer_Dim!$A$2:$F$501,6,FALSE)</f>
        <v>Silver</v>
      </c>
      <c r="P1448" t="str">
        <f>VLOOKUP($A1448,Store_Dim!$A$2:$F$21,3,FALSE)</f>
        <v>SouthPort Sharon</v>
      </c>
    </row>
    <row r="1449" spans="1:16" x14ac:dyDescent="0.25">
      <c r="A1449" t="s">
        <v>797</v>
      </c>
      <c r="B1449" t="s">
        <v>1283</v>
      </c>
      <c r="C1449" t="s">
        <v>588</v>
      </c>
      <c r="D1449" s="2">
        <v>45731</v>
      </c>
      <c r="E1449" t="s">
        <v>248</v>
      </c>
      <c r="F1449" t="str">
        <f>VLOOKUP($C1449,Product_Dim!$A$2:$D$101,3,FALSE)</f>
        <v>Harrell LLC</v>
      </c>
      <c r="G1449" t="str">
        <f>VLOOKUP($C1449,Product_Dim!$A$2:$D$101,2,FALSE)</f>
        <v>Home</v>
      </c>
      <c r="H1449">
        <v>4</v>
      </c>
      <c r="I1449">
        <v>149.83000000000001</v>
      </c>
      <c r="J1449">
        <v>0.02</v>
      </c>
      <c r="K1449" s="3">
        <v>587.33360000000005</v>
      </c>
      <c r="L1449" t="s">
        <v>852</v>
      </c>
      <c r="M1449" t="str">
        <f>VLOOKUP($E1449,Customer_Dim!$A$2:$F$501,3,FALSE)</f>
        <v>Male</v>
      </c>
      <c r="N1449" t="str">
        <f>VLOOKUP($E1449,Customer_Dim!$A$2:$F$501,5,FALSE)</f>
        <v>USA</v>
      </c>
      <c r="O1449" t="str">
        <f>VLOOKUP($E1449,Customer_Dim!$A$2:$F$501,6,FALSE)</f>
        <v>Platinum</v>
      </c>
      <c r="P1449" t="str">
        <f>VLOOKUP($A1449,Store_Dim!$A$2:$F$21,3,FALSE)</f>
        <v>SouthPort Sharon</v>
      </c>
    </row>
    <row r="1450" spans="1:16" x14ac:dyDescent="0.25">
      <c r="A1450" t="s">
        <v>797</v>
      </c>
      <c r="B1450" t="s">
        <v>2600</v>
      </c>
      <c r="C1450" t="s">
        <v>716</v>
      </c>
      <c r="D1450" s="2">
        <v>45573</v>
      </c>
      <c r="E1450" t="s">
        <v>163</v>
      </c>
      <c r="F1450" t="str">
        <f>VLOOKUP($C1450,Product_Dim!$A$2:$D$101,3,FALSE)</f>
        <v>Duran Group</v>
      </c>
      <c r="G1450" t="str">
        <f>VLOOKUP($C1450,Product_Dim!$A$2:$D$101,2,FALSE)</f>
        <v>Home</v>
      </c>
      <c r="H1450">
        <v>4</v>
      </c>
      <c r="I1450">
        <v>640.91</v>
      </c>
      <c r="J1450">
        <v>0.06</v>
      </c>
      <c r="K1450" s="3">
        <v>2409.8216000000002</v>
      </c>
      <c r="L1450" t="s">
        <v>852</v>
      </c>
      <c r="M1450" t="str">
        <f>VLOOKUP($E1450,Customer_Dim!$A$2:$F$501,3,FALSE)</f>
        <v>Male</v>
      </c>
      <c r="N1450" t="str">
        <f>VLOOKUP($E1450,Customer_Dim!$A$2:$F$501,5,FALSE)</f>
        <v>USA</v>
      </c>
      <c r="O1450" t="str">
        <f>VLOOKUP($E1450,Customer_Dim!$A$2:$F$501,6,FALSE)</f>
        <v>Gold</v>
      </c>
      <c r="P1450" t="str">
        <f>VLOOKUP($A1450,Store_Dim!$A$2:$F$21,3,FALSE)</f>
        <v>SouthPort Sharon</v>
      </c>
    </row>
    <row r="1451" spans="1:16" x14ac:dyDescent="0.25">
      <c r="A1451" t="s">
        <v>797</v>
      </c>
      <c r="B1451" t="s">
        <v>2111</v>
      </c>
      <c r="C1451" t="s">
        <v>716</v>
      </c>
      <c r="D1451" s="2">
        <v>45367</v>
      </c>
      <c r="E1451" t="s">
        <v>240</v>
      </c>
      <c r="F1451" t="str">
        <f>VLOOKUP($C1451,Product_Dim!$A$2:$D$101,3,FALSE)</f>
        <v>Duran Group</v>
      </c>
      <c r="G1451" t="str">
        <f>VLOOKUP($C1451,Product_Dim!$A$2:$D$101,2,FALSE)</f>
        <v>Home</v>
      </c>
      <c r="H1451">
        <v>4</v>
      </c>
      <c r="I1451">
        <v>662.43</v>
      </c>
      <c r="J1451">
        <v>0.24</v>
      </c>
      <c r="K1451" s="3">
        <v>2013.7872</v>
      </c>
      <c r="L1451" t="s">
        <v>854</v>
      </c>
      <c r="M1451" t="str">
        <f>VLOOKUP($E1451,Customer_Dim!$A$2:$F$501,3,FALSE)</f>
        <v>Male</v>
      </c>
      <c r="N1451" t="str">
        <f>VLOOKUP($E1451,Customer_Dim!$A$2:$F$501,5,FALSE)</f>
        <v>USA</v>
      </c>
      <c r="O1451" t="str">
        <f>VLOOKUP($E1451,Customer_Dim!$A$2:$F$501,6,FALSE)</f>
        <v>Silver</v>
      </c>
      <c r="P1451" t="str">
        <f>VLOOKUP($A1451,Store_Dim!$A$2:$F$21,3,FALSE)</f>
        <v>SouthPort Sharon</v>
      </c>
    </row>
    <row r="1452" spans="1:16" hidden="1" x14ac:dyDescent="0.25">
      <c r="A1452" t="s">
        <v>797</v>
      </c>
      <c r="B1452" t="s">
        <v>1684</v>
      </c>
      <c r="C1452" t="s">
        <v>716</v>
      </c>
      <c r="D1452" s="2">
        <v>45456</v>
      </c>
      <c r="E1452" t="s">
        <v>350</v>
      </c>
      <c r="F1452" t="str">
        <f>VLOOKUP($C1452,Product_Dim!$A$2:$D$101,3,FALSE)</f>
        <v>Duran Group</v>
      </c>
      <c r="G1452" t="str">
        <f>VLOOKUP($C1452,Product_Dim!$A$2:$D$101,2,FALSE)</f>
        <v>Home</v>
      </c>
      <c r="H1452">
        <v>3</v>
      </c>
      <c r="I1452">
        <v>698.72</v>
      </c>
      <c r="J1452">
        <v>0.28000000000000003</v>
      </c>
      <c r="K1452" s="3">
        <v>1509.2352000000001</v>
      </c>
      <c r="L1452" t="s">
        <v>857</v>
      </c>
      <c r="M1452" t="str">
        <f>VLOOKUP($E1452,Customer_Dim!$A$2:$F$501,3,FALSE)</f>
        <v>Female</v>
      </c>
      <c r="N1452" t="str">
        <f>VLOOKUP($E1452,Customer_Dim!$A$2:$F$501,5,FALSE)</f>
        <v>USA</v>
      </c>
      <c r="O1452" t="str">
        <f>VLOOKUP($E1452,Customer_Dim!$A$2:$F$501,6,FALSE)</f>
        <v>Silver</v>
      </c>
      <c r="P1452" t="str">
        <f>VLOOKUP($A1452,Store_Dim!$A$2:$F$21,3,FALSE)</f>
        <v>SouthPort Sharon</v>
      </c>
    </row>
    <row r="1453" spans="1:16" hidden="1" x14ac:dyDescent="0.25">
      <c r="A1453" t="s">
        <v>797</v>
      </c>
      <c r="B1453" t="s">
        <v>2067</v>
      </c>
      <c r="C1453" t="s">
        <v>720</v>
      </c>
      <c r="D1453" s="2">
        <v>45809</v>
      </c>
      <c r="E1453" t="s">
        <v>315</v>
      </c>
      <c r="F1453" t="str">
        <f>VLOOKUP($C1453,Product_Dim!$A$2:$D$101,3,FALSE)</f>
        <v>Davis PLC</v>
      </c>
      <c r="G1453" t="str">
        <f>VLOOKUP($C1453,Product_Dim!$A$2:$D$101,2,FALSE)</f>
        <v>Sports</v>
      </c>
      <c r="H1453">
        <v>1</v>
      </c>
      <c r="I1453">
        <v>41.39</v>
      </c>
      <c r="J1453">
        <v>0.01</v>
      </c>
      <c r="K1453" s="3">
        <v>40.976100000000002</v>
      </c>
      <c r="L1453" t="s">
        <v>852</v>
      </c>
      <c r="M1453" t="str">
        <f>VLOOKUP($E1453,Customer_Dim!$A$2:$F$501,3,FALSE)</f>
        <v>Female</v>
      </c>
      <c r="N1453" t="str">
        <f>VLOOKUP($E1453,Customer_Dim!$A$2:$F$501,5,FALSE)</f>
        <v>USA</v>
      </c>
      <c r="O1453" t="str">
        <f>VLOOKUP($E1453,Customer_Dim!$A$2:$F$501,6,FALSE)</f>
        <v>Gold</v>
      </c>
      <c r="P1453" t="str">
        <f>VLOOKUP($A1453,Store_Dim!$A$2:$F$21,3,FALSE)</f>
        <v>SouthPort Sharon</v>
      </c>
    </row>
    <row r="1454" spans="1:16" hidden="1" x14ac:dyDescent="0.25">
      <c r="A1454" t="s">
        <v>797</v>
      </c>
      <c r="B1454" t="s">
        <v>2717</v>
      </c>
      <c r="C1454" t="s">
        <v>722</v>
      </c>
      <c r="D1454" s="2">
        <v>45489</v>
      </c>
      <c r="E1454" t="s">
        <v>21</v>
      </c>
      <c r="F1454" t="str">
        <f>VLOOKUP($C1454,Product_Dim!$A$2:$D$101,3,FALSE)</f>
        <v>French Ltd</v>
      </c>
      <c r="G1454" t="str">
        <f>VLOOKUP($C1454,Product_Dim!$A$2:$D$101,2,FALSE)</f>
        <v>Sports</v>
      </c>
      <c r="H1454">
        <v>4</v>
      </c>
      <c r="I1454">
        <v>834.7</v>
      </c>
      <c r="J1454">
        <v>0.14000000000000001</v>
      </c>
      <c r="K1454" s="3">
        <v>2871.3679999999999</v>
      </c>
      <c r="L1454" t="s">
        <v>852</v>
      </c>
      <c r="M1454" t="str">
        <f>VLOOKUP($E1454,Customer_Dim!$A$2:$F$501,3,FALSE)</f>
        <v>Female</v>
      </c>
      <c r="N1454" t="str">
        <f>VLOOKUP($E1454,Customer_Dim!$A$2:$F$501,5,FALSE)</f>
        <v>USA</v>
      </c>
      <c r="O1454" t="str">
        <f>VLOOKUP($E1454,Customer_Dim!$A$2:$F$501,6,FALSE)</f>
        <v>Silver</v>
      </c>
      <c r="P1454" t="str">
        <f>VLOOKUP($A1454,Store_Dim!$A$2:$F$21,3,FALSE)</f>
        <v>SouthPort Sharon</v>
      </c>
    </row>
    <row r="1455" spans="1:16" hidden="1" x14ac:dyDescent="0.25">
      <c r="A1455" t="s">
        <v>797</v>
      </c>
      <c r="B1455" t="s">
        <v>1230</v>
      </c>
      <c r="C1455" t="s">
        <v>722</v>
      </c>
      <c r="D1455" s="2">
        <v>45309</v>
      </c>
      <c r="E1455" t="s">
        <v>183</v>
      </c>
      <c r="F1455" t="str">
        <f>VLOOKUP($C1455,Product_Dim!$A$2:$D$101,3,FALSE)</f>
        <v>French Ltd</v>
      </c>
      <c r="G1455" t="str">
        <f>VLOOKUP($C1455,Product_Dim!$A$2:$D$101,2,FALSE)</f>
        <v>Sports</v>
      </c>
      <c r="H1455">
        <v>4</v>
      </c>
      <c r="I1455">
        <v>693.16</v>
      </c>
      <c r="J1455">
        <v>0.05</v>
      </c>
      <c r="K1455" s="3">
        <v>2634.0079999999998</v>
      </c>
      <c r="L1455" t="s">
        <v>854</v>
      </c>
      <c r="M1455" t="str">
        <f>VLOOKUP($E1455,Customer_Dim!$A$2:$F$501,3,FALSE)</f>
        <v>Female</v>
      </c>
      <c r="N1455" t="str">
        <f>VLOOKUP($E1455,Customer_Dim!$A$2:$F$501,5,FALSE)</f>
        <v>USA</v>
      </c>
      <c r="O1455" t="str">
        <f>VLOOKUP($E1455,Customer_Dim!$A$2:$F$501,6,FALSE)</f>
        <v>Platinum</v>
      </c>
      <c r="P1455" t="str">
        <f>VLOOKUP($A1455,Store_Dim!$A$2:$F$21,3,FALSE)</f>
        <v>SouthPort Sharon</v>
      </c>
    </row>
    <row r="1456" spans="1:16" hidden="1" x14ac:dyDescent="0.25">
      <c r="A1456" t="s">
        <v>797</v>
      </c>
      <c r="B1456" t="s">
        <v>1642</v>
      </c>
      <c r="C1456" t="s">
        <v>722</v>
      </c>
      <c r="D1456" s="2">
        <v>45778</v>
      </c>
      <c r="E1456" t="s">
        <v>542</v>
      </c>
      <c r="F1456" t="str">
        <f>VLOOKUP($C1456,Product_Dim!$A$2:$D$101,3,FALSE)</f>
        <v>French Ltd</v>
      </c>
      <c r="G1456" t="str">
        <f>VLOOKUP($C1456,Product_Dim!$A$2:$D$101,2,FALSE)</f>
        <v>Sports</v>
      </c>
      <c r="H1456">
        <v>4</v>
      </c>
      <c r="I1456">
        <v>753</v>
      </c>
      <c r="J1456">
        <v>0.28000000000000003</v>
      </c>
      <c r="K1456" s="3">
        <v>2168.64</v>
      </c>
      <c r="L1456" t="s">
        <v>857</v>
      </c>
      <c r="M1456" t="str">
        <f>VLOOKUP($E1456,Customer_Dim!$A$2:$F$501,3,FALSE)</f>
        <v>Female</v>
      </c>
      <c r="N1456" t="str">
        <f>VLOOKUP($E1456,Customer_Dim!$A$2:$F$501,5,FALSE)</f>
        <v>USA</v>
      </c>
      <c r="O1456" t="str">
        <f>VLOOKUP($E1456,Customer_Dim!$A$2:$F$501,6,FALSE)</f>
        <v>Platinum</v>
      </c>
      <c r="P1456" t="str">
        <f>VLOOKUP($A1456,Store_Dim!$A$2:$F$21,3,FALSE)</f>
        <v>SouthPort Sharon</v>
      </c>
    </row>
    <row r="1457" spans="1:16" x14ac:dyDescent="0.25">
      <c r="A1457" t="s">
        <v>797</v>
      </c>
      <c r="B1457" t="s">
        <v>1146</v>
      </c>
      <c r="C1457" t="s">
        <v>724</v>
      </c>
      <c r="D1457" s="2">
        <v>45545</v>
      </c>
      <c r="E1457" t="s">
        <v>182</v>
      </c>
      <c r="F1457" t="str">
        <f>VLOOKUP($C1457,Product_Dim!$A$2:$D$101,3,FALSE)</f>
        <v>Bruce-Bowen</v>
      </c>
      <c r="G1457" t="str">
        <f>VLOOKUP($C1457,Product_Dim!$A$2:$D$101,2,FALSE)</f>
        <v>Electronics</v>
      </c>
      <c r="H1457">
        <v>1</v>
      </c>
      <c r="I1457">
        <v>702.53</v>
      </c>
      <c r="J1457">
        <v>0.3</v>
      </c>
      <c r="K1457" s="3">
        <v>491.77100000000002</v>
      </c>
      <c r="L1457" t="s">
        <v>852</v>
      </c>
      <c r="M1457" t="str">
        <f>VLOOKUP($E1457,Customer_Dim!$A$2:$F$501,3,FALSE)</f>
        <v>Male</v>
      </c>
      <c r="N1457" t="str">
        <f>VLOOKUP($E1457,Customer_Dim!$A$2:$F$501,5,FALSE)</f>
        <v>USA</v>
      </c>
      <c r="O1457" t="str">
        <f>VLOOKUP($E1457,Customer_Dim!$A$2:$F$501,6,FALSE)</f>
        <v>Bronze</v>
      </c>
      <c r="P1457" t="str">
        <f>VLOOKUP($A1457,Store_Dim!$A$2:$F$21,3,FALSE)</f>
        <v>SouthPort Sharon</v>
      </c>
    </row>
    <row r="1458" spans="1:16" hidden="1" x14ac:dyDescent="0.25">
      <c r="A1458" t="s">
        <v>797</v>
      </c>
      <c r="B1458" t="s">
        <v>1393</v>
      </c>
      <c r="C1458" t="s">
        <v>726</v>
      </c>
      <c r="D1458" s="2">
        <v>45890</v>
      </c>
      <c r="E1458" t="s">
        <v>100</v>
      </c>
      <c r="F1458" t="str">
        <f>VLOOKUP($C1458,Product_Dim!$A$2:$D$101,3,FALSE)</f>
        <v>Poole PLC</v>
      </c>
      <c r="G1458" t="str">
        <f>VLOOKUP($C1458,Product_Dim!$A$2:$D$101,2,FALSE)</f>
        <v>Clothing</v>
      </c>
      <c r="H1458">
        <v>2</v>
      </c>
      <c r="I1458">
        <v>709.17</v>
      </c>
      <c r="J1458">
        <v>0.22</v>
      </c>
      <c r="K1458" s="3">
        <v>1106.3052</v>
      </c>
      <c r="L1458" t="s">
        <v>852</v>
      </c>
      <c r="M1458" t="str">
        <f>VLOOKUP($E1458,Customer_Dim!$A$2:$F$501,3,FALSE)</f>
        <v>Female</v>
      </c>
      <c r="N1458" t="str">
        <f>VLOOKUP($E1458,Customer_Dim!$A$2:$F$501,5,FALSE)</f>
        <v>USA</v>
      </c>
      <c r="O1458" t="str">
        <f>VLOOKUP($E1458,Customer_Dim!$A$2:$F$501,6,FALSE)</f>
        <v>Gold</v>
      </c>
      <c r="P1458" t="str">
        <f>VLOOKUP($A1458,Store_Dim!$A$2:$F$21,3,FALSE)</f>
        <v>SouthPort Sharon</v>
      </c>
    </row>
    <row r="1459" spans="1:16" hidden="1" x14ac:dyDescent="0.25">
      <c r="A1459" t="s">
        <v>797</v>
      </c>
      <c r="B1459" t="s">
        <v>1581</v>
      </c>
      <c r="C1459" t="s">
        <v>728</v>
      </c>
      <c r="D1459" s="2">
        <v>45253</v>
      </c>
      <c r="E1459" t="s">
        <v>454</v>
      </c>
      <c r="F1459" t="str">
        <f>VLOOKUP($C1459,Product_Dim!$A$2:$D$101,3,FALSE)</f>
        <v>Larson Ltd</v>
      </c>
      <c r="G1459" t="str">
        <f>VLOOKUP($C1459,Product_Dim!$A$2:$D$101,2,FALSE)</f>
        <v>Electronics</v>
      </c>
      <c r="H1459">
        <v>1</v>
      </c>
      <c r="I1459">
        <v>106.07</v>
      </c>
      <c r="J1459">
        <v>0.23</v>
      </c>
      <c r="K1459" s="3">
        <v>81.673900000000003</v>
      </c>
      <c r="L1459" t="s">
        <v>857</v>
      </c>
      <c r="M1459" t="str">
        <f>VLOOKUP($E1459,Customer_Dim!$A$2:$F$501,3,FALSE)</f>
        <v>Female</v>
      </c>
      <c r="N1459" t="str">
        <f>VLOOKUP($E1459,Customer_Dim!$A$2:$F$501,5,FALSE)</f>
        <v>USA</v>
      </c>
      <c r="O1459" t="str">
        <f>VLOOKUP($E1459,Customer_Dim!$A$2:$F$501,6,FALSE)</f>
        <v>Silver</v>
      </c>
      <c r="P1459" t="str">
        <f>VLOOKUP($A1459,Store_Dim!$A$2:$F$21,3,FALSE)</f>
        <v>SouthPort Sharon</v>
      </c>
    </row>
    <row r="1460" spans="1:16" x14ac:dyDescent="0.25">
      <c r="A1460" t="s">
        <v>797</v>
      </c>
      <c r="B1460" t="s">
        <v>2158</v>
      </c>
      <c r="C1460" t="s">
        <v>730</v>
      </c>
      <c r="D1460" s="2">
        <v>45232</v>
      </c>
      <c r="E1460" t="s">
        <v>186</v>
      </c>
      <c r="F1460" t="str">
        <f>VLOOKUP($C1460,Product_Dim!$A$2:$D$101,3,FALSE)</f>
        <v>White, Reeves and Woods</v>
      </c>
      <c r="G1460" t="str">
        <f>VLOOKUP($C1460,Product_Dim!$A$2:$D$101,2,FALSE)</f>
        <v>Electronics</v>
      </c>
      <c r="H1460">
        <v>4</v>
      </c>
      <c r="I1460">
        <v>665.38</v>
      </c>
      <c r="J1460">
        <v>0.18</v>
      </c>
      <c r="K1460" s="3">
        <v>2182.4463999999998</v>
      </c>
      <c r="L1460" t="s">
        <v>852</v>
      </c>
      <c r="M1460" t="str">
        <f>VLOOKUP($E1460,Customer_Dim!$A$2:$F$501,3,FALSE)</f>
        <v>Male</v>
      </c>
      <c r="N1460" t="str">
        <f>VLOOKUP($E1460,Customer_Dim!$A$2:$F$501,5,FALSE)</f>
        <v>USA</v>
      </c>
      <c r="O1460" t="str">
        <f>VLOOKUP($E1460,Customer_Dim!$A$2:$F$501,6,FALSE)</f>
        <v>Silver</v>
      </c>
      <c r="P1460" t="str">
        <f>VLOOKUP($A1460,Store_Dim!$A$2:$F$21,3,FALSE)</f>
        <v>SouthPort Sharon</v>
      </c>
    </row>
    <row r="1461" spans="1:16" hidden="1" x14ac:dyDescent="0.25">
      <c r="A1461" t="s">
        <v>797</v>
      </c>
      <c r="B1461" t="s">
        <v>2592</v>
      </c>
      <c r="C1461" t="s">
        <v>732</v>
      </c>
      <c r="D1461" s="2">
        <v>45526</v>
      </c>
      <c r="E1461" t="s">
        <v>256</v>
      </c>
      <c r="F1461" t="str">
        <f>VLOOKUP($C1461,Product_Dim!$A$2:$D$101,3,FALSE)</f>
        <v>Hernandez Inc</v>
      </c>
      <c r="G1461" t="str">
        <f>VLOOKUP($C1461,Product_Dim!$A$2:$D$101,2,FALSE)</f>
        <v>Home</v>
      </c>
      <c r="H1461">
        <v>4</v>
      </c>
      <c r="I1461">
        <v>507.22</v>
      </c>
      <c r="J1461">
        <v>0.14000000000000001</v>
      </c>
      <c r="K1461" s="3">
        <v>1744.8368</v>
      </c>
      <c r="L1461" t="s">
        <v>854</v>
      </c>
      <c r="M1461" t="str">
        <f>VLOOKUP($E1461,Customer_Dim!$A$2:$F$501,3,FALSE)</f>
        <v>Female</v>
      </c>
      <c r="N1461" t="str">
        <f>VLOOKUP($E1461,Customer_Dim!$A$2:$F$501,5,FALSE)</f>
        <v>USA</v>
      </c>
      <c r="O1461" t="str">
        <f>VLOOKUP($E1461,Customer_Dim!$A$2:$F$501,6,FALSE)</f>
        <v>Bronze</v>
      </c>
      <c r="P1461" t="str">
        <f>VLOOKUP($A1461,Store_Dim!$A$2:$F$21,3,FALSE)</f>
        <v>SouthPort Sharon</v>
      </c>
    </row>
    <row r="1462" spans="1:16" hidden="1" x14ac:dyDescent="0.25">
      <c r="A1462" t="s">
        <v>797</v>
      </c>
      <c r="B1462" t="s">
        <v>1438</v>
      </c>
      <c r="C1462" t="s">
        <v>732</v>
      </c>
      <c r="D1462" s="2">
        <v>45350</v>
      </c>
      <c r="E1462" t="s">
        <v>444</v>
      </c>
      <c r="F1462" t="str">
        <f>VLOOKUP($C1462,Product_Dim!$A$2:$D$101,3,FALSE)</f>
        <v>Hernandez Inc</v>
      </c>
      <c r="G1462" t="str">
        <f>VLOOKUP($C1462,Product_Dim!$A$2:$D$101,2,FALSE)</f>
        <v>Home</v>
      </c>
      <c r="H1462">
        <v>1</v>
      </c>
      <c r="I1462">
        <v>34.71</v>
      </c>
      <c r="J1462">
        <v>0.1</v>
      </c>
      <c r="K1462" s="3">
        <v>31.239000000000001</v>
      </c>
      <c r="L1462" t="s">
        <v>857</v>
      </c>
      <c r="M1462" t="str">
        <f>VLOOKUP($E1462,Customer_Dim!$A$2:$F$501,3,FALSE)</f>
        <v>Female</v>
      </c>
      <c r="N1462" t="str">
        <f>VLOOKUP($E1462,Customer_Dim!$A$2:$F$501,5,FALSE)</f>
        <v>USA</v>
      </c>
      <c r="O1462" t="str">
        <f>VLOOKUP($E1462,Customer_Dim!$A$2:$F$501,6,FALSE)</f>
        <v>Gold</v>
      </c>
      <c r="P1462" t="str">
        <f>VLOOKUP($A1462,Store_Dim!$A$2:$F$21,3,FALSE)</f>
        <v>SouthPort Sharon</v>
      </c>
    </row>
    <row r="1463" spans="1:16" hidden="1" x14ac:dyDescent="0.25">
      <c r="A1463" t="s">
        <v>797</v>
      </c>
      <c r="B1463" t="s">
        <v>1774</v>
      </c>
      <c r="C1463" t="s">
        <v>734</v>
      </c>
      <c r="D1463" s="2">
        <v>45253</v>
      </c>
      <c r="E1463" t="s">
        <v>66</v>
      </c>
      <c r="F1463" t="str">
        <f>VLOOKUP($C1463,Product_Dim!$A$2:$D$101,3,FALSE)</f>
        <v>Ramirez-Hanson</v>
      </c>
      <c r="G1463" t="str">
        <f>VLOOKUP($C1463,Product_Dim!$A$2:$D$101,2,FALSE)</f>
        <v>Home</v>
      </c>
      <c r="H1463">
        <v>2</v>
      </c>
      <c r="I1463">
        <v>32.19</v>
      </c>
      <c r="J1463">
        <v>0.13</v>
      </c>
      <c r="K1463" s="3">
        <v>56.010599999999997</v>
      </c>
      <c r="L1463" t="s">
        <v>857</v>
      </c>
      <c r="M1463" t="str">
        <f>VLOOKUP($E1463,Customer_Dim!$A$2:$F$501,3,FALSE)</f>
        <v>Female</v>
      </c>
      <c r="N1463" t="str">
        <f>VLOOKUP($E1463,Customer_Dim!$A$2:$F$501,5,FALSE)</f>
        <v>USA</v>
      </c>
      <c r="O1463" t="str">
        <f>VLOOKUP($E1463,Customer_Dim!$A$2:$F$501,6,FALSE)</f>
        <v>Silver</v>
      </c>
      <c r="P1463" t="str">
        <f>VLOOKUP($A1463,Store_Dim!$A$2:$F$21,3,FALSE)</f>
        <v>SouthPort Sharon</v>
      </c>
    </row>
    <row r="1464" spans="1:16" hidden="1" x14ac:dyDescent="0.25">
      <c r="A1464" t="s">
        <v>797</v>
      </c>
      <c r="B1464" t="s">
        <v>1434</v>
      </c>
      <c r="C1464" t="s">
        <v>738</v>
      </c>
      <c r="D1464" s="2">
        <v>45273</v>
      </c>
      <c r="E1464" t="s">
        <v>308</v>
      </c>
      <c r="F1464" t="str">
        <f>VLOOKUP($C1464,Product_Dim!$A$2:$D$101,3,FALSE)</f>
        <v>Robinson-Brown</v>
      </c>
      <c r="G1464" t="str">
        <f>VLOOKUP($C1464,Product_Dim!$A$2:$D$101,2,FALSE)</f>
        <v>Sports</v>
      </c>
      <c r="H1464">
        <v>4</v>
      </c>
      <c r="I1464">
        <v>968.27</v>
      </c>
      <c r="J1464">
        <v>0.03</v>
      </c>
      <c r="K1464" s="3">
        <v>3756.8876</v>
      </c>
      <c r="L1464" t="s">
        <v>854</v>
      </c>
      <c r="M1464" t="str">
        <f>VLOOKUP($E1464,Customer_Dim!$A$2:$F$501,3,FALSE)</f>
        <v>Female</v>
      </c>
      <c r="N1464" t="str">
        <f>VLOOKUP($E1464,Customer_Dim!$A$2:$F$501,5,FALSE)</f>
        <v>USA</v>
      </c>
      <c r="O1464" t="str">
        <f>VLOOKUP($E1464,Customer_Dim!$A$2:$F$501,6,FALSE)</f>
        <v>Silver</v>
      </c>
      <c r="P1464" t="str">
        <f>VLOOKUP($A1464,Store_Dim!$A$2:$F$21,3,FALSE)</f>
        <v>SouthPort Sharon</v>
      </c>
    </row>
    <row r="1465" spans="1:16" hidden="1" x14ac:dyDescent="0.25">
      <c r="A1465" t="s">
        <v>797</v>
      </c>
      <c r="B1465" t="s">
        <v>1555</v>
      </c>
      <c r="C1465" t="s">
        <v>738</v>
      </c>
      <c r="D1465" s="2">
        <v>45420</v>
      </c>
      <c r="E1465" t="s">
        <v>405</v>
      </c>
      <c r="F1465" t="str">
        <f>VLOOKUP($C1465,Product_Dim!$A$2:$D$101,3,FALSE)</f>
        <v>Robinson-Brown</v>
      </c>
      <c r="G1465" t="str">
        <f>VLOOKUP($C1465,Product_Dim!$A$2:$D$101,2,FALSE)</f>
        <v>Sports</v>
      </c>
      <c r="H1465">
        <v>1</v>
      </c>
      <c r="I1465">
        <v>445.5</v>
      </c>
      <c r="J1465">
        <v>0.28000000000000003</v>
      </c>
      <c r="K1465" s="3">
        <v>320.76</v>
      </c>
      <c r="L1465" t="s">
        <v>852</v>
      </c>
      <c r="M1465" t="str">
        <f>VLOOKUP($E1465,Customer_Dim!$A$2:$F$501,3,FALSE)</f>
        <v>Female</v>
      </c>
      <c r="N1465" t="str">
        <f>VLOOKUP($E1465,Customer_Dim!$A$2:$F$501,5,FALSE)</f>
        <v>USA</v>
      </c>
      <c r="O1465" t="str">
        <f>VLOOKUP($E1465,Customer_Dim!$A$2:$F$501,6,FALSE)</f>
        <v>Silver</v>
      </c>
      <c r="P1465" t="str">
        <f>VLOOKUP($A1465,Store_Dim!$A$2:$F$21,3,FALSE)</f>
        <v>SouthPort Sharon</v>
      </c>
    </row>
    <row r="1466" spans="1:16" x14ac:dyDescent="0.25">
      <c r="A1466" t="s">
        <v>797</v>
      </c>
      <c r="B1466" t="s">
        <v>2473</v>
      </c>
      <c r="C1466" t="s">
        <v>742</v>
      </c>
      <c r="D1466" s="2">
        <v>45546</v>
      </c>
      <c r="E1466" t="s">
        <v>128</v>
      </c>
      <c r="F1466" t="str">
        <f>VLOOKUP($C1466,Product_Dim!$A$2:$D$101,3,FALSE)</f>
        <v>Butler Group</v>
      </c>
      <c r="G1466" t="str">
        <f>VLOOKUP($C1466,Product_Dim!$A$2:$D$101,2,FALSE)</f>
        <v>Beauty</v>
      </c>
      <c r="H1466">
        <v>2</v>
      </c>
      <c r="I1466">
        <v>898.81</v>
      </c>
      <c r="J1466">
        <v>0.25</v>
      </c>
      <c r="K1466" s="3">
        <v>1348.2149999999999</v>
      </c>
      <c r="L1466" t="s">
        <v>852</v>
      </c>
      <c r="M1466" t="str">
        <f>VLOOKUP($E1466,Customer_Dim!$A$2:$F$501,3,FALSE)</f>
        <v>Male</v>
      </c>
      <c r="N1466" t="str">
        <f>VLOOKUP($E1466,Customer_Dim!$A$2:$F$501,5,FALSE)</f>
        <v>USA</v>
      </c>
      <c r="O1466" t="str">
        <f>VLOOKUP($E1466,Customer_Dim!$A$2:$F$501,6,FALSE)</f>
        <v>Bronze</v>
      </c>
      <c r="P1466" t="str">
        <f>VLOOKUP($A1466,Store_Dim!$A$2:$F$21,3,FALSE)</f>
        <v>SouthPort Sharon</v>
      </c>
    </row>
    <row r="1467" spans="1:16" x14ac:dyDescent="0.25">
      <c r="A1467" t="s">
        <v>797</v>
      </c>
      <c r="B1467" t="s">
        <v>1221</v>
      </c>
      <c r="C1467" t="s">
        <v>744</v>
      </c>
      <c r="D1467" s="2">
        <v>45711</v>
      </c>
      <c r="E1467" t="s">
        <v>142</v>
      </c>
      <c r="F1467" t="str">
        <f>VLOOKUP($C1467,Product_Dim!$A$2:$D$101,3,FALSE)</f>
        <v>Collins-Stephenson</v>
      </c>
      <c r="G1467" t="str">
        <f>VLOOKUP($C1467,Product_Dim!$A$2:$D$101,2,FALSE)</f>
        <v>Home</v>
      </c>
      <c r="H1467">
        <v>3</v>
      </c>
      <c r="I1467">
        <v>944.64</v>
      </c>
      <c r="J1467">
        <v>0.26</v>
      </c>
      <c r="K1467" s="3">
        <v>2097.1008000000002</v>
      </c>
      <c r="L1467" t="s">
        <v>852</v>
      </c>
      <c r="M1467" t="str">
        <f>VLOOKUP($E1467,Customer_Dim!$A$2:$F$501,3,FALSE)</f>
        <v>Male</v>
      </c>
      <c r="N1467" t="str">
        <f>VLOOKUP($E1467,Customer_Dim!$A$2:$F$501,5,FALSE)</f>
        <v>USA</v>
      </c>
      <c r="O1467" t="str">
        <f>VLOOKUP($E1467,Customer_Dim!$A$2:$F$501,6,FALSE)</f>
        <v>Silver</v>
      </c>
      <c r="P1467" t="str">
        <f>VLOOKUP($A1467,Store_Dim!$A$2:$F$21,3,FALSE)</f>
        <v>SouthPort Sharon</v>
      </c>
    </row>
    <row r="1468" spans="1:16" hidden="1" x14ac:dyDescent="0.25">
      <c r="A1468" t="s">
        <v>797</v>
      </c>
      <c r="B1468" t="s">
        <v>1312</v>
      </c>
      <c r="C1468" t="s">
        <v>744</v>
      </c>
      <c r="D1468" s="2">
        <v>45389</v>
      </c>
      <c r="E1468" t="s">
        <v>270</v>
      </c>
      <c r="F1468" t="str">
        <f>VLOOKUP($C1468,Product_Dim!$A$2:$D$101,3,FALSE)</f>
        <v>Collins-Stephenson</v>
      </c>
      <c r="G1468" t="str">
        <f>VLOOKUP($C1468,Product_Dim!$A$2:$D$101,2,FALSE)</f>
        <v>Home</v>
      </c>
      <c r="H1468">
        <v>3</v>
      </c>
      <c r="I1468">
        <v>505.01</v>
      </c>
      <c r="J1468">
        <v>0.02</v>
      </c>
      <c r="K1468" s="3">
        <v>1484.7293999999999</v>
      </c>
      <c r="L1468" t="s">
        <v>854</v>
      </c>
      <c r="M1468" t="str">
        <f>VLOOKUP($E1468,Customer_Dim!$A$2:$F$501,3,FALSE)</f>
        <v>Female</v>
      </c>
      <c r="N1468" t="str">
        <f>VLOOKUP($E1468,Customer_Dim!$A$2:$F$501,5,FALSE)</f>
        <v>USA</v>
      </c>
      <c r="O1468" t="str">
        <f>VLOOKUP($E1468,Customer_Dim!$A$2:$F$501,6,FALSE)</f>
        <v>Gold</v>
      </c>
      <c r="P1468" t="str">
        <f>VLOOKUP($A1468,Store_Dim!$A$2:$F$21,3,FALSE)</f>
        <v>SouthPort Sharon</v>
      </c>
    </row>
    <row r="1469" spans="1:16" hidden="1" x14ac:dyDescent="0.25">
      <c r="A1469" t="s">
        <v>797</v>
      </c>
      <c r="B1469" t="s">
        <v>946</v>
      </c>
      <c r="C1469" t="s">
        <v>748</v>
      </c>
      <c r="D1469" s="2">
        <v>45350</v>
      </c>
      <c r="E1469" t="s">
        <v>28</v>
      </c>
      <c r="F1469" t="str">
        <f>VLOOKUP($C1469,Product_Dim!$A$2:$D$101,3,FALSE)</f>
        <v>Taylor, Dodson and Johnston</v>
      </c>
      <c r="G1469" t="str">
        <f>VLOOKUP($C1469,Product_Dim!$A$2:$D$101,2,FALSE)</f>
        <v>Home</v>
      </c>
      <c r="H1469">
        <v>1</v>
      </c>
      <c r="I1469">
        <v>696.53</v>
      </c>
      <c r="J1469">
        <v>0.17</v>
      </c>
      <c r="K1469" s="3">
        <v>578.11989999999992</v>
      </c>
      <c r="L1469" t="s">
        <v>852</v>
      </c>
      <c r="M1469" t="str">
        <f>VLOOKUP($E1469,Customer_Dim!$A$2:$F$501,3,FALSE)</f>
        <v>Female</v>
      </c>
      <c r="N1469" t="str">
        <f>VLOOKUP($E1469,Customer_Dim!$A$2:$F$501,5,FALSE)</f>
        <v>USA</v>
      </c>
      <c r="O1469" t="str">
        <f>VLOOKUP($E1469,Customer_Dim!$A$2:$F$501,6,FALSE)</f>
        <v>Bronze</v>
      </c>
      <c r="P1469" t="str">
        <f>VLOOKUP($A1469,Store_Dim!$A$2:$F$21,3,FALSE)</f>
        <v>SouthPort Sharon</v>
      </c>
    </row>
    <row r="1470" spans="1:16" x14ac:dyDescent="0.25">
      <c r="A1470" t="s">
        <v>797</v>
      </c>
      <c r="B1470" t="s">
        <v>1541</v>
      </c>
      <c r="C1470" t="s">
        <v>750</v>
      </c>
      <c r="D1470" s="2">
        <v>45750</v>
      </c>
      <c r="E1470" t="s">
        <v>268</v>
      </c>
      <c r="F1470" t="str">
        <f>VLOOKUP($C1470,Product_Dim!$A$2:$D$101,3,FALSE)</f>
        <v>Aguilar, Horton and Lewis</v>
      </c>
      <c r="G1470" t="str">
        <f>VLOOKUP($C1470,Product_Dim!$A$2:$D$101,2,FALSE)</f>
        <v>Home</v>
      </c>
      <c r="H1470">
        <v>1</v>
      </c>
      <c r="I1470">
        <v>979.28</v>
      </c>
      <c r="J1470">
        <v>0.2</v>
      </c>
      <c r="K1470" s="3">
        <v>783.42399999999998</v>
      </c>
      <c r="L1470" t="s">
        <v>854</v>
      </c>
      <c r="M1470" t="str">
        <f>VLOOKUP($E1470,Customer_Dim!$A$2:$F$501,3,FALSE)</f>
        <v>Male</v>
      </c>
      <c r="N1470" t="str">
        <f>VLOOKUP($E1470,Customer_Dim!$A$2:$F$501,5,FALSE)</f>
        <v>USA</v>
      </c>
      <c r="O1470" t="str">
        <f>VLOOKUP($E1470,Customer_Dim!$A$2:$F$501,6,FALSE)</f>
        <v>Platinum</v>
      </c>
      <c r="P1470" t="str">
        <f>VLOOKUP($A1470,Store_Dim!$A$2:$F$21,3,FALSE)</f>
        <v>SouthPort Sharon</v>
      </c>
    </row>
    <row r="1471" spans="1:16" hidden="1" x14ac:dyDescent="0.25">
      <c r="A1471" t="s">
        <v>797</v>
      </c>
      <c r="B1471" t="s">
        <v>866</v>
      </c>
      <c r="C1471" t="s">
        <v>752</v>
      </c>
      <c r="D1471" s="2">
        <v>45528</v>
      </c>
      <c r="E1471" t="s">
        <v>303</v>
      </c>
      <c r="F1471" t="str">
        <f>VLOOKUP($C1471,Product_Dim!$A$2:$D$101,3,FALSE)</f>
        <v>Olsen-Daniels</v>
      </c>
      <c r="G1471" t="str">
        <f>VLOOKUP($C1471,Product_Dim!$A$2:$D$101,2,FALSE)</f>
        <v>Sports</v>
      </c>
      <c r="H1471">
        <v>4</v>
      </c>
      <c r="I1471">
        <v>644.58000000000004</v>
      </c>
      <c r="J1471">
        <v>0.01</v>
      </c>
      <c r="K1471" s="3">
        <v>2552.5367999999999</v>
      </c>
      <c r="L1471" t="s">
        <v>852</v>
      </c>
      <c r="M1471" t="str">
        <f>VLOOKUP($E1471,Customer_Dim!$A$2:$F$501,3,FALSE)</f>
        <v>Female</v>
      </c>
      <c r="N1471" t="str">
        <f>VLOOKUP($E1471,Customer_Dim!$A$2:$F$501,5,FALSE)</f>
        <v>USA</v>
      </c>
      <c r="O1471" t="str">
        <f>VLOOKUP($E1471,Customer_Dim!$A$2:$F$501,6,FALSE)</f>
        <v>Gold</v>
      </c>
      <c r="P1471" t="str">
        <f>VLOOKUP($A1471,Store_Dim!$A$2:$F$21,3,FALSE)</f>
        <v>SouthPort Sharon</v>
      </c>
    </row>
    <row r="1472" spans="1:16" x14ac:dyDescent="0.25">
      <c r="A1472" t="s">
        <v>797</v>
      </c>
      <c r="B1472" t="s">
        <v>2273</v>
      </c>
      <c r="C1472" t="s">
        <v>754</v>
      </c>
      <c r="D1472" s="2">
        <v>45527</v>
      </c>
      <c r="E1472" t="s">
        <v>81</v>
      </c>
      <c r="F1472" t="str">
        <f>VLOOKUP($C1472,Product_Dim!$A$2:$D$101,3,FALSE)</f>
        <v>Taylor-Elliott</v>
      </c>
      <c r="G1472" t="str">
        <f>VLOOKUP($C1472,Product_Dim!$A$2:$D$101,2,FALSE)</f>
        <v>Beauty</v>
      </c>
      <c r="H1472">
        <v>1</v>
      </c>
      <c r="I1472">
        <v>170.12</v>
      </c>
      <c r="J1472">
        <v>0.26</v>
      </c>
      <c r="K1472" s="3">
        <v>125.8888</v>
      </c>
      <c r="L1472" t="s">
        <v>854</v>
      </c>
      <c r="M1472" t="str">
        <f>VLOOKUP($E1472,Customer_Dim!$A$2:$F$501,3,FALSE)</f>
        <v>Male</v>
      </c>
      <c r="N1472" t="str">
        <f>VLOOKUP($E1472,Customer_Dim!$A$2:$F$501,5,FALSE)</f>
        <v>USA</v>
      </c>
      <c r="O1472" t="str">
        <f>VLOOKUP($E1472,Customer_Dim!$A$2:$F$501,6,FALSE)</f>
        <v>Gold</v>
      </c>
      <c r="P1472" t="str">
        <f>VLOOKUP($A1472,Store_Dim!$A$2:$F$21,3,FALSE)</f>
        <v>SouthPort Sharon</v>
      </c>
    </row>
    <row r="1473" spans="1:16" hidden="1" x14ac:dyDescent="0.25">
      <c r="A1473" t="s">
        <v>797</v>
      </c>
      <c r="B1473" t="s">
        <v>1591</v>
      </c>
      <c r="C1473" t="s">
        <v>593</v>
      </c>
      <c r="D1473" s="2">
        <v>45756</v>
      </c>
      <c r="E1473" t="s">
        <v>489</v>
      </c>
      <c r="F1473" t="str">
        <f>VLOOKUP($C1473,Product_Dim!$A$2:$D$101,3,FALSE)</f>
        <v>Hill PLC</v>
      </c>
      <c r="G1473" t="str">
        <f>VLOOKUP($C1473,Product_Dim!$A$2:$D$101,2,FALSE)</f>
        <v>Sports</v>
      </c>
      <c r="H1473">
        <v>2</v>
      </c>
      <c r="I1473">
        <v>492.5</v>
      </c>
      <c r="J1473">
        <v>0.3</v>
      </c>
      <c r="K1473" s="3">
        <v>689.5</v>
      </c>
      <c r="L1473" t="s">
        <v>854</v>
      </c>
      <c r="M1473" t="str">
        <f>VLOOKUP($E1473,Customer_Dim!$A$2:$F$501,3,FALSE)</f>
        <v>Female</v>
      </c>
      <c r="N1473" t="str">
        <f>VLOOKUP($E1473,Customer_Dim!$A$2:$F$501,5,FALSE)</f>
        <v>USA</v>
      </c>
      <c r="O1473" t="str">
        <f>VLOOKUP($E1473,Customer_Dim!$A$2:$F$501,6,FALSE)</f>
        <v>Platinum</v>
      </c>
      <c r="P1473" t="str">
        <f>VLOOKUP($A1473,Store_Dim!$A$2:$F$21,3,FALSE)</f>
        <v>SouthPort Sharon</v>
      </c>
    </row>
    <row r="1474" spans="1:16" x14ac:dyDescent="0.25">
      <c r="A1474" t="s">
        <v>797</v>
      </c>
      <c r="B1474" t="s">
        <v>1556</v>
      </c>
      <c r="C1474" t="s">
        <v>756</v>
      </c>
      <c r="D1474" s="2">
        <v>45459</v>
      </c>
      <c r="E1474" t="s">
        <v>287</v>
      </c>
      <c r="F1474" t="str">
        <f>VLOOKUP($C1474,Product_Dim!$A$2:$D$101,3,FALSE)</f>
        <v>Sharp, Taylor and Rodriguez</v>
      </c>
      <c r="G1474" t="str">
        <f>VLOOKUP($C1474,Product_Dim!$A$2:$D$101,2,FALSE)</f>
        <v>Electronics</v>
      </c>
      <c r="H1474">
        <v>1</v>
      </c>
      <c r="I1474">
        <v>900.94</v>
      </c>
      <c r="J1474">
        <v>0.1</v>
      </c>
      <c r="K1474" s="3">
        <v>810.84600000000012</v>
      </c>
      <c r="L1474" t="s">
        <v>852</v>
      </c>
      <c r="M1474" t="str">
        <f>VLOOKUP($E1474,Customer_Dim!$A$2:$F$501,3,FALSE)</f>
        <v>Male</v>
      </c>
      <c r="N1474" t="str">
        <f>VLOOKUP($E1474,Customer_Dim!$A$2:$F$501,5,FALSE)</f>
        <v>USA</v>
      </c>
      <c r="O1474" t="str">
        <f>VLOOKUP($E1474,Customer_Dim!$A$2:$F$501,6,FALSE)</f>
        <v>Platinum</v>
      </c>
      <c r="P1474" t="str">
        <f>VLOOKUP($A1474,Store_Dim!$A$2:$F$21,3,FALSE)</f>
        <v>SouthPort Sharon</v>
      </c>
    </row>
    <row r="1475" spans="1:16" hidden="1" x14ac:dyDescent="0.25">
      <c r="A1475" t="s">
        <v>797</v>
      </c>
      <c r="B1475" t="s">
        <v>968</v>
      </c>
      <c r="C1475" t="s">
        <v>758</v>
      </c>
      <c r="D1475" s="2">
        <v>45482</v>
      </c>
      <c r="E1475" t="s">
        <v>216</v>
      </c>
      <c r="F1475" t="str">
        <f>VLOOKUP($C1475,Product_Dim!$A$2:$D$101,3,FALSE)</f>
        <v>Smith-Charles</v>
      </c>
      <c r="G1475" t="str">
        <f>VLOOKUP($C1475,Product_Dim!$A$2:$D$101,2,FALSE)</f>
        <v>Clothing</v>
      </c>
      <c r="H1475">
        <v>2</v>
      </c>
      <c r="I1475">
        <v>731.01</v>
      </c>
      <c r="J1475">
        <v>0.05</v>
      </c>
      <c r="K1475" s="3">
        <v>1388.9190000000001</v>
      </c>
      <c r="L1475" t="s">
        <v>854</v>
      </c>
      <c r="M1475" t="str">
        <f>VLOOKUP($E1475,Customer_Dim!$A$2:$F$501,3,FALSE)</f>
        <v>Female</v>
      </c>
      <c r="N1475" t="str">
        <f>VLOOKUP($E1475,Customer_Dim!$A$2:$F$501,5,FALSE)</f>
        <v>USA</v>
      </c>
      <c r="O1475" t="str">
        <f>VLOOKUP($E1475,Customer_Dim!$A$2:$F$501,6,FALSE)</f>
        <v>Platinum</v>
      </c>
      <c r="P1475" t="str">
        <f>VLOOKUP($A1475,Store_Dim!$A$2:$F$21,3,FALSE)</f>
        <v>SouthPort Sharon</v>
      </c>
    </row>
    <row r="1476" spans="1:16" hidden="1" x14ac:dyDescent="0.25">
      <c r="A1476" t="s">
        <v>797</v>
      </c>
      <c r="B1476" t="s">
        <v>1513</v>
      </c>
      <c r="C1476" t="s">
        <v>760</v>
      </c>
      <c r="D1476" s="2">
        <v>45291</v>
      </c>
      <c r="E1476" t="s">
        <v>91</v>
      </c>
      <c r="F1476" t="str">
        <f>VLOOKUP($C1476,Product_Dim!$A$2:$D$101,3,FALSE)</f>
        <v>Green, Powell and Palmer</v>
      </c>
      <c r="G1476" t="str">
        <f>VLOOKUP($C1476,Product_Dim!$A$2:$D$101,2,FALSE)</f>
        <v>Home</v>
      </c>
      <c r="H1476">
        <v>3</v>
      </c>
      <c r="I1476">
        <v>718.23</v>
      </c>
      <c r="J1476">
        <v>0.19</v>
      </c>
      <c r="K1476" s="3">
        <v>1745.2989</v>
      </c>
      <c r="L1476" t="s">
        <v>854</v>
      </c>
      <c r="M1476" t="str">
        <f>VLOOKUP($E1476,Customer_Dim!$A$2:$F$501,3,FALSE)</f>
        <v>Female</v>
      </c>
      <c r="N1476" t="str">
        <f>VLOOKUP($E1476,Customer_Dim!$A$2:$F$501,5,FALSE)</f>
        <v>USA</v>
      </c>
      <c r="O1476" t="str">
        <f>VLOOKUP($E1476,Customer_Dim!$A$2:$F$501,6,FALSE)</f>
        <v>Silver</v>
      </c>
      <c r="P1476" t="str">
        <f>VLOOKUP($A1476,Store_Dim!$A$2:$F$21,3,FALSE)</f>
        <v>SouthPort Sharon</v>
      </c>
    </row>
    <row r="1477" spans="1:16" hidden="1" x14ac:dyDescent="0.25">
      <c r="A1477" t="s">
        <v>797</v>
      </c>
      <c r="B1477" t="s">
        <v>1268</v>
      </c>
      <c r="C1477" t="s">
        <v>762</v>
      </c>
      <c r="D1477" s="2">
        <v>45666</v>
      </c>
      <c r="E1477" t="s">
        <v>26</v>
      </c>
      <c r="F1477" t="str">
        <f>VLOOKUP($C1477,Product_Dim!$A$2:$D$101,3,FALSE)</f>
        <v>Martin LLC</v>
      </c>
      <c r="G1477" t="str">
        <f>VLOOKUP($C1477,Product_Dim!$A$2:$D$101,2,FALSE)</f>
        <v>Electronics</v>
      </c>
      <c r="H1477">
        <v>2</v>
      </c>
      <c r="I1477">
        <v>772.24</v>
      </c>
      <c r="J1477">
        <v>0.22</v>
      </c>
      <c r="K1477" s="3">
        <v>1204.6944000000001</v>
      </c>
      <c r="L1477" t="s">
        <v>852</v>
      </c>
      <c r="M1477" t="str">
        <f>VLOOKUP($E1477,Customer_Dim!$A$2:$F$501,3,FALSE)</f>
        <v>Female</v>
      </c>
      <c r="N1477" t="str">
        <f>VLOOKUP($E1477,Customer_Dim!$A$2:$F$501,5,FALSE)</f>
        <v>USA</v>
      </c>
      <c r="O1477" t="str">
        <f>VLOOKUP($E1477,Customer_Dim!$A$2:$F$501,6,FALSE)</f>
        <v>Platinum</v>
      </c>
      <c r="P1477" t="str">
        <f>VLOOKUP($A1477,Store_Dim!$A$2:$F$21,3,FALSE)</f>
        <v>SouthPort Sharon</v>
      </c>
    </row>
    <row r="1478" spans="1:16" hidden="1" x14ac:dyDescent="0.25">
      <c r="A1478" t="s">
        <v>797</v>
      </c>
      <c r="B1478" t="s">
        <v>2554</v>
      </c>
      <c r="C1478" t="s">
        <v>762</v>
      </c>
      <c r="D1478" s="2">
        <v>45333</v>
      </c>
      <c r="E1478" t="s">
        <v>211</v>
      </c>
      <c r="F1478" t="str">
        <f>VLOOKUP($C1478,Product_Dim!$A$2:$D$101,3,FALSE)</f>
        <v>Martin LLC</v>
      </c>
      <c r="G1478" t="str">
        <f>VLOOKUP($C1478,Product_Dim!$A$2:$D$101,2,FALSE)</f>
        <v>Electronics</v>
      </c>
      <c r="H1478">
        <v>3</v>
      </c>
      <c r="I1478">
        <v>706.6</v>
      </c>
      <c r="J1478">
        <v>0.17</v>
      </c>
      <c r="K1478" s="3">
        <v>1759.434</v>
      </c>
      <c r="L1478" t="s">
        <v>854</v>
      </c>
      <c r="M1478" t="str">
        <f>VLOOKUP($E1478,Customer_Dim!$A$2:$F$501,3,FALSE)</f>
        <v>Female</v>
      </c>
      <c r="N1478" t="str">
        <f>VLOOKUP($E1478,Customer_Dim!$A$2:$F$501,5,FALSE)</f>
        <v>USA</v>
      </c>
      <c r="O1478" t="str">
        <f>VLOOKUP($E1478,Customer_Dim!$A$2:$F$501,6,FALSE)</f>
        <v>Platinum</v>
      </c>
      <c r="P1478" t="str">
        <f>VLOOKUP($A1478,Store_Dim!$A$2:$F$21,3,FALSE)</f>
        <v>SouthPort Sharon</v>
      </c>
    </row>
    <row r="1479" spans="1:16" x14ac:dyDescent="0.25">
      <c r="A1479" t="s">
        <v>797</v>
      </c>
      <c r="B1479" t="s">
        <v>1478</v>
      </c>
      <c r="C1479" t="s">
        <v>764</v>
      </c>
      <c r="D1479" s="2">
        <v>45644</v>
      </c>
      <c r="E1479" t="s">
        <v>108</v>
      </c>
      <c r="F1479" t="str">
        <f>VLOOKUP($C1479,Product_Dim!$A$2:$D$101,3,FALSE)</f>
        <v>Hoffman-Williams</v>
      </c>
      <c r="G1479" t="str">
        <f>VLOOKUP($C1479,Product_Dim!$A$2:$D$101,2,FALSE)</f>
        <v>Beauty</v>
      </c>
      <c r="H1479">
        <v>1</v>
      </c>
      <c r="I1479">
        <v>647.86</v>
      </c>
      <c r="J1479">
        <v>0.05</v>
      </c>
      <c r="K1479" s="3">
        <v>615.46699999999998</v>
      </c>
      <c r="L1479" t="s">
        <v>857</v>
      </c>
      <c r="M1479" t="str">
        <f>VLOOKUP($E1479,Customer_Dim!$A$2:$F$501,3,FALSE)</f>
        <v>Male</v>
      </c>
      <c r="N1479" t="str">
        <f>VLOOKUP($E1479,Customer_Dim!$A$2:$F$501,5,FALSE)</f>
        <v>USA</v>
      </c>
      <c r="O1479" t="str">
        <f>VLOOKUP($E1479,Customer_Dim!$A$2:$F$501,6,FALSE)</f>
        <v>Platinum</v>
      </c>
      <c r="P1479" t="str">
        <f>VLOOKUP($A1479,Store_Dim!$A$2:$F$21,3,FALSE)</f>
        <v>SouthPort Sharon</v>
      </c>
    </row>
    <row r="1480" spans="1:16" hidden="1" x14ac:dyDescent="0.25">
      <c r="A1480" t="s">
        <v>797</v>
      </c>
      <c r="B1480" t="s">
        <v>2649</v>
      </c>
      <c r="C1480" t="s">
        <v>768</v>
      </c>
      <c r="D1480" s="2">
        <v>45455</v>
      </c>
      <c r="E1480" t="s">
        <v>21</v>
      </c>
      <c r="F1480" t="str">
        <f>VLOOKUP($C1480,Product_Dim!$A$2:$D$101,3,FALSE)</f>
        <v>Phillips and Sons</v>
      </c>
      <c r="G1480" t="str">
        <f>VLOOKUP($C1480,Product_Dim!$A$2:$D$101,2,FALSE)</f>
        <v>Clothing</v>
      </c>
      <c r="H1480">
        <v>2</v>
      </c>
      <c r="I1480">
        <v>649.89</v>
      </c>
      <c r="J1480">
        <v>0.17</v>
      </c>
      <c r="K1480" s="3">
        <v>1078.8173999999999</v>
      </c>
      <c r="L1480" t="s">
        <v>857</v>
      </c>
      <c r="M1480" t="str">
        <f>VLOOKUP($E1480,Customer_Dim!$A$2:$F$501,3,FALSE)</f>
        <v>Female</v>
      </c>
      <c r="N1480" t="str">
        <f>VLOOKUP($E1480,Customer_Dim!$A$2:$F$501,5,FALSE)</f>
        <v>USA</v>
      </c>
      <c r="O1480" t="str">
        <f>VLOOKUP($E1480,Customer_Dim!$A$2:$F$501,6,FALSE)</f>
        <v>Silver</v>
      </c>
      <c r="P1480" t="str">
        <f>VLOOKUP($A1480,Store_Dim!$A$2:$F$21,3,FALSE)</f>
        <v>SouthPort Sharon</v>
      </c>
    </row>
    <row r="1481" spans="1:16" x14ac:dyDescent="0.25">
      <c r="A1481" t="s">
        <v>797</v>
      </c>
      <c r="B1481" t="s">
        <v>1923</v>
      </c>
      <c r="C1481" t="s">
        <v>772</v>
      </c>
      <c r="D1481" s="2">
        <v>45481</v>
      </c>
      <c r="E1481" t="s">
        <v>227</v>
      </c>
      <c r="F1481" t="str">
        <f>VLOOKUP($C1481,Product_Dim!$A$2:$D$101,3,FALSE)</f>
        <v>Flores-King</v>
      </c>
      <c r="G1481" t="str">
        <f>VLOOKUP($C1481,Product_Dim!$A$2:$D$101,2,FALSE)</f>
        <v>Electronics</v>
      </c>
      <c r="H1481">
        <v>3</v>
      </c>
      <c r="I1481">
        <v>904.19</v>
      </c>
      <c r="J1481">
        <v>0.09</v>
      </c>
      <c r="K1481" s="3">
        <v>2468.4387000000002</v>
      </c>
      <c r="L1481" t="s">
        <v>852</v>
      </c>
      <c r="M1481" t="str">
        <f>VLOOKUP($E1481,Customer_Dim!$A$2:$F$501,3,FALSE)</f>
        <v>Male</v>
      </c>
      <c r="N1481" t="str">
        <f>VLOOKUP($E1481,Customer_Dim!$A$2:$F$501,5,FALSE)</f>
        <v>USA</v>
      </c>
      <c r="O1481" t="str">
        <f>VLOOKUP($E1481,Customer_Dim!$A$2:$F$501,6,FALSE)</f>
        <v>Bronze</v>
      </c>
      <c r="P1481" t="str">
        <f>VLOOKUP($A1481,Store_Dim!$A$2:$F$21,3,FALSE)</f>
        <v>SouthPort Sharon</v>
      </c>
    </row>
    <row r="1482" spans="1:16" x14ac:dyDescent="0.25">
      <c r="A1482" t="s">
        <v>801</v>
      </c>
      <c r="B1482" t="s">
        <v>1355</v>
      </c>
      <c r="C1482" t="s">
        <v>596</v>
      </c>
      <c r="D1482" s="2">
        <v>45617</v>
      </c>
      <c r="E1482" t="s">
        <v>227</v>
      </c>
      <c r="F1482" t="str">
        <f>VLOOKUP($C1482,Product_Dim!$A$2:$D$101,3,FALSE)</f>
        <v>Hamilton Group</v>
      </c>
      <c r="G1482" t="str">
        <f>VLOOKUP($C1482,Product_Dim!$A$2:$D$101,2,FALSE)</f>
        <v>Home</v>
      </c>
      <c r="H1482">
        <v>4</v>
      </c>
      <c r="I1482">
        <v>168.55</v>
      </c>
      <c r="J1482">
        <v>0.15</v>
      </c>
      <c r="K1482" s="3">
        <v>573.07000000000005</v>
      </c>
      <c r="L1482" t="s">
        <v>854</v>
      </c>
      <c r="M1482" t="str">
        <f>VLOOKUP($E1482,Customer_Dim!$A$2:$F$501,3,FALSE)</f>
        <v>Male</v>
      </c>
      <c r="N1482" t="str">
        <f>VLOOKUP($E1482,Customer_Dim!$A$2:$F$501,5,FALSE)</f>
        <v>USA</v>
      </c>
      <c r="O1482" t="str">
        <f>VLOOKUP($E1482,Customer_Dim!$A$2:$F$501,6,FALSE)</f>
        <v>Bronze</v>
      </c>
      <c r="P1482" t="str">
        <f>VLOOKUP($A1482,Store_Dim!$A$2:$F$21,3,FALSE)</f>
        <v>NorthNew Michaelchester</v>
      </c>
    </row>
    <row r="1483" spans="1:16" x14ac:dyDescent="0.25">
      <c r="A1483" t="s">
        <v>801</v>
      </c>
      <c r="B1483" t="s">
        <v>2682</v>
      </c>
      <c r="C1483" t="s">
        <v>598</v>
      </c>
      <c r="D1483" s="2">
        <v>45395</v>
      </c>
      <c r="E1483" t="s">
        <v>160</v>
      </c>
      <c r="F1483" t="str">
        <f>VLOOKUP($C1483,Product_Dim!$A$2:$D$101,3,FALSE)</f>
        <v>Gibson, Hobbs and Weaver</v>
      </c>
      <c r="G1483" t="str">
        <f>VLOOKUP($C1483,Product_Dim!$A$2:$D$101,2,FALSE)</f>
        <v>Electronics</v>
      </c>
      <c r="H1483">
        <v>3</v>
      </c>
      <c r="I1483">
        <v>596</v>
      </c>
      <c r="J1483">
        <v>0.28000000000000003</v>
      </c>
      <c r="K1483" s="3">
        <v>1287.3599999999999</v>
      </c>
      <c r="L1483" t="s">
        <v>857</v>
      </c>
      <c r="M1483" t="str">
        <f>VLOOKUP($E1483,Customer_Dim!$A$2:$F$501,3,FALSE)</f>
        <v>Male</v>
      </c>
      <c r="N1483" t="str">
        <f>VLOOKUP($E1483,Customer_Dim!$A$2:$F$501,5,FALSE)</f>
        <v>USA</v>
      </c>
      <c r="O1483" t="str">
        <f>VLOOKUP($E1483,Customer_Dim!$A$2:$F$501,6,FALSE)</f>
        <v>Silver</v>
      </c>
      <c r="P1483" t="str">
        <f>VLOOKUP($A1483,Store_Dim!$A$2:$F$21,3,FALSE)</f>
        <v>NorthNew Michaelchester</v>
      </c>
    </row>
    <row r="1484" spans="1:16" hidden="1" x14ac:dyDescent="0.25">
      <c r="A1484" t="s">
        <v>801</v>
      </c>
      <c r="B1484" t="s">
        <v>2780</v>
      </c>
      <c r="C1484" t="s">
        <v>604</v>
      </c>
      <c r="D1484" s="2">
        <v>45907</v>
      </c>
      <c r="E1484" t="s">
        <v>61</v>
      </c>
      <c r="F1484" t="str">
        <f>VLOOKUP($C1484,Product_Dim!$A$2:$D$101,3,FALSE)</f>
        <v>Luna, Anderson and Bowman</v>
      </c>
      <c r="G1484" t="str">
        <f>VLOOKUP($C1484,Product_Dim!$A$2:$D$101,2,FALSE)</f>
        <v>Home</v>
      </c>
      <c r="H1484">
        <v>4</v>
      </c>
      <c r="I1484">
        <v>94.48</v>
      </c>
      <c r="J1484">
        <v>0.06</v>
      </c>
      <c r="K1484" s="3">
        <v>355.2448</v>
      </c>
      <c r="L1484" t="s">
        <v>857</v>
      </c>
      <c r="M1484" t="str">
        <f>VLOOKUP($E1484,Customer_Dim!$A$2:$F$501,3,FALSE)</f>
        <v>Female</v>
      </c>
      <c r="N1484" t="str">
        <f>VLOOKUP($E1484,Customer_Dim!$A$2:$F$501,5,FALSE)</f>
        <v>USA</v>
      </c>
      <c r="O1484" t="str">
        <f>VLOOKUP($E1484,Customer_Dim!$A$2:$F$501,6,FALSE)</f>
        <v>Gold</v>
      </c>
      <c r="P1484" t="str">
        <f>VLOOKUP($A1484,Store_Dim!$A$2:$F$21,3,FALSE)</f>
        <v>NorthNew Michaelchester</v>
      </c>
    </row>
    <row r="1485" spans="1:16" x14ac:dyDescent="0.25">
      <c r="A1485" t="s">
        <v>801</v>
      </c>
      <c r="B1485" t="s">
        <v>2737</v>
      </c>
      <c r="C1485" t="s">
        <v>606</v>
      </c>
      <c r="D1485" s="2">
        <v>45397</v>
      </c>
      <c r="E1485" t="s">
        <v>72</v>
      </c>
      <c r="F1485" t="str">
        <f>VLOOKUP($C1485,Product_Dim!$A$2:$D$101,3,FALSE)</f>
        <v>Thomas LLC</v>
      </c>
      <c r="G1485" t="str">
        <f>VLOOKUP($C1485,Product_Dim!$A$2:$D$101,2,FALSE)</f>
        <v>Electronics</v>
      </c>
      <c r="H1485">
        <v>1</v>
      </c>
      <c r="I1485">
        <v>649.59</v>
      </c>
      <c r="J1485">
        <v>0.12</v>
      </c>
      <c r="K1485" s="3">
        <v>571.63920000000007</v>
      </c>
      <c r="L1485" t="s">
        <v>857</v>
      </c>
      <c r="M1485" t="str">
        <f>VLOOKUP($E1485,Customer_Dim!$A$2:$F$501,3,FALSE)</f>
        <v>Male</v>
      </c>
      <c r="N1485" t="str">
        <f>VLOOKUP($E1485,Customer_Dim!$A$2:$F$501,5,FALSE)</f>
        <v>USA</v>
      </c>
      <c r="O1485" t="str">
        <f>VLOOKUP($E1485,Customer_Dim!$A$2:$F$501,6,FALSE)</f>
        <v>Platinum</v>
      </c>
      <c r="P1485" t="str">
        <f>VLOOKUP($A1485,Store_Dim!$A$2:$F$21,3,FALSE)</f>
        <v>NorthNew Michaelchester</v>
      </c>
    </row>
    <row r="1486" spans="1:16" hidden="1" x14ac:dyDescent="0.25">
      <c r="A1486" t="s">
        <v>801</v>
      </c>
      <c r="B1486" t="s">
        <v>1092</v>
      </c>
      <c r="C1486" t="s">
        <v>606</v>
      </c>
      <c r="D1486" s="2">
        <v>45253</v>
      </c>
      <c r="E1486" t="s">
        <v>199</v>
      </c>
      <c r="F1486" t="str">
        <f>VLOOKUP($C1486,Product_Dim!$A$2:$D$101,3,FALSE)</f>
        <v>Thomas LLC</v>
      </c>
      <c r="G1486" t="str">
        <f>VLOOKUP($C1486,Product_Dim!$A$2:$D$101,2,FALSE)</f>
        <v>Electronics</v>
      </c>
      <c r="H1486">
        <v>1</v>
      </c>
      <c r="I1486">
        <v>594.44000000000005</v>
      </c>
      <c r="J1486">
        <v>0.21</v>
      </c>
      <c r="K1486" s="3">
        <v>469.60759999999999</v>
      </c>
      <c r="L1486" t="s">
        <v>852</v>
      </c>
      <c r="M1486" t="str">
        <f>VLOOKUP($E1486,Customer_Dim!$A$2:$F$501,3,FALSE)</f>
        <v>Female</v>
      </c>
      <c r="N1486" t="str">
        <f>VLOOKUP($E1486,Customer_Dim!$A$2:$F$501,5,FALSE)</f>
        <v>USA</v>
      </c>
      <c r="O1486" t="str">
        <f>VLOOKUP($E1486,Customer_Dim!$A$2:$F$501,6,FALSE)</f>
        <v>Platinum</v>
      </c>
      <c r="P1486" t="str">
        <f>VLOOKUP($A1486,Store_Dim!$A$2:$F$21,3,FALSE)</f>
        <v>NorthNew Michaelchester</v>
      </c>
    </row>
    <row r="1487" spans="1:16" hidden="1" x14ac:dyDescent="0.25">
      <c r="A1487" t="s">
        <v>801</v>
      </c>
      <c r="B1487" t="s">
        <v>2699</v>
      </c>
      <c r="C1487" t="s">
        <v>610</v>
      </c>
      <c r="D1487" s="2">
        <v>45364</v>
      </c>
      <c r="E1487" t="s">
        <v>173</v>
      </c>
      <c r="F1487" t="str">
        <f>VLOOKUP($C1487,Product_Dim!$A$2:$D$101,3,FALSE)</f>
        <v>Ford, Murphy and Wilson</v>
      </c>
      <c r="G1487" t="str">
        <f>VLOOKUP($C1487,Product_Dim!$A$2:$D$101,2,FALSE)</f>
        <v>Sports</v>
      </c>
      <c r="H1487">
        <v>4</v>
      </c>
      <c r="I1487">
        <v>715.88</v>
      </c>
      <c r="J1487">
        <v>0.19</v>
      </c>
      <c r="K1487" s="3">
        <v>2319.4512</v>
      </c>
      <c r="L1487" t="s">
        <v>854</v>
      </c>
      <c r="M1487" t="str">
        <f>VLOOKUP($E1487,Customer_Dim!$A$2:$F$501,3,FALSE)</f>
        <v>Female</v>
      </c>
      <c r="N1487" t="str">
        <f>VLOOKUP($E1487,Customer_Dim!$A$2:$F$501,5,FALSE)</f>
        <v>USA</v>
      </c>
      <c r="O1487" t="str">
        <f>VLOOKUP($E1487,Customer_Dim!$A$2:$F$501,6,FALSE)</f>
        <v>Platinum</v>
      </c>
      <c r="P1487" t="str">
        <f>VLOOKUP($A1487,Store_Dim!$A$2:$F$21,3,FALSE)</f>
        <v>NorthNew Michaelchester</v>
      </c>
    </row>
    <row r="1488" spans="1:16" x14ac:dyDescent="0.25">
      <c r="A1488" t="s">
        <v>801</v>
      </c>
      <c r="B1488" t="s">
        <v>1130</v>
      </c>
      <c r="C1488" t="s">
        <v>610</v>
      </c>
      <c r="D1488" s="2">
        <v>45483</v>
      </c>
      <c r="E1488" t="s">
        <v>416</v>
      </c>
      <c r="F1488" t="str">
        <f>VLOOKUP($C1488,Product_Dim!$A$2:$D$101,3,FALSE)</f>
        <v>Ford, Murphy and Wilson</v>
      </c>
      <c r="G1488" t="str">
        <f>VLOOKUP($C1488,Product_Dim!$A$2:$D$101,2,FALSE)</f>
        <v>Sports</v>
      </c>
      <c r="H1488">
        <v>4</v>
      </c>
      <c r="I1488">
        <v>322.58</v>
      </c>
      <c r="J1488">
        <v>0.06</v>
      </c>
      <c r="K1488" s="3">
        <v>1212.9007999999999</v>
      </c>
      <c r="L1488" t="s">
        <v>852</v>
      </c>
      <c r="M1488" t="str">
        <f>VLOOKUP($E1488,Customer_Dim!$A$2:$F$501,3,FALSE)</f>
        <v>Male</v>
      </c>
      <c r="N1488" t="str">
        <f>VLOOKUP($E1488,Customer_Dim!$A$2:$F$501,5,FALSE)</f>
        <v>USA</v>
      </c>
      <c r="O1488" t="str">
        <f>VLOOKUP($E1488,Customer_Dim!$A$2:$F$501,6,FALSE)</f>
        <v>Bronze</v>
      </c>
      <c r="P1488" t="str">
        <f>VLOOKUP($A1488,Store_Dim!$A$2:$F$21,3,FALSE)</f>
        <v>NorthNew Michaelchester</v>
      </c>
    </row>
    <row r="1489" spans="1:16" hidden="1" x14ac:dyDescent="0.25">
      <c r="A1489" t="s">
        <v>801</v>
      </c>
      <c r="B1489" t="s">
        <v>1596</v>
      </c>
      <c r="C1489" t="s">
        <v>612</v>
      </c>
      <c r="D1489" s="2">
        <v>45648</v>
      </c>
      <c r="E1489" t="s">
        <v>472</v>
      </c>
      <c r="F1489" t="str">
        <f>VLOOKUP($C1489,Product_Dim!$A$2:$D$101,3,FALSE)</f>
        <v>Guerra-Hendrix</v>
      </c>
      <c r="G1489" t="str">
        <f>VLOOKUP($C1489,Product_Dim!$A$2:$D$101,2,FALSE)</f>
        <v>Clothing</v>
      </c>
      <c r="H1489">
        <v>3</v>
      </c>
      <c r="I1489">
        <v>438.65</v>
      </c>
      <c r="J1489">
        <v>0.28999999999999998</v>
      </c>
      <c r="K1489" s="3">
        <v>934.32449999999983</v>
      </c>
      <c r="L1489" t="s">
        <v>854</v>
      </c>
      <c r="M1489" t="str">
        <f>VLOOKUP($E1489,Customer_Dim!$A$2:$F$501,3,FALSE)</f>
        <v>Female</v>
      </c>
      <c r="N1489" t="str">
        <f>VLOOKUP($E1489,Customer_Dim!$A$2:$F$501,5,FALSE)</f>
        <v>USA</v>
      </c>
      <c r="O1489" t="str">
        <f>VLOOKUP($E1489,Customer_Dim!$A$2:$F$501,6,FALSE)</f>
        <v>Gold</v>
      </c>
      <c r="P1489" t="str">
        <f>VLOOKUP($A1489,Store_Dim!$A$2:$F$21,3,FALSE)</f>
        <v>NorthNew Michaelchester</v>
      </c>
    </row>
    <row r="1490" spans="1:16" hidden="1" x14ac:dyDescent="0.25">
      <c r="A1490" t="s">
        <v>801</v>
      </c>
      <c r="B1490" t="s">
        <v>2564</v>
      </c>
      <c r="C1490" t="s">
        <v>614</v>
      </c>
      <c r="D1490" s="2">
        <v>45292</v>
      </c>
      <c r="E1490" t="s">
        <v>344</v>
      </c>
      <c r="F1490" t="str">
        <f>VLOOKUP($C1490,Product_Dim!$A$2:$D$101,3,FALSE)</f>
        <v>May-Reese</v>
      </c>
      <c r="G1490" t="str">
        <f>VLOOKUP($C1490,Product_Dim!$A$2:$D$101,2,FALSE)</f>
        <v>Sports</v>
      </c>
      <c r="H1490">
        <v>3</v>
      </c>
      <c r="I1490">
        <v>108.31</v>
      </c>
      <c r="J1490">
        <v>0.26</v>
      </c>
      <c r="K1490" s="3">
        <v>240.44820000000001</v>
      </c>
      <c r="L1490" t="s">
        <v>857</v>
      </c>
      <c r="M1490" t="str">
        <f>VLOOKUP($E1490,Customer_Dim!$A$2:$F$501,3,FALSE)</f>
        <v>Female</v>
      </c>
      <c r="N1490" t="str">
        <f>VLOOKUP($E1490,Customer_Dim!$A$2:$F$501,5,FALSE)</f>
        <v>USA</v>
      </c>
      <c r="O1490" t="str">
        <f>VLOOKUP($E1490,Customer_Dim!$A$2:$F$501,6,FALSE)</f>
        <v>Platinum</v>
      </c>
      <c r="P1490" t="str">
        <f>VLOOKUP($A1490,Store_Dim!$A$2:$F$21,3,FALSE)</f>
        <v>NorthNew Michaelchester</v>
      </c>
    </row>
    <row r="1491" spans="1:16" hidden="1" x14ac:dyDescent="0.25">
      <c r="A1491" t="s">
        <v>801</v>
      </c>
      <c r="B1491" t="s">
        <v>2672</v>
      </c>
      <c r="C1491" t="s">
        <v>628</v>
      </c>
      <c r="D1491" s="2">
        <v>45814</v>
      </c>
      <c r="E1491" t="s">
        <v>201</v>
      </c>
      <c r="F1491" t="str">
        <f>VLOOKUP($C1491,Product_Dim!$A$2:$D$101,3,FALSE)</f>
        <v>Reed-Schmidt</v>
      </c>
      <c r="G1491" t="str">
        <f>VLOOKUP($C1491,Product_Dim!$A$2:$D$101,2,FALSE)</f>
        <v>Electronics</v>
      </c>
      <c r="H1491">
        <v>4</v>
      </c>
      <c r="I1491">
        <v>282.18</v>
      </c>
      <c r="J1491">
        <v>0.13</v>
      </c>
      <c r="K1491" s="3">
        <v>981.9864</v>
      </c>
      <c r="L1491" t="s">
        <v>857</v>
      </c>
      <c r="M1491" t="str">
        <f>VLOOKUP($E1491,Customer_Dim!$A$2:$F$501,3,FALSE)</f>
        <v>Female</v>
      </c>
      <c r="N1491" t="str">
        <f>VLOOKUP($E1491,Customer_Dim!$A$2:$F$501,5,FALSE)</f>
        <v>USA</v>
      </c>
      <c r="O1491" t="str">
        <f>VLOOKUP($E1491,Customer_Dim!$A$2:$F$501,6,FALSE)</f>
        <v>Platinum</v>
      </c>
      <c r="P1491" t="str">
        <f>VLOOKUP($A1491,Store_Dim!$A$2:$F$21,3,FALSE)</f>
        <v>NorthNew Michaelchester</v>
      </c>
    </row>
    <row r="1492" spans="1:16" hidden="1" x14ac:dyDescent="0.25">
      <c r="A1492" t="s">
        <v>801</v>
      </c>
      <c r="B1492" t="s">
        <v>2043</v>
      </c>
      <c r="C1492" t="s">
        <v>628</v>
      </c>
      <c r="D1492" s="2">
        <v>45729</v>
      </c>
      <c r="E1492" t="s">
        <v>526</v>
      </c>
      <c r="F1492" t="str">
        <f>VLOOKUP($C1492,Product_Dim!$A$2:$D$101,3,FALSE)</f>
        <v>Reed-Schmidt</v>
      </c>
      <c r="G1492" t="str">
        <f>VLOOKUP($C1492,Product_Dim!$A$2:$D$101,2,FALSE)</f>
        <v>Electronics</v>
      </c>
      <c r="H1492">
        <v>1</v>
      </c>
      <c r="I1492">
        <v>429.25</v>
      </c>
      <c r="J1492">
        <v>0.28999999999999998</v>
      </c>
      <c r="K1492" s="3">
        <v>304.76749999999998</v>
      </c>
      <c r="L1492" t="s">
        <v>852</v>
      </c>
      <c r="M1492" t="str">
        <f>VLOOKUP($E1492,Customer_Dim!$A$2:$F$501,3,FALSE)</f>
        <v>Female</v>
      </c>
      <c r="N1492" t="str">
        <f>VLOOKUP($E1492,Customer_Dim!$A$2:$F$501,5,FALSE)</f>
        <v>USA</v>
      </c>
      <c r="O1492" t="str">
        <f>VLOOKUP($E1492,Customer_Dim!$A$2:$F$501,6,FALSE)</f>
        <v>Gold</v>
      </c>
      <c r="P1492" t="str">
        <f>VLOOKUP($A1492,Store_Dim!$A$2:$F$21,3,FALSE)</f>
        <v>NorthNew Michaelchester</v>
      </c>
    </row>
    <row r="1493" spans="1:16" x14ac:dyDescent="0.25">
      <c r="A1493" t="s">
        <v>801</v>
      </c>
      <c r="B1493" t="s">
        <v>2712</v>
      </c>
      <c r="C1493" t="s">
        <v>628</v>
      </c>
      <c r="D1493" s="2">
        <v>45428</v>
      </c>
      <c r="E1493" t="s">
        <v>549</v>
      </c>
      <c r="F1493" t="str">
        <f>VLOOKUP($C1493,Product_Dim!$A$2:$D$101,3,FALSE)</f>
        <v>Reed-Schmidt</v>
      </c>
      <c r="G1493" t="str">
        <f>VLOOKUP($C1493,Product_Dim!$A$2:$D$101,2,FALSE)</f>
        <v>Electronics</v>
      </c>
      <c r="H1493">
        <v>4</v>
      </c>
      <c r="I1493">
        <v>189.56</v>
      </c>
      <c r="J1493">
        <v>0</v>
      </c>
      <c r="K1493" s="3">
        <v>758.24</v>
      </c>
      <c r="L1493" t="s">
        <v>857</v>
      </c>
      <c r="M1493" t="str">
        <f>VLOOKUP($E1493,Customer_Dim!$A$2:$F$501,3,FALSE)</f>
        <v>Male</v>
      </c>
      <c r="N1493" t="str">
        <f>VLOOKUP($E1493,Customer_Dim!$A$2:$F$501,5,FALSE)</f>
        <v>USA</v>
      </c>
      <c r="O1493" t="str">
        <f>VLOOKUP($E1493,Customer_Dim!$A$2:$F$501,6,FALSE)</f>
        <v>Platinum</v>
      </c>
      <c r="P1493" t="str">
        <f>VLOOKUP($A1493,Store_Dim!$A$2:$F$21,3,FALSE)</f>
        <v>NorthNew Michaelchester</v>
      </c>
    </row>
    <row r="1494" spans="1:16" hidden="1" x14ac:dyDescent="0.25">
      <c r="A1494" t="s">
        <v>801</v>
      </c>
      <c r="B1494" t="s">
        <v>2094</v>
      </c>
      <c r="C1494" t="s">
        <v>630</v>
      </c>
      <c r="D1494" s="2">
        <v>45394</v>
      </c>
      <c r="E1494" t="s">
        <v>208</v>
      </c>
      <c r="F1494" t="str">
        <f>VLOOKUP($C1494,Product_Dim!$A$2:$D$101,3,FALSE)</f>
        <v>Khan, Jones and Paul</v>
      </c>
      <c r="G1494" t="str">
        <f>VLOOKUP($C1494,Product_Dim!$A$2:$D$101,2,FALSE)</f>
        <v>Home</v>
      </c>
      <c r="H1494">
        <v>2</v>
      </c>
      <c r="I1494">
        <v>437.84</v>
      </c>
      <c r="J1494">
        <v>0.24</v>
      </c>
      <c r="K1494" s="3">
        <v>665.51679999999999</v>
      </c>
      <c r="L1494" t="s">
        <v>852</v>
      </c>
      <c r="M1494" t="str">
        <f>VLOOKUP($E1494,Customer_Dim!$A$2:$F$501,3,FALSE)</f>
        <v>Female</v>
      </c>
      <c r="N1494" t="str">
        <f>VLOOKUP($E1494,Customer_Dim!$A$2:$F$501,5,FALSE)</f>
        <v>USA</v>
      </c>
      <c r="O1494" t="str">
        <f>VLOOKUP($E1494,Customer_Dim!$A$2:$F$501,6,FALSE)</f>
        <v>Bronze</v>
      </c>
      <c r="P1494" t="str">
        <f>VLOOKUP($A1494,Store_Dim!$A$2:$F$21,3,FALSE)</f>
        <v>NorthNew Michaelchester</v>
      </c>
    </row>
    <row r="1495" spans="1:16" x14ac:dyDescent="0.25">
      <c r="A1495" t="s">
        <v>801</v>
      </c>
      <c r="B1495" t="s">
        <v>2837</v>
      </c>
      <c r="C1495" t="s">
        <v>636</v>
      </c>
      <c r="D1495" s="2">
        <v>45806</v>
      </c>
      <c r="E1495" t="s">
        <v>265</v>
      </c>
      <c r="F1495" t="str">
        <f>VLOOKUP($C1495,Product_Dim!$A$2:$D$101,3,FALSE)</f>
        <v>Stevens, Fernandez and Martin</v>
      </c>
      <c r="G1495" t="str">
        <f>VLOOKUP($C1495,Product_Dim!$A$2:$D$101,2,FALSE)</f>
        <v>Home</v>
      </c>
      <c r="H1495">
        <v>1</v>
      </c>
      <c r="I1495">
        <v>563.01</v>
      </c>
      <c r="J1495">
        <v>0.1</v>
      </c>
      <c r="K1495" s="3">
        <v>506.709</v>
      </c>
      <c r="L1495" t="s">
        <v>852</v>
      </c>
      <c r="M1495" t="str">
        <f>VLOOKUP($E1495,Customer_Dim!$A$2:$F$501,3,FALSE)</f>
        <v>Male</v>
      </c>
      <c r="N1495" t="str">
        <f>VLOOKUP($E1495,Customer_Dim!$A$2:$F$501,5,FALSE)</f>
        <v>USA</v>
      </c>
      <c r="O1495" t="str">
        <f>VLOOKUP($E1495,Customer_Dim!$A$2:$F$501,6,FALSE)</f>
        <v>Platinum</v>
      </c>
      <c r="P1495" t="str">
        <f>VLOOKUP($A1495,Store_Dim!$A$2:$F$21,3,FALSE)</f>
        <v>NorthNew Michaelchester</v>
      </c>
    </row>
    <row r="1496" spans="1:16" x14ac:dyDescent="0.25">
      <c r="A1496" t="s">
        <v>801</v>
      </c>
      <c r="B1496" t="s">
        <v>1831</v>
      </c>
      <c r="C1496" t="s">
        <v>638</v>
      </c>
      <c r="D1496" s="2">
        <v>45857</v>
      </c>
      <c r="E1496" t="s">
        <v>160</v>
      </c>
      <c r="F1496" t="str">
        <f>VLOOKUP($C1496,Product_Dim!$A$2:$D$101,3,FALSE)</f>
        <v>Nolan-Snow</v>
      </c>
      <c r="G1496" t="str">
        <f>VLOOKUP($C1496,Product_Dim!$A$2:$D$101,2,FALSE)</f>
        <v>Sports</v>
      </c>
      <c r="H1496">
        <v>4</v>
      </c>
      <c r="I1496">
        <v>540.69000000000005</v>
      </c>
      <c r="J1496">
        <v>0.09</v>
      </c>
      <c r="K1496" s="3">
        <v>1968.1116</v>
      </c>
      <c r="L1496" t="s">
        <v>857</v>
      </c>
      <c r="M1496" t="str">
        <f>VLOOKUP($E1496,Customer_Dim!$A$2:$F$501,3,FALSE)</f>
        <v>Male</v>
      </c>
      <c r="N1496" t="str">
        <f>VLOOKUP($E1496,Customer_Dim!$A$2:$F$501,5,FALSE)</f>
        <v>USA</v>
      </c>
      <c r="O1496" t="str">
        <f>VLOOKUP($E1496,Customer_Dim!$A$2:$F$501,6,FALSE)</f>
        <v>Silver</v>
      </c>
      <c r="P1496" t="str">
        <f>VLOOKUP($A1496,Store_Dim!$A$2:$F$21,3,FALSE)</f>
        <v>NorthNew Michaelchester</v>
      </c>
    </row>
    <row r="1497" spans="1:16" hidden="1" x14ac:dyDescent="0.25">
      <c r="A1497" t="s">
        <v>801</v>
      </c>
      <c r="B1497" t="s">
        <v>954</v>
      </c>
      <c r="C1497" t="s">
        <v>642</v>
      </c>
      <c r="D1497" s="2">
        <v>45677</v>
      </c>
      <c r="E1497" t="s">
        <v>436</v>
      </c>
      <c r="F1497" t="str">
        <f>VLOOKUP($C1497,Product_Dim!$A$2:$D$101,3,FALSE)</f>
        <v>Weiss-Watson</v>
      </c>
      <c r="G1497" t="str">
        <f>VLOOKUP($C1497,Product_Dim!$A$2:$D$101,2,FALSE)</f>
        <v>Home</v>
      </c>
      <c r="H1497">
        <v>2</v>
      </c>
      <c r="I1497">
        <v>401.5</v>
      </c>
      <c r="J1497">
        <v>0.18</v>
      </c>
      <c r="K1497" s="3">
        <v>658.46</v>
      </c>
      <c r="L1497" t="s">
        <v>852</v>
      </c>
      <c r="M1497" t="str">
        <f>VLOOKUP($E1497,Customer_Dim!$A$2:$F$501,3,FALSE)</f>
        <v>Female</v>
      </c>
      <c r="N1497" t="str">
        <f>VLOOKUP($E1497,Customer_Dim!$A$2:$F$501,5,FALSE)</f>
        <v>USA</v>
      </c>
      <c r="O1497" t="str">
        <f>VLOOKUP($E1497,Customer_Dim!$A$2:$F$501,6,FALSE)</f>
        <v>Platinum</v>
      </c>
      <c r="P1497" t="str">
        <f>VLOOKUP($A1497,Store_Dim!$A$2:$F$21,3,FALSE)</f>
        <v>NorthNew Michaelchester</v>
      </c>
    </row>
    <row r="1498" spans="1:16" hidden="1" x14ac:dyDescent="0.25">
      <c r="A1498" t="s">
        <v>801</v>
      </c>
      <c r="B1498" t="s">
        <v>1465</v>
      </c>
      <c r="C1498" t="s">
        <v>644</v>
      </c>
      <c r="D1498" s="2">
        <v>45652</v>
      </c>
      <c r="E1498" t="s">
        <v>339</v>
      </c>
      <c r="F1498" t="str">
        <f>VLOOKUP($C1498,Product_Dim!$A$2:$D$101,3,FALSE)</f>
        <v>Lucero LLC</v>
      </c>
      <c r="G1498" t="str">
        <f>VLOOKUP($C1498,Product_Dim!$A$2:$D$101,2,FALSE)</f>
        <v>Electronics</v>
      </c>
      <c r="H1498">
        <v>4</v>
      </c>
      <c r="I1498">
        <v>745.51</v>
      </c>
      <c r="J1498">
        <v>0.05</v>
      </c>
      <c r="K1498" s="3">
        <v>2832.9380000000001</v>
      </c>
      <c r="L1498" t="s">
        <v>852</v>
      </c>
      <c r="M1498" t="str">
        <f>VLOOKUP($E1498,Customer_Dim!$A$2:$F$501,3,FALSE)</f>
        <v>Female</v>
      </c>
      <c r="N1498" t="str">
        <f>VLOOKUP($E1498,Customer_Dim!$A$2:$F$501,5,FALSE)</f>
        <v>USA</v>
      </c>
      <c r="O1498" t="str">
        <f>VLOOKUP($E1498,Customer_Dim!$A$2:$F$501,6,FALSE)</f>
        <v>Gold</v>
      </c>
      <c r="P1498" t="str">
        <f>VLOOKUP($A1498,Store_Dim!$A$2:$F$21,3,FALSE)</f>
        <v>NorthNew Michaelchester</v>
      </c>
    </row>
    <row r="1499" spans="1:16" hidden="1" x14ac:dyDescent="0.25">
      <c r="A1499" t="s">
        <v>801</v>
      </c>
      <c r="B1499" t="s">
        <v>2832</v>
      </c>
      <c r="C1499" t="s">
        <v>646</v>
      </c>
      <c r="D1499" s="2">
        <v>45615</v>
      </c>
      <c r="E1499" t="s">
        <v>204</v>
      </c>
      <c r="F1499" t="str">
        <f>VLOOKUP($C1499,Product_Dim!$A$2:$D$101,3,FALSE)</f>
        <v>Jones LLC</v>
      </c>
      <c r="G1499" t="str">
        <f>VLOOKUP($C1499,Product_Dim!$A$2:$D$101,2,FALSE)</f>
        <v>Home</v>
      </c>
      <c r="H1499">
        <v>3</v>
      </c>
      <c r="I1499">
        <v>585.54999999999995</v>
      </c>
      <c r="J1499">
        <v>0.14000000000000001</v>
      </c>
      <c r="K1499" s="3">
        <v>1510.7190000000001</v>
      </c>
      <c r="L1499" t="s">
        <v>857</v>
      </c>
      <c r="M1499" t="str">
        <f>VLOOKUP($E1499,Customer_Dim!$A$2:$F$501,3,FALSE)</f>
        <v>Female</v>
      </c>
      <c r="N1499" t="str">
        <f>VLOOKUP($E1499,Customer_Dim!$A$2:$F$501,5,FALSE)</f>
        <v>USA</v>
      </c>
      <c r="O1499" t="str">
        <f>VLOOKUP($E1499,Customer_Dim!$A$2:$F$501,6,FALSE)</f>
        <v>Gold</v>
      </c>
      <c r="P1499" t="str">
        <f>VLOOKUP($A1499,Store_Dim!$A$2:$F$21,3,FALSE)</f>
        <v>NorthNew Michaelchester</v>
      </c>
    </row>
    <row r="1500" spans="1:16" x14ac:dyDescent="0.25">
      <c r="A1500" t="s">
        <v>801</v>
      </c>
      <c r="B1500" t="s">
        <v>926</v>
      </c>
      <c r="C1500" t="s">
        <v>652</v>
      </c>
      <c r="D1500" s="2">
        <v>45533</v>
      </c>
      <c r="E1500" t="s">
        <v>476</v>
      </c>
      <c r="F1500" t="str">
        <f>VLOOKUP($C1500,Product_Dim!$A$2:$D$101,3,FALSE)</f>
        <v>Sims-Smith</v>
      </c>
      <c r="G1500" t="str">
        <f>VLOOKUP($C1500,Product_Dim!$A$2:$D$101,2,FALSE)</f>
        <v>Sports</v>
      </c>
      <c r="H1500">
        <v>1</v>
      </c>
      <c r="I1500">
        <v>553.82000000000005</v>
      </c>
      <c r="J1500">
        <v>0.09</v>
      </c>
      <c r="K1500" s="3">
        <v>503.97620000000012</v>
      </c>
      <c r="L1500" t="s">
        <v>852</v>
      </c>
      <c r="M1500" t="str">
        <f>VLOOKUP($E1500,Customer_Dim!$A$2:$F$501,3,FALSE)</f>
        <v>Male</v>
      </c>
      <c r="N1500" t="str">
        <f>VLOOKUP($E1500,Customer_Dim!$A$2:$F$501,5,FALSE)</f>
        <v>USA</v>
      </c>
      <c r="O1500" t="str">
        <f>VLOOKUP($E1500,Customer_Dim!$A$2:$F$501,6,FALSE)</f>
        <v>Gold</v>
      </c>
      <c r="P1500" t="str">
        <f>VLOOKUP($A1500,Store_Dim!$A$2:$F$21,3,FALSE)</f>
        <v>NorthNew Michaelchester</v>
      </c>
    </row>
    <row r="1501" spans="1:16" x14ac:dyDescent="0.25">
      <c r="A1501" t="s">
        <v>801</v>
      </c>
      <c r="B1501" t="s">
        <v>2499</v>
      </c>
      <c r="C1501" t="s">
        <v>654</v>
      </c>
      <c r="D1501" s="2">
        <v>45294</v>
      </c>
      <c r="E1501" t="s">
        <v>410</v>
      </c>
      <c r="F1501" t="str">
        <f>VLOOKUP($C1501,Product_Dim!$A$2:$D$101,3,FALSE)</f>
        <v>Cummings and Sons</v>
      </c>
      <c r="G1501" t="str">
        <f>VLOOKUP($C1501,Product_Dim!$A$2:$D$101,2,FALSE)</f>
        <v>Electronics</v>
      </c>
      <c r="H1501">
        <v>1</v>
      </c>
      <c r="I1501">
        <v>702.27</v>
      </c>
      <c r="J1501">
        <v>0.17</v>
      </c>
      <c r="K1501" s="3">
        <v>582.88409999999999</v>
      </c>
      <c r="L1501" t="s">
        <v>857</v>
      </c>
      <c r="M1501" t="str">
        <f>VLOOKUP($E1501,Customer_Dim!$A$2:$F$501,3,FALSE)</f>
        <v>Male</v>
      </c>
      <c r="N1501" t="str">
        <f>VLOOKUP($E1501,Customer_Dim!$A$2:$F$501,5,FALSE)</f>
        <v>USA</v>
      </c>
      <c r="O1501" t="str">
        <f>VLOOKUP($E1501,Customer_Dim!$A$2:$F$501,6,FALSE)</f>
        <v>Bronze</v>
      </c>
      <c r="P1501" t="str">
        <f>VLOOKUP($A1501,Store_Dim!$A$2:$F$21,3,FALSE)</f>
        <v>NorthNew Michaelchester</v>
      </c>
    </row>
    <row r="1502" spans="1:16" hidden="1" x14ac:dyDescent="0.25">
      <c r="A1502" t="s">
        <v>801</v>
      </c>
      <c r="B1502" t="s">
        <v>1736</v>
      </c>
      <c r="C1502" t="s">
        <v>656</v>
      </c>
      <c r="D1502" s="2">
        <v>45360</v>
      </c>
      <c r="E1502" t="s">
        <v>432</v>
      </c>
      <c r="F1502" t="str">
        <f>VLOOKUP($C1502,Product_Dim!$A$2:$D$101,3,FALSE)</f>
        <v>Taylor-Hart</v>
      </c>
      <c r="G1502" t="str">
        <f>VLOOKUP($C1502,Product_Dim!$A$2:$D$101,2,FALSE)</f>
        <v>Electronics</v>
      </c>
      <c r="H1502">
        <v>3</v>
      </c>
      <c r="I1502">
        <v>174.57</v>
      </c>
      <c r="J1502">
        <v>0</v>
      </c>
      <c r="K1502" s="3">
        <v>523.71</v>
      </c>
      <c r="L1502" t="s">
        <v>854</v>
      </c>
      <c r="M1502" t="str">
        <f>VLOOKUP($E1502,Customer_Dim!$A$2:$F$501,3,FALSE)</f>
        <v>Female</v>
      </c>
      <c r="N1502" t="str">
        <f>VLOOKUP($E1502,Customer_Dim!$A$2:$F$501,5,FALSE)</f>
        <v>USA</v>
      </c>
      <c r="O1502" t="str">
        <f>VLOOKUP($E1502,Customer_Dim!$A$2:$F$501,6,FALSE)</f>
        <v>Platinum</v>
      </c>
      <c r="P1502" t="str">
        <f>VLOOKUP($A1502,Store_Dim!$A$2:$F$21,3,FALSE)</f>
        <v>NorthNew Michaelchester</v>
      </c>
    </row>
    <row r="1503" spans="1:16" x14ac:dyDescent="0.25">
      <c r="A1503" t="s">
        <v>801</v>
      </c>
      <c r="B1503" t="s">
        <v>2009</v>
      </c>
      <c r="C1503" t="s">
        <v>658</v>
      </c>
      <c r="D1503" s="2">
        <v>45556</v>
      </c>
      <c r="E1503" t="s">
        <v>407</v>
      </c>
      <c r="F1503" t="str">
        <f>VLOOKUP($C1503,Product_Dim!$A$2:$D$101,3,FALSE)</f>
        <v>Carroll, Long and Mendoza</v>
      </c>
      <c r="G1503" t="str">
        <f>VLOOKUP($C1503,Product_Dim!$A$2:$D$101,2,FALSE)</f>
        <v>Sports</v>
      </c>
      <c r="H1503">
        <v>2</v>
      </c>
      <c r="I1503">
        <v>20.47</v>
      </c>
      <c r="J1503">
        <v>0.12</v>
      </c>
      <c r="K1503" s="3">
        <v>36.027200000000001</v>
      </c>
      <c r="L1503" t="s">
        <v>857</v>
      </c>
      <c r="M1503" t="str">
        <f>VLOOKUP($E1503,Customer_Dim!$A$2:$F$501,3,FALSE)</f>
        <v>Male</v>
      </c>
      <c r="N1503" t="str">
        <f>VLOOKUP($E1503,Customer_Dim!$A$2:$F$501,5,FALSE)</f>
        <v>USA</v>
      </c>
      <c r="O1503" t="str">
        <f>VLOOKUP($E1503,Customer_Dim!$A$2:$F$501,6,FALSE)</f>
        <v>Bronze</v>
      </c>
      <c r="P1503" t="str">
        <f>VLOOKUP($A1503,Store_Dim!$A$2:$F$21,3,FALSE)</f>
        <v>NorthNew Michaelchester</v>
      </c>
    </row>
    <row r="1504" spans="1:16" hidden="1" x14ac:dyDescent="0.25">
      <c r="A1504" t="s">
        <v>801</v>
      </c>
      <c r="B1504" t="s">
        <v>2698</v>
      </c>
      <c r="C1504" t="s">
        <v>662</v>
      </c>
      <c r="D1504" s="2">
        <v>45716</v>
      </c>
      <c r="E1504" t="s">
        <v>266</v>
      </c>
      <c r="F1504" t="str">
        <f>VLOOKUP($C1504,Product_Dim!$A$2:$D$101,3,FALSE)</f>
        <v>Robinson Inc</v>
      </c>
      <c r="G1504" t="str">
        <f>VLOOKUP($C1504,Product_Dim!$A$2:$D$101,2,FALSE)</f>
        <v>Electronics</v>
      </c>
      <c r="H1504">
        <v>2</v>
      </c>
      <c r="I1504">
        <v>549.91999999999996</v>
      </c>
      <c r="J1504">
        <v>0.28000000000000003</v>
      </c>
      <c r="K1504" s="3">
        <v>791.88479999999993</v>
      </c>
      <c r="L1504" t="s">
        <v>852</v>
      </c>
      <c r="M1504" t="str">
        <f>VLOOKUP($E1504,Customer_Dim!$A$2:$F$501,3,FALSE)</f>
        <v>Female</v>
      </c>
      <c r="N1504" t="str">
        <f>VLOOKUP($E1504,Customer_Dim!$A$2:$F$501,5,FALSE)</f>
        <v>USA</v>
      </c>
      <c r="O1504" t="str">
        <f>VLOOKUP($E1504,Customer_Dim!$A$2:$F$501,6,FALSE)</f>
        <v>Bronze</v>
      </c>
      <c r="P1504" t="str">
        <f>VLOOKUP($A1504,Store_Dim!$A$2:$F$21,3,FALSE)</f>
        <v>NorthNew Michaelchester</v>
      </c>
    </row>
    <row r="1505" spans="1:16" x14ac:dyDescent="0.25">
      <c r="A1505" t="s">
        <v>801</v>
      </c>
      <c r="B1505" t="s">
        <v>2688</v>
      </c>
      <c r="C1505" t="s">
        <v>662</v>
      </c>
      <c r="D1505" s="2">
        <v>45842</v>
      </c>
      <c r="E1505" t="s">
        <v>427</v>
      </c>
      <c r="F1505" t="str">
        <f>VLOOKUP($C1505,Product_Dim!$A$2:$D$101,3,FALSE)</f>
        <v>Robinson Inc</v>
      </c>
      <c r="G1505" t="str">
        <f>VLOOKUP($C1505,Product_Dim!$A$2:$D$101,2,FALSE)</f>
        <v>Electronics</v>
      </c>
      <c r="H1505">
        <v>3</v>
      </c>
      <c r="I1505">
        <v>56.17</v>
      </c>
      <c r="J1505">
        <v>0.01</v>
      </c>
      <c r="K1505" s="3">
        <v>166.82490000000001</v>
      </c>
      <c r="L1505" t="s">
        <v>857</v>
      </c>
      <c r="M1505" t="str">
        <f>VLOOKUP($E1505,Customer_Dim!$A$2:$F$501,3,FALSE)</f>
        <v>Male</v>
      </c>
      <c r="N1505" t="str">
        <f>VLOOKUP($E1505,Customer_Dim!$A$2:$F$501,5,FALSE)</f>
        <v>USA</v>
      </c>
      <c r="O1505" t="str">
        <f>VLOOKUP($E1505,Customer_Dim!$A$2:$F$501,6,FALSE)</f>
        <v>Platinum</v>
      </c>
      <c r="P1505" t="str">
        <f>VLOOKUP($A1505,Store_Dim!$A$2:$F$21,3,FALSE)</f>
        <v>NorthNew Michaelchester</v>
      </c>
    </row>
    <row r="1506" spans="1:16" hidden="1" x14ac:dyDescent="0.25">
      <c r="A1506" t="s">
        <v>801</v>
      </c>
      <c r="B1506" t="s">
        <v>2782</v>
      </c>
      <c r="C1506" t="s">
        <v>666</v>
      </c>
      <c r="D1506" s="2">
        <v>45257</v>
      </c>
      <c r="E1506" t="s">
        <v>225</v>
      </c>
      <c r="F1506" t="str">
        <f>VLOOKUP($C1506,Product_Dim!$A$2:$D$101,3,FALSE)</f>
        <v>Bridges, Banks and Cummings</v>
      </c>
      <c r="G1506" t="str">
        <f>VLOOKUP($C1506,Product_Dim!$A$2:$D$101,2,FALSE)</f>
        <v>Sports</v>
      </c>
      <c r="H1506">
        <v>2</v>
      </c>
      <c r="I1506">
        <v>336.97</v>
      </c>
      <c r="J1506">
        <v>0.14000000000000001</v>
      </c>
      <c r="K1506" s="3">
        <v>579.58840000000009</v>
      </c>
      <c r="L1506" t="s">
        <v>854</v>
      </c>
      <c r="M1506" t="str">
        <f>VLOOKUP($E1506,Customer_Dim!$A$2:$F$501,3,FALSE)</f>
        <v>Female</v>
      </c>
      <c r="N1506" t="str">
        <f>VLOOKUP($E1506,Customer_Dim!$A$2:$F$501,5,FALSE)</f>
        <v>USA</v>
      </c>
      <c r="O1506" t="str">
        <f>VLOOKUP($E1506,Customer_Dim!$A$2:$F$501,6,FALSE)</f>
        <v>Silver</v>
      </c>
      <c r="P1506" t="str">
        <f>VLOOKUP($A1506,Store_Dim!$A$2:$F$21,3,FALSE)</f>
        <v>NorthNew Michaelchester</v>
      </c>
    </row>
    <row r="1507" spans="1:16" x14ac:dyDescent="0.25">
      <c r="A1507" t="s">
        <v>801</v>
      </c>
      <c r="B1507" t="s">
        <v>2165</v>
      </c>
      <c r="C1507" t="s">
        <v>672</v>
      </c>
      <c r="D1507" s="2">
        <v>45376</v>
      </c>
      <c r="E1507" t="s">
        <v>499</v>
      </c>
      <c r="F1507" t="str">
        <f>VLOOKUP($C1507,Product_Dim!$A$2:$D$101,3,FALSE)</f>
        <v>Byrd, Stewart and Valdez</v>
      </c>
      <c r="G1507" t="str">
        <f>VLOOKUP($C1507,Product_Dim!$A$2:$D$101,2,FALSE)</f>
        <v>Electronics</v>
      </c>
      <c r="H1507">
        <v>1</v>
      </c>
      <c r="I1507">
        <v>340.9</v>
      </c>
      <c r="J1507">
        <v>0.28999999999999998</v>
      </c>
      <c r="K1507" s="3">
        <v>242.03899999999999</v>
      </c>
      <c r="L1507" t="s">
        <v>852</v>
      </c>
      <c r="M1507" t="str">
        <f>VLOOKUP($E1507,Customer_Dim!$A$2:$F$501,3,FALSE)</f>
        <v>Male</v>
      </c>
      <c r="N1507" t="str">
        <f>VLOOKUP($E1507,Customer_Dim!$A$2:$F$501,5,FALSE)</f>
        <v>USA</v>
      </c>
      <c r="O1507" t="str">
        <f>VLOOKUP($E1507,Customer_Dim!$A$2:$F$501,6,FALSE)</f>
        <v>Bronze</v>
      </c>
      <c r="P1507" t="str">
        <f>VLOOKUP($A1507,Store_Dim!$A$2:$F$21,3,FALSE)</f>
        <v>NorthNew Michaelchester</v>
      </c>
    </row>
    <row r="1508" spans="1:16" hidden="1" x14ac:dyDescent="0.25">
      <c r="A1508" t="s">
        <v>801</v>
      </c>
      <c r="B1508" t="s">
        <v>1675</v>
      </c>
      <c r="C1508" t="s">
        <v>674</v>
      </c>
      <c r="D1508" s="2">
        <v>45307</v>
      </c>
      <c r="E1508" t="s">
        <v>100</v>
      </c>
      <c r="F1508" t="str">
        <f>VLOOKUP($C1508,Product_Dim!$A$2:$D$101,3,FALSE)</f>
        <v>Sullivan and Sons</v>
      </c>
      <c r="G1508" t="str">
        <f>VLOOKUP($C1508,Product_Dim!$A$2:$D$101,2,FALSE)</f>
        <v>Beauty</v>
      </c>
      <c r="H1508">
        <v>1</v>
      </c>
      <c r="I1508">
        <v>678.9</v>
      </c>
      <c r="J1508">
        <v>0.17</v>
      </c>
      <c r="K1508" s="3">
        <v>563.48699999999997</v>
      </c>
      <c r="L1508" t="s">
        <v>852</v>
      </c>
      <c r="M1508" t="str">
        <f>VLOOKUP($E1508,Customer_Dim!$A$2:$F$501,3,FALSE)</f>
        <v>Female</v>
      </c>
      <c r="N1508" t="str">
        <f>VLOOKUP($E1508,Customer_Dim!$A$2:$F$501,5,FALSE)</f>
        <v>USA</v>
      </c>
      <c r="O1508" t="str">
        <f>VLOOKUP($E1508,Customer_Dim!$A$2:$F$501,6,FALSE)</f>
        <v>Gold</v>
      </c>
      <c r="P1508" t="str">
        <f>VLOOKUP($A1508,Store_Dim!$A$2:$F$21,3,FALSE)</f>
        <v>NorthNew Michaelchester</v>
      </c>
    </row>
    <row r="1509" spans="1:16" hidden="1" x14ac:dyDescent="0.25">
      <c r="A1509" t="s">
        <v>801</v>
      </c>
      <c r="B1509" t="s">
        <v>1288</v>
      </c>
      <c r="C1509" t="s">
        <v>583</v>
      </c>
      <c r="D1509" s="2">
        <v>45266</v>
      </c>
      <c r="E1509" t="s">
        <v>212</v>
      </c>
      <c r="F1509" t="str">
        <f>VLOOKUP($C1509,Product_Dim!$A$2:$D$101,3,FALSE)</f>
        <v>Baldwin, Garza and Gonzalez</v>
      </c>
      <c r="G1509" t="str">
        <f>VLOOKUP($C1509,Product_Dim!$A$2:$D$101,2,FALSE)</f>
        <v>Clothing</v>
      </c>
      <c r="H1509">
        <v>3</v>
      </c>
      <c r="I1509">
        <v>589.83000000000004</v>
      </c>
      <c r="J1509">
        <v>0.26</v>
      </c>
      <c r="K1509" s="3">
        <v>1309.4226000000001</v>
      </c>
      <c r="L1509" t="s">
        <v>852</v>
      </c>
      <c r="M1509" t="str">
        <f>VLOOKUP($E1509,Customer_Dim!$A$2:$F$501,3,FALSE)</f>
        <v>Female</v>
      </c>
      <c r="N1509" t="str">
        <f>VLOOKUP($E1509,Customer_Dim!$A$2:$F$501,5,FALSE)</f>
        <v>USA</v>
      </c>
      <c r="O1509" t="str">
        <f>VLOOKUP($E1509,Customer_Dim!$A$2:$F$501,6,FALSE)</f>
        <v>Bronze</v>
      </c>
      <c r="P1509" t="str">
        <f>VLOOKUP($A1509,Store_Dim!$A$2:$F$21,3,FALSE)</f>
        <v>NorthNew Michaelchester</v>
      </c>
    </row>
    <row r="1510" spans="1:16" x14ac:dyDescent="0.25">
      <c r="A1510" t="s">
        <v>801</v>
      </c>
      <c r="B1510" t="s">
        <v>2783</v>
      </c>
      <c r="C1510" t="s">
        <v>583</v>
      </c>
      <c r="D1510" s="2">
        <v>45466</v>
      </c>
      <c r="E1510" t="s">
        <v>377</v>
      </c>
      <c r="F1510" t="str">
        <f>VLOOKUP($C1510,Product_Dim!$A$2:$D$101,3,FALSE)</f>
        <v>Baldwin, Garza and Gonzalez</v>
      </c>
      <c r="G1510" t="str">
        <f>VLOOKUP($C1510,Product_Dim!$A$2:$D$101,2,FALSE)</f>
        <v>Clothing</v>
      </c>
      <c r="H1510">
        <v>2</v>
      </c>
      <c r="I1510">
        <v>344.16</v>
      </c>
      <c r="J1510">
        <v>0.09</v>
      </c>
      <c r="K1510" s="3">
        <v>626.37120000000004</v>
      </c>
      <c r="L1510" t="s">
        <v>854</v>
      </c>
      <c r="M1510" t="str">
        <f>VLOOKUP($E1510,Customer_Dim!$A$2:$F$501,3,FALSE)</f>
        <v>Male</v>
      </c>
      <c r="N1510" t="str">
        <f>VLOOKUP($E1510,Customer_Dim!$A$2:$F$501,5,FALSE)</f>
        <v>USA</v>
      </c>
      <c r="O1510" t="str">
        <f>VLOOKUP($E1510,Customer_Dim!$A$2:$F$501,6,FALSE)</f>
        <v>Silver</v>
      </c>
      <c r="P1510" t="str">
        <f>VLOOKUP($A1510,Store_Dim!$A$2:$F$21,3,FALSE)</f>
        <v>NorthNew Michaelchester</v>
      </c>
    </row>
    <row r="1511" spans="1:16" x14ac:dyDescent="0.25">
      <c r="A1511" t="s">
        <v>801</v>
      </c>
      <c r="B1511" t="s">
        <v>1643</v>
      </c>
      <c r="C1511" t="s">
        <v>583</v>
      </c>
      <c r="D1511" s="2">
        <v>45325</v>
      </c>
      <c r="E1511" t="s">
        <v>437</v>
      </c>
      <c r="F1511" t="str">
        <f>VLOOKUP($C1511,Product_Dim!$A$2:$D$101,3,FALSE)</f>
        <v>Baldwin, Garza and Gonzalez</v>
      </c>
      <c r="G1511" t="str">
        <f>VLOOKUP($C1511,Product_Dim!$A$2:$D$101,2,FALSE)</f>
        <v>Clothing</v>
      </c>
      <c r="H1511">
        <v>2</v>
      </c>
      <c r="I1511">
        <v>788.05</v>
      </c>
      <c r="J1511">
        <v>0.21</v>
      </c>
      <c r="K1511" s="3">
        <v>1245.1189999999999</v>
      </c>
      <c r="L1511" t="s">
        <v>852</v>
      </c>
      <c r="M1511" t="str">
        <f>VLOOKUP($E1511,Customer_Dim!$A$2:$F$501,3,FALSE)</f>
        <v>Male</v>
      </c>
      <c r="N1511" t="str">
        <f>VLOOKUP($E1511,Customer_Dim!$A$2:$F$501,5,FALSE)</f>
        <v>USA</v>
      </c>
      <c r="O1511" t="str">
        <f>VLOOKUP($E1511,Customer_Dim!$A$2:$F$501,6,FALSE)</f>
        <v>Silver</v>
      </c>
      <c r="P1511" t="str">
        <f>VLOOKUP($A1511,Store_Dim!$A$2:$F$21,3,FALSE)</f>
        <v>NorthNew Michaelchester</v>
      </c>
    </row>
    <row r="1512" spans="1:16" x14ac:dyDescent="0.25">
      <c r="A1512" t="s">
        <v>801</v>
      </c>
      <c r="B1512" t="s">
        <v>1535</v>
      </c>
      <c r="C1512" t="s">
        <v>676</v>
      </c>
      <c r="D1512" s="2">
        <v>45292</v>
      </c>
      <c r="E1512" t="s">
        <v>86</v>
      </c>
      <c r="F1512" t="str">
        <f>VLOOKUP($C1512,Product_Dim!$A$2:$D$101,3,FALSE)</f>
        <v>Smith-King</v>
      </c>
      <c r="G1512" t="str">
        <f>VLOOKUP($C1512,Product_Dim!$A$2:$D$101,2,FALSE)</f>
        <v>Sports</v>
      </c>
      <c r="H1512">
        <v>2</v>
      </c>
      <c r="I1512">
        <v>42.04</v>
      </c>
      <c r="J1512">
        <v>7.0000000000000007E-2</v>
      </c>
      <c r="K1512" s="3">
        <v>78.194399999999987</v>
      </c>
      <c r="L1512" t="s">
        <v>852</v>
      </c>
      <c r="M1512" t="str">
        <f>VLOOKUP($E1512,Customer_Dim!$A$2:$F$501,3,FALSE)</f>
        <v>Male</v>
      </c>
      <c r="N1512" t="str">
        <f>VLOOKUP($E1512,Customer_Dim!$A$2:$F$501,5,FALSE)</f>
        <v>USA</v>
      </c>
      <c r="O1512" t="str">
        <f>VLOOKUP($E1512,Customer_Dim!$A$2:$F$501,6,FALSE)</f>
        <v>Gold</v>
      </c>
      <c r="P1512" t="str">
        <f>VLOOKUP($A1512,Store_Dim!$A$2:$F$21,3,FALSE)</f>
        <v>NorthNew Michaelchester</v>
      </c>
    </row>
    <row r="1513" spans="1:16" x14ac:dyDescent="0.25">
      <c r="A1513" t="s">
        <v>801</v>
      </c>
      <c r="B1513" t="s">
        <v>1188</v>
      </c>
      <c r="C1513" t="s">
        <v>676</v>
      </c>
      <c r="D1513" s="2">
        <v>45609</v>
      </c>
      <c r="E1513" t="s">
        <v>416</v>
      </c>
      <c r="F1513" t="str">
        <f>VLOOKUP($C1513,Product_Dim!$A$2:$D$101,3,FALSE)</f>
        <v>Smith-King</v>
      </c>
      <c r="G1513" t="str">
        <f>VLOOKUP($C1513,Product_Dim!$A$2:$D$101,2,FALSE)</f>
        <v>Sports</v>
      </c>
      <c r="H1513">
        <v>2</v>
      </c>
      <c r="I1513">
        <v>613.23</v>
      </c>
      <c r="J1513">
        <v>0.15</v>
      </c>
      <c r="K1513" s="3">
        <v>1042.491</v>
      </c>
      <c r="L1513" t="s">
        <v>854</v>
      </c>
      <c r="M1513" t="str">
        <f>VLOOKUP($E1513,Customer_Dim!$A$2:$F$501,3,FALSE)</f>
        <v>Male</v>
      </c>
      <c r="N1513" t="str">
        <f>VLOOKUP($E1513,Customer_Dim!$A$2:$F$501,5,FALSE)</f>
        <v>USA</v>
      </c>
      <c r="O1513" t="str">
        <f>VLOOKUP($E1513,Customer_Dim!$A$2:$F$501,6,FALSE)</f>
        <v>Bronze</v>
      </c>
      <c r="P1513" t="str">
        <f>VLOOKUP($A1513,Store_Dim!$A$2:$F$21,3,FALSE)</f>
        <v>NorthNew Michaelchester</v>
      </c>
    </row>
    <row r="1514" spans="1:16" hidden="1" x14ac:dyDescent="0.25">
      <c r="A1514" t="s">
        <v>801</v>
      </c>
      <c r="B1514" t="s">
        <v>1004</v>
      </c>
      <c r="C1514" t="s">
        <v>680</v>
      </c>
      <c r="D1514" s="2">
        <v>45433</v>
      </c>
      <c r="E1514" t="s">
        <v>120</v>
      </c>
      <c r="F1514" t="str">
        <f>VLOOKUP($C1514,Product_Dim!$A$2:$D$101,3,FALSE)</f>
        <v>Harris Inc</v>
      </c>
      <c r="G1514" t="str">
        <f>VLOOKUP($C1514,Product_Dim!$A$2:$D$101,2,FALSE)</f>
        <v>Sports</v>
      </c>
      <c r="H1514">
        <v>4</v>
      </c>
      <c r="I1514">
        <v>355.64</v>
      </c>
      <c r="J1514">
        <v>0.16</v>
      </c>
      <c r="K1514" s="3">
        <v>1194.9503999999999</v>
      </c>
      <c r="L1514" t="s">
        <v>857</v>
      </c>
      <c r="M1514" t="str">
        <f>VLOOKUP($E1514,Customer_Dim!$A$2:$F$501,3,FALSE)</f>
        <v>Female</v>
      </c>
      <c r="N1514" t="str">
        <f>VLOOKUP($E1514,Customer_Dim!$A$2:$F$501,5,FALSE)</f>
        <v>USA</v>
      </c>
      <c r="O1514" t="str">
        <f>VLOOKUP($E1514,Customer_Dim!$A$2:$F$501,6,FALSE)</f>
        <v>Silver</v>
      </c>
      <c r="P1514" t="str">
        <f>VLOOKUP($A1514,Store_Dim!$A$2:$F$21,3,FALSE)</f>
        <v>NorthNew Michaelchester</v>
      </c>
    </row>
    <row r="1515" spans="1:16" x14ac:dyDescent="0.25">
      <c r="A1515" t="s">
        <v>801</v>
      </c>
      <c r="B1515" t="s">
        <v>1784</v>
      </c>
      <c r="C1515" t="s">
        <v>680</v>
      </c>
      <c r="D1515" s="2">
        <v>45557</v>
      </c>
      <c r="E1515" t="s">
        <v>470</v>
      </c>
      <c r="F1515" t="str">
        <f>VLOOKUP($C1515,Product_Dim!$A$2:$D$101,3,FALSE)</f>
        <v>Harris Inc</v>
      </c>
      <c r="G1515" t="str">
        <f>VLOOKUP($C1515,Product_Dim!$A$2:$D$101,2,FALSE)</f>
        <v>Sports</v>
      </c>
      <c r="H1515">
        <v>2</v>
      </c>
      <c r="I1515">
        <v>576.83000000000004</v>
      </c>
      <c r="J1515">
        <v>0.19</v>
      </c>
      <c r="K1515" s="3">
        <v>934.46460000000013</v>
      </c>
      <c r="L1515" t="s">
        <v>854</v>
      </c>
      <c r="M1515" t="str">
        <f>VLOOKUP($E1515,Customer_Dim!$A$2:$F$501,3,FALSE)</f>
        <v>Male</v>
      </c>
      <c r="N1515" t="str">
        <f>VLOOKUP($E1515,Customer_Dim!$A$2:$F$501,5,FALSE)</f>
        <v>USA</v>
      </c>
      <c r="O1515" t="str">
        <f>VLOOKUP($E1515,Customer_Dim!$A$2:$F$501,6,FALSE)</f>
        <v>Bronze</v>
      </c>
      <c r="P1515" t="str">
        <f>VLOOKUP($A1515,Store_Dim!$A$2:$F$21,3,FALSE)</f>
        <v>NorthNew Michaelchester</v>
      </c>
    </row>
    <row r="1516" spans="1:16" x14ac:dyDescent="0.25">
      <c r="A1516" t="s">
        <v>801</v>
      </c>
      <c r="B1516" t="s">
        <v>1770</v>
      </c>
      <c r="C1516" t="s">
        <v>682</v>
      </c>
      <c r="D1516" s="2">
        <v>45621</v>
      </c>
      <c r="E1516" t="s">
        <v>194</v>
      </c>
      <c r="F1516" t="str">
        <f>VLOOKUP($C1516,Product_Dim!$A$2:$D$101,3,FALSE)</f>
        <v>Hamilton, Woods and Walker</v>
      </c>
      <c r="G1516" t="str">
        <f>VLOOKUP($C1516,Product_Dim!$A$2:$D$101,2,FALSE)</f>
        <v>Clothing</v>
      </c>
      <c r="H1516">
        <v>3</v>
      </c>
      <c r="I1516">
        <v>214.94</v>
      </c>
      <c r="J1516">
        <v>0.22</v>
      </c>
      <c r="K1516" s="3">
        <v>502.95960000000002</v>
      </c>
      <c r="L1516" t="s">
        <v>857</v>
      </c>
      <c r="M1516" t="str">
        <f>VLOOKUP($E1516,Customer_Dim!$A$2:$F$501,3,FALSE)</f>
        <v>Male</v>
      </c>
      <c r="N1516" t="str">
        <f>VLOOKUP($E1516,Customer_Dim!$A$2:$F$501,5,FALSE)</f>
        <v>USA</v>
      </c>
      <c r="O1516" t="str">
        <f>VLOOKUP($E1516,Customer_Dim!$A$2:$F$501,6,FALSE)</f>
        <v>Platinum</v>
      </c>
      <c r="P1516" t="str">
        <f>VLOOKUP($A1516,Store_Dim!$A$2:$F$21,3,FALSE)</f>
        <v>NorthNew Michaelchester</v>
      </c>
    </row>
    <row r="1517" spans="1:16" hidden="1" x14ac:dyDescent="0.25">
      <c r="A1517" t="s">
        <v>801</v>
      </c>
      <c r="B1517" t="s">
        <v>989</v>
      </c>
      <c r="C1517" t="s">
        <v>682</v>
      </c>
      <c r="D1517" s="2">
        <v>45544</v>
      </c>
      <c r="E1517" t="s">
        <v>494</v>
      </c>
      <c r="F1517" t="str">
        <f>VLOOKUP($C1517,Product_Dim!$A$2:$D$101,3,FALSE)</f>
        <v>Hamilton, Woods and Walker</v>
      </c>
      <c r="G1517" t="str">
        <f>VLOOKUP($C1517,Product_Dim!$A$2:$D$101,2,FALSE)</f>
        <v>Clothing</v>
      </c>
      <c r="H1517">
        <v>3</v>
      </c>
      <c r="I1517">
        <v>576.52</v>
      </c>
      <c r="J1517">
        <v>0.22</v>
      </c>
      <c r="K1517" s="3">
        <v>1349.0568000000001</v>
      </c>
      <c r="L1517" t="s">
        <v>857</v>
      </c>
      <c r="M1517" t="str">
        <f>VLOOKUP($E1517,Customer_Dim!$A$2:$F$501,3,FALSE)</f>
        <v>Female</v>
      </c>
      <c r="N1517" t="str">
        <f>VLOOKUP($E1517,Customer_Dim!$A$2:$F$501,5,FALSE)</f>
        <v>USA</v>
      </c>
      <c r="O1517" t="str">
        <f>VLOOKUP($E1517,Customer_Dim!$A$2:$F$501,6,FALSE)</f>
        <v>Gold</v>
      </c>
      <c r="P1517" t="str">
        <f>VLOOKUP($A1517,Store_Dim!$A$2:$F$21,3,FALSE)</f>
        <v>NorthNew Michaelchester</v>
      </c>
    </row>
    <row r="1518" spans="1:16" hidden="1" x14ac:dyDescent="0.25">
      <c r="A1518" t="s">
        <v>801</v>
      </c>
      <c r="B1518" t="s">
        <v>1543</v>
      </c>
      <c r="C1518" t="s">
        <v>684</v>
      </c>
      <c r="D1518" s="2">
        <v>45876</v>
      </c>
      <c r="E1518" t="s">
        <v>16</v>
      </c>
      <c r="F1518" t="str">
        <f>VLOOKUP($C1518,Product_Dim!$A$2:$D$101,3,FALSE)</f>
        <v>Thompson-French</v>
      </c>
      <c r="G1518" t="str">
        <f>VLOOKUP($C1518,Product_Dim!$A$2:$D$101,2,FALSE)</f>
        <v>Sports</v>
      </c>
      <c r="H1518">
        <v>1</v>
      </c>
      <c r="I1518">
        <v>692.75</v>
      </c>
      <c r="J1518">
        <v>0.11</v>
      </c>
      <c r="K1518" s="3">
        <v>616.54750000000001</v>
      </c>
      <c r="L1518" t="s">
        <v>857</v>
      </c>
      <c r="M1518" t="str">
        <f>VLOOKUP($E1518,Customer_Dim!$A$2:$F$501,3,FALSE)</f>
        <v>Female</v>
      </c>
      <c r="N1518" t="str">
        <f>VLOOKUP($E1518,Customer_Dim!$A$2:$F$501,5,FALSE)</f>
        <v>USA</v>
      </c>
      <c r="O1518" t="str">
        <f>VLOOKUP($E1518,Customer_Dim!$A$2:$F$501,6,FALSE)</f>
        <v>Platinum</v>
      </c>
      <c r="P1518" t="str">
        <f>VLOOKUP($A1518,Store_Dim!$A$2:$F$21,3,FALSE)</f>
        <v>NorthNew Michaelchester</v>
      </c>
    </row>
    <row r="1519" spans="1:16" x14ac:dyDescent="0.25">
      <c r="A1519" t="s">
        <v>801</v>
      </c>
      <c r="B1519" t="s">
        <v>2257</v>
      </c>
      <c r="C1519" t="s">
        <v>684</v>
      </c>
      <c r="D1519" s="2">
        <v>45638</v>
      </c>
      <c r="E1519" t="s">
        <v>221</v>
      </c>
      <c r="F1519" t="str">
        <f>VLOOKUP($C1519,Product_Dim!$A$2:$D$101,3,FALSE)</f>
        <v>Thompson-French</v>
      </c>
      <c r="G1519" t="str">
        <f>VLOOKUP($C1519,Product_Dim!$A$2:$D$101,2,FALSE)</f>
        <v>Sports</v>
      </c>
      <c r="H1519">
        <v>2</v>
      </c>
      <c r="I1519">
        <v>628.83000000000004</v>
      </c>
      <c r="J1519">
        <v>7.0000000000000007E-2</v>
      </c>
      <c r="K1519" s="3">
        <v>1169.6238000000001</v>
      </c>
      <c r="L1519" t="s">
        <v>854</v>
      </c>
      <c r="M1519" t="str">
        <f>VLOOKUP($E1519,Customer_Dim!$A$2:$F$501,3,FALSE)</f>
        <v>Male</v>
      </c>
      <c r="N1519" t="str">
        <f>VLOOKUP($E1519,Customer_Dim!$A$2:$F$501,5,FALSE)</f>
        <v>USA</v>
      </c>
      <c r="O1519" t="str">
        <f>VLOOKUP($E1519,Customer_Dim!$A$2:$F$501,6,FALSE)</f>
        <v>Platinum</v>
      </c>
      <c r="P1519" t="str">
        <f>VLOOKUP($A1519,Store_Dim!$A$2:$F$21,3,FALSE)</f>
        <v>NorthNew Michaelchester</v>
      </c>
    </row>
    <row r="1520" spans="1:16" x14ac:dyDescent="0.25">
      <c r="A1520" t="s">
        <v>801</v>
      </c>
      <c r="B1520" t="s">
        <v>1011</v>
      </c>
      <c r="C1520" t="s">
        <v>686</v>
      </c>
      <c r="D1520" s="2">
        <v>45883</v>
      </c>
      <c r="E1520" t="s">
        <v>158</v>
      </c>
      <c r="F1520" t="str">
        <f>VLOOKUP($C1520,Product_Dim!$A$2:$D$101,3,FALSE)</f>
        <v>Hatfield, Baird and Torres</v>
      </c>
      <c r="G1520" t="str">
        <f>VLOOKUP($C1520,Product_Dim!$A$2:$D$101,2,FALSE)</f>
        <v>Home</v>
      </c>
      <c r="H1520">
        <v>1</v>
      </c>
      <c r="I1520">
        <v>83.1</v>
      </c>
      <c r="J1520">
        <v>0.04</v>
      </c>
      <c r="K1520" s="3">
        <v>79.775999999999996</v>
      </c>
      <c r="L1520" t="s">
        <v>854</v>
      </c>
      <c r="M1520" t="str">
        <f>VLOOKUP($E1520,Customer_Dim!$A$2:$F$501,3,FALSE)</f>
        <v>Male</v>
      </c>
      <c r="N1520" t="str">
        <f>VLOOKUP($E1520,Customer_Dim!$A$2:$F$501,5,FALSE)</f>
        <v>USA</v>
      </c>
      <c r="O1520" t="str">
        <f>VLOOKUP($E1520,Customer_Dim!$A$2:$F$501,6,FALSE)</f>
        <v>Silver</v>
      </c>
      <c r="P1520" t="str">
        <f>VLOOKUP($A1520,Store_Dim!$A$2:$F$21,3,FALSE)</f>
        <v>NorthNew Michaelchester</v>
      </c>
    </row>
    <row r="1521" spans="1:16" hidden="1" x14ac:dyDescent="0.25">
      <c r="A1521" t="s">
        <v>801</v>
      </c>
      <c r="B1521" t="s">
        <v>1940</v>
      </c>
      <c r="C1521" t="s">
        <v>690</v>
      </c>
      <c r="D1521" s="2">
        <v>45567</v>
      </c>
      <c r="E1521" t="s">
        <v>352</v>
      </c>
      <c r="F1521" t="str">
        <f>VLOOKUP($C1521,Product_Dim!$A$2:$D$101,3,FALSE)</f>
        <v>Atkinson, Camacho and Oliver</v>
      </c>
      <c r="G1521" t="str">
        <f>VLOOKUP($C1521,Product_Dim!$A$2:$D$101,2,FALSE)</f>
        <v>Sports</v>
      </c>
      <c r="H1521">
        <v>3</v>
      </c>
      <c r="I1521">
        <v>404.5</v>
      </c>
      <c r="J1521">
        <v>0.22</v>
      </c>
      <c r="K1521" s="3">
        <v>946.53000000000009</v>
      </c>
      <c r="L1521" t="s">
        <v>854</v>
      </c>
      <c r="M1521" t="str">
        <f>VLOOKUP($E1521,Customer_Dim!$A$2:$F$501,3,FALSE)</f>
        <v>Female</v>
      </c>
      <c r="N1521" t="str">
        <f>VLOOKUP($E1521,Customer_Dim!$A$2:$F$501,5,FALSE)</f>
        <v>USA</v>
      </c>
      <c r="O1521" t="str">
        <f>VLOOKUP($E1521,Customer_Dim!$A$2:$F$501,6,FALSE)</f>
        <v>Silver</v>
      </c>
      <c r="P1521" t="str">
        <f>VLOOKUP($A1521,Store_Dim!$A$2:$F$21,3,FALSE)</f>
        <v>NorthNew Michaelchester</v>
      </c>
    </row>
    <row r="1522" spans="1:16" x14ac:dyDescent="0.25">
      <c r="A1522" t="s">
        <v>801</v>
      </c>
      <c r="B1522" t="s">
        <v>2446</v>
      </c>
      <c r="C1522" t="s">
        <v>694</v>
      </c>
      <c r="D1522" s="2">
        <v>45496</v>
      </c>
      <c r="E1522" t="s">
        <v>417</v>
      </c>
      <c r="F1522" t="str">
        <f>VLOOKUP($C1522,Product_Dim!$A$2:$D$101,3,FALSE)</f>
        <v>Cline-Mccarthy</v>
      </c>
      <c r="G1522" t="str">
        <f>VLOOKUP($C1522,Product_Dim!$A$2:$D$101,2,FALSE)</f>
        <v>Beauty</v>
      </c>
      <c r="H1522">
        <v>3</v>
      </c>
      <c r="I1522">
        <v>630.28</v>
      </c>
      <c r="J1522">
        <v>7.0000000000000007E-2</v>
      </c>
      <c r="K1522" s="3">
        <v>1758.4811999999999</v>
      </c>
      <c r="L1522" t="s">
        <v>857</v>
      </c>
      <c r="M1522" t="str">
        <f>VLOOKUP($E1522,Customer_Dim!$A$2:$F$501,3,FALSE)</f>
        <v>Male</v>
      </c>
      <c r="N1522" t="str">
        <f>VLOOKUP($E1522,Customer_Dim!$A$2:$F$501,5,FALSE)</f>
        <v>USA</v>
      </c>
      <c r="O1522" t="str">
        <f>VLOOKUP($E1522,Customer_Dim!$A$2:$F$501,6,FALSE)</f>
        <v>Silver</v>
      </c>
      <c r="P1522" t="str">
        <f>VLOOKUP($A1522,Store_Dim!$A$2:$F$21,3,FALSE)</f>
        <v>NorthNew Michaelchester</v>
      </c>
    </row>
    <row r="1523" spans="1:16" x14ac:dyDescent="0.25">
      <c r="A1523" t="s">
        <v>801</v>
      </c>
      <c r="B1523" t="s">
        <v>858</v>
      </c>
      <c r="C1523" t="s">
        <v>694</v>
      </c>
      <c r="D1523" s="2">
        <v>45297</v>
      </c>
      <c r="E1523" t="s">
        <v>560</v>
      </c>
      <c r="F1523" t="str">
        <f>VLOOKUP($C1523,Product_Dim!$A$2:$D$101,3,FALSE)</f>
        <v>Cline-Mccarthy</v>
      </c>
      <c r="G1523" t="str">
        <f>VLOOKUP($C1523,Product_Dim!$A$2:$D$101,2,FALSE)</f>
        <v>Beauty</v>
      </c>
      <c r="H1523">
        <v>3</v>
      </c>
      <c r="I1523">
        <v>745.3</v>
      </c>
      <c r="J1523">
        <v>0.18</v>
      </c>
      <c r="K1523" s="3">
        <v>1833.4380000000001</v>
      </c>
      <c r="L1523" t="s">
        <v>852</v>
      </c>
      <c r="M1523" t="str">
        <f>VLOOKUP($E1523,Customer_Dim!$A$2:$F$501,3,FALSE)</f>
        <v>Male</v>
      </c>
      <c r="N1523" t="str">
        <f>VLOOKUP($E1523,Customer_Dim!$A$2:$F$501,5,FALSE)</f>
        <v>USA</v>
      </c>
      <c r="O1523" t="str">
        <f>VLOOKUP($E1523,Customer_Dim!$A$2:$F$501,6,FALSE)</f>
        <v>Silver</v>
      </c>
      <c r="P1523" t="str">
        <f>VLOOKUP($A1523,Store_Dim!$A$2:$F$21,3,FALSE)</f>
        <v>NorthNew Michaelchester</v>
      </c>
    </row>
    <row r="1524" spans="1:16" x14ac:dyDescent="0.25">
      <c r="A1524" t="s">
        <v>801</v>
      </c>
      <c r="B1524" t="s">
        <v>924</v>
      </c>
      <c r="C1524" t="s">
        <v>696</v>
      </c>
      <c r="D1524" s="2">
        <v>45849</v>
      </c>
      <c r="E1524" t="s">
        <v>107</v>
      </c>
      <c r="F1524" t="str">
        <f>VLOOKUP($C1524,Product_Dim!$A$2:$D$101,3,FALSE)</f>
        <v>Gibson, Green and Lopez</v>
      </c>
      <c r="G1524" t="str">
        <f>VLOOKUP($C1524,Product_Dim!$A$2:$D$101,2,FALSE)</f>
        <v>Beauty</v>
      </c>
      <c r="H1524">
        <v>3</v>
      </c>
      <c r="I1524">
        <v>92.24</v>
      </c>
      <c r="J1524">
        <v>0.28000000000000003</v>
      </c>
      <c r="K1524" s="3">
        <f>H1524*I1524-J1524</f>
        <v>276.44</v>
      </c>
      <c r="L1524" t="s">
        <v>857</v>
      </c>
      <c r="M1524" t="str">
        <f>VLOOKUP($E1524,Customer_Dim!$A$2:$F$501,3,FALSE)</f>
        <v>Male</v>
      </c>
      <c r="N1524" t="str">
        <f>VLOOKUP($E1524,Customer_Dim!$A$2:$F$501,5,FALSE)</f>
        <v>USA</v>
      </c>
      <c r="O1524" t="str">
        <f>VLOOKUP($E1524,Customer_Dim!$A$2:$F$501,6,FALSE)</f>
        <v>Platinum</v>
      </c>
      <c r="P1524" t="str">
        <f>VLOOKUP($A1524,Store_Dim!$A$2:$F$21,3,FALSE)</f>
        <v>NorthNew Michaelchester</v>
      </c>
    </row>
    <row r="1525" spans="1:16" hidden="1" x14ac:dyDescent="0.25">
      <c r="A1525" t="s">
        <v>801</v>
      </c>
      <c r="B1525" t="s">
        <v>2161</v>
      </c>
      <c r="C1525" t="s">
        <v>698</v>
      </c>
      <c r="D1525" s="2">
        <v>45651</v>
      </c>
      <c r="E1525" t="s">
        <v>65</v>
      </c>
      <c r="F1525" t="str">
        <f>VLOOKUP($C1525,Product_Dim!$A$2:$D$101,3,FALSE)</f>
        <v>Lopez LLC</v>
      </c>
      <c r="G1525" t="str">
        <f>VLOOKUP($C1525,Product_Dim!$A$2:$D$101,2,FALSE)</f>
        <v>Sports</v>
      </c>
      <c r="H1525">
        <v>3</v>
      </c>
      <c r="I1525">
        <v>38.07</v>
      </c>
      <c r="J1525">
        <v>0.09</v>
      </c>
      <c r="K1525" s="3">
        <v>103.9311</v>
      </c>
      <c r="L1525" t="s">
        <v>854</v>
      </c>
      <c r="M1525" t="str">
        <f>VLOOKUP($E1525,Customer_Dim!$A$2:$F$501,3,FALSE)</f>
        <v>Female</v>
      </c>
      <c r="N1525" t="str">
        <f>VLOOKUP($E1525,Customer_Dim!$A$2:$F$501,5,FALSE)</f>
        <v>USA</v>
      </c>
      <c r="O1525" t="str">
        <f>VLOOKUP($E1525,Customer_Dim!$A$2:$F$501,6,FALSE)</f>
        <v>Platinum</v>
      </c>
      <c r="P1525" t="str">
        <f>VLOOKUP($A1525,Store_Dim!$A$2:$F$21,3,FALSE)</f>
        <v>NorthNew Michaelchester</v>
      </c>
    </row>
    <row r="1526" spans="1:16" hidden="1" x14ac:dyDescent="0.25">
      <c r="A1526" t="s">
        <v>801</v>
      </c>
      <c r="B1526" t="s">
        <v>1804</v>
      </c>
      <c r="C1526" t="s">
        <v>698</v>
      </c>
      <c r="D1526" s="2">
        <v>45689</v>
      </c>
      <c r="E1526" t="s">
        <v>376</v>
      </c>
      <c r="F1526" t="str">
        <f>VLOOKUP($C1526,Product_Dim!$A$2:$D$101,3,FALSE)</f>
        <v>Lopez LLC</v>
      </c>
      <c r="G1526" t="str">
        <f>VLOOKUP($C1526,Product_Dim!$A$2:$D$101,2,FALSE)</f>
        <v>Sports</v>
      </c>
      <c r="H1526">
        <v>4</v>
      </c>
      <c r="I1526">
        <v>372.42</v>
      </c>
      <c r="J1526">
        <v>0.19</v>
      </c>
      <c r="K1526" s="3">
        <v>1206.6407999999999</v>
      </c>
      <c r="L1526" t="s">
        <v>852</v>
      </c>
      <c r="M1526" t="str">
        <f>VLOOKUP($E1526,Customer_Dim!$A$2:$F$501,3,FALSE)</f>
        <v>Female</v>
      </c>
      <c r="N1526" t="str">
        <f>VLOOKUP($E1526,Customer_Dim!$A$2:$F$501,5,FALSE)</f>
        <v>USA</v>
      </c>
      <c r="O1526" t="str">
        <f>VLOOKUP($E1526,Customer_Dim!$A$2:$F$501,6,FALSE)</f>
        <v>Bronze</v>
      </c>
      <c r="P1526" t="str">
        <f>VLOOKUP($A1526,Store_Dim!$A$2:$F$21,3,FALSE)</f>
        <v>NorthNew Michaelchester</v>
      </c>
    </row>
    <row r="1527" spans="1:16" x14ac:dyDescent="0.25">
      <c r="A1527" t="s">
        <v>801</v>
      </c>
      <c r="B1527" t="s">
        <v>2113</v>
      </c>
      <c r="C1527" t="s">
        <v>698</v>
      </c>
      <c r="D1527" s="2">
        <v>45509</v>
      </c>
      <c r="E1527" t="s">
        <v>377</v>
      </c>
      <c r="F1527" t="str">
        <f>VLOOKUP($C1527,Product_Dim!$A$2:$D$101,3,FALSE)</f>
        <v>Lopez LLC</v>
      </c>
      <c r="G1527" t="str">
        <f>VLOOKUP($C1527,Product_Dim!$A$2:$D$101,2,FALSE)</f>
        <v>Sports</v>
      </c>
      <c r="H1527">
        <v>1</v>
      </c>
      <c r="I1527">
        <v>85.58</v>
      </c>
      <c r="J1527">
        <v>0.1</v>
      </c>
      <c r="K1527" s="3">
        <v>77.022000000000006</v>
      </c>
      <c r="L1527" t="s">
        <v>857</v>
      </c>
      <c r="M1527" t="str">
        <f>VLOOKUP($E1527,Customer_Dim!$A$2:$F$501,3,FALSE)</f>
        <v>Male</v>
      </c>
      <c r="N1527" t="str">
        <f>VLOOKUP($E1527,Customer_Dim!$A$2:$F$501,5,FALSE)</f>
        <v>USA</v>
      </c>
      <c r="O1527" t="str">
        <f>VLOOKUP($E1527,Customer_Dim!$A$2:$F$501,6,FALSE)</f>
        <v>Silver</v>
      </c>
      <c r="P1527" t="str">
        <f>VLOOKUP($A1527,Store_Dim!$A$2:$F$21,3,FALSE)</f>
        <v>NorthNew Michaelchester</v>
      </c>
    </row>
    <row r="1528" spans="1:16" x14ac:dyDescent="0.25">
      <c r="A1528" t="s">
        <v>801</v>
      </c>
      <c r="B1528" t="s">
        <v>1293</v>
      </c>
      <c r="C1528" t="s">
        <v>700</v>
      </c>
      <c r="D1528" s="2">
        <v>45670</v>
      </c>
      <c r="E1528" t="s">
        <v>159</v>
      </c>
      <c r="F1528" t="str">
        <f>VLOOKUP($C1528,Product_Dim!$A$2:$D$101,3,FALSE)</f>
        <v>Murray, Gould and Ware</v>
      </c>
      <c r="G1528" t="str">
        <f>VLOOKUP($C1528,Product_Dim!$A$2:$D$101,2,FALSE)</f>
        <v>Electronics</v>
      </c>
      <c r="H1528">
        <v>4</v>
      </c>
      <c r="I1528">
        <v>875.41</v>
      </c>
      <c r="J1528">
        <v>0.27</v>
      </c>
      <c r="K1528" s="3">
        <v>2556.1972000000001</v>
      </c>
      <c r="L1528" t="s">
        <v>852</v>
      </c>
      <c r="M1528" t="str">
        <f>VLOOKUP($E1528,Customer_Dim!$A$2:$F$501,3,FALSE)</f>
        <v>Male</v>
      </c>
      <c r="N1528" t="str">
        <f>VLOOKUP($E1528,Customer_Dim!$A$2:$F$501,5,FALSE)</f>
        <v>USA</v>
      </c>
      <c r="O1528" t="str">
        <f>VLOOKUP($E1528,Customer_Dim!$A$2:$F$501,6,FALSE)</f>
        <v>Gold</v>
      </c>
      <c r="P1528" t="str">
        <f>VLOOKUP($A1528,Store_Dim!$A$2:$F$21,3,FALSE)</f>
        <v>NorthNew Michaelchester</v>
      </c>
    </row>
    <row r="1529" spans="1:16" x14ac:dyDescent="0.25">
      <c r="A1529" t="s">
        <v>801</v>
      </c>
      <c r="B1529" t="s">
        <v>2580</v>
      </c>
      <c r="C1529" t="s">
        <v>702</v>
      </c>
      <c r="D1529" s="2">
        <v>45745</v>
      </c>
      <c r="E1529" t="s">
        <v>187</v>
      </c>
      <c r="F1529" t="str">
        <f>VLOOKUP($C1529,Product_Dim!$A$2:$D$101,3,FALSE)</f>
        <v>Anderson-Riley</v>
      </c>
      <c r="G1529" t="str">
        <f>VLOOKUP($C1529,Product_Dim!$A$2:$D$101,2,FALSE)</f>
        <v>Beauty</v>
      </c>
      <c r="H1529">
        <v>4</v>
      </c>
      <c r="I1529">
        <v>688.86</v>
      </c>
      <c r="J1529">
        <v>0.02</v>
      </c>
      <c r="K1529" s="3">
        <v>2700.3312000000001</v>
      </c>
      <c r="L1529" t="s">
        <v>857</v>
      </c>
      <c r="M1529" t="str">
        <f>VLOOKUP($E1529,Customer_Dim!$A$2:$F$501,3,FALSE)</f>
        <v>Male</v>
      </c>
      <c r="N1529" t="str">
        <f>VLOOKUP($E1529,Customer_Dim!$A$2:$F$501,5,FALSE)</f>
        <v>USA</v>
      </c>
      <c r="O1529" t="str">
        <f>VLOOKUP($E1529,Customer_Dim!$A$2:$F$501,6,FALSE)</f>
        <v>Bronze</v>
      </c>
      <c r="P1529" t="str">
        <f>VLOOKUP($A1529,Store_Dim!$A$2:$F$21,3,FALSE)</f>
        <v>NorthNew Michaelchester</v>
      </c>
    </row>
    <row r="1530" spans="1:16" hidden="1" x14ac:dyDescent="0.25">
      <c r="A1530" t="s">
        <v>801</v>
      </c>
      <c r="B1530" t="s">
        <v>1390</v>
      </c>
      <c r="C1530" t="s">
        <v>704</v>
      </c>
      <c r="D1530" s="2">
        <v>45855</v>
      </c>
      <c r="E1530" t="s">
        <v>381</v>
      </c>
      <c r="F1530" t="str">
        <f>VLOOKUP($C1530,Product_Dim!$A$2:$D$101,3,FALSE)</f>
        <v>Zhang Inc</v>
      </c>
      <c r="G1530" t="str">
        <f>VLOOKUP($C1530,Product_Dim!$A$2:$D$101,2,FALSE)</f>
        <v>Beauty</v>
      </c>
      <c r="H1530">
        <v>4</v>
      </c>
      <c r="I1530">
        <v>839.65</v>
      </c>
      <c r="J1530">
        <v>0.26</v>
      </c>
      <c r="K1530" s="3">
        <v>2485.364</v>
      </c>
      <c r="L1530" t="s">
        <v>857</v>
      </c>
      <c r="M1530" t="str">
        <f>VLOOKUP($E1530,Customer_Dim!$A$2:$F$501,3,FALSE)</f>
        <v>Female</v>
      </c>
      <c r="N1530" t="str">
        <f>VLOOKUP($E1530,Customer_Dim!$A$2:$F$501,5,FALSE)</f>
        <v>USA</v>
      </c>
      <c r="O1530" t="str">
        <f>VLOOKUP($E1530,Customer_Dim!$A$2:$F$501,6,FALSE)</f>
        <v>Silver</v>
      </c>
      <c r="P1530" t="str">
        <f>VLOOKUP($A1530,Store_Dim!$A$2:$F$21,3,FALSE)</f>
        <v>NorthNew Michaelchester</v>
      </c>
    </row>
    <row r="1531" spans="1:16" hidden="1" x14ac:dyDescent="0.25">
      <c r="A1531" t="s">
        <v>801</v>
      </c>
      <c r="B1531" t="s">
        <v>1053</v>
      </c>
      <c r="C1531" t="s">
        <v>708</v>
      </c>
      <c r="D1531" s="2">
        <v>45646</v>
      </c>
      <c r="E1531" t="s">
        <v>78</v>
      </c>
      <c r="F1531" t="str">
        <f>VLOOKUP($C1531,Product_Dim!$A$2:$D$101,3,FALSE)</f>
        <v>Torres, Spencer and Potter</v>
      </c>
      <c r="G1531" t="str">
        <f>VLOOKUP($C1531,Product_Dim!$A$2:$D$101,2,FALSE)</f>
        <v>Beauty</v>
      </c>
      <c r="H1531">
        <v>2</v>
      </c>
      <c r="I1531">
        <v>397.63</v>
      </c>
      <c r="J1531">
        <v>0.26</v>
      </c>
      <c r="K1531" s="3">
        <v>588.49239999999998</v>
      </c>
      <c r="L1531" t="s">
        <v>852</v>
      </c>
      <c r="M1531" t="str">
        <f>VLOOKUP($E1531,Customer_Dim!$A$2:$F$501,3,FALSE)</f>
        <v>Female</v>
      </c>
      <c r="N1531" t="str">
        <f>VLOOKUP($E1531,Customer_Dim!$A$2:$F$501,5,FALSE)</f>
        <v>USA</v>
      </c>
      <c r="O1531" t="str">
        <f>VLOOKUP($E1531,Customer_Dim!$A$2:$F$501,6,FALSE)</f>
        <v>Bronze</v>
      </c>
      <c r="P1531" t="str">
        <f>VLOOKUP($A1531,Store_Dim!$A$2:$F$21,3,FALSE)</f>
        <v>NorthNew Michaelchester</v>
      </c>
    </row>
    <row r="1532" spans="1:16" x14ac:dyDescent="0.25">
      <c r="A1532" t="s">
        <v>801</v>
      </c>
      <c r="B1532" t="s">
        <v>1944</v>
      </c>
      <c r="C1532" t="s">
        <v>708</v>
      </c>
      <c r="D1532" s="2">
        <v>45824</v>
      </c>
      <c r="E1532" t="s">
        <v>392</v>
      </c>
      <c r="F1532" t="str">
        <f>VLOOKUP($C1532,Product_Dim!$A$2:$D$101,3,FALSE)</f>
        <v>Torres, Spencer and Potter</v>
      </c>
      <c r="G1532" t="str">
        <f>VLOOKUP($C1532,Product_Dim!$A$2:$D$101,2,FALSE)</f>
        <v>Beauty</v>
      </c>
      <c r="H1532">
        <v>2</v>
      </c>
      <c r="I1532">
        <v>769.48</v>
      </c>
      <c r="J1532">
        <v>0.11</v>
      </c>
      <c r="K1532" s="3">
        <v>1369.6744000000001</v>
      </c>
      <c r="L1532" t="s">
        <v>854</v>
      </c>
      <c r="M1532" t="str">
        <f>VLOOKUP($E1532,Customer_Dim!$A$2:$F$501,3,FALSE)</f>
        <v>Male</v>
      </c>
      <c r="N1532" t="str">
        <f>VLOOKUP($E1532,Customer_Dim!$A$2:$F$501,5,FALSE)</f>
        <v>USA</v>
      </c>
      <c r="O1532" t="str">
        <f>VLOOKUP($E1532,Customer_Dim!$A$2:$F$501,6,FALSE)</f>
        <v>Bronze</v>
      </c>
      <c r="P1532" t="str">
        <f>VLOOKUP($A1532,Store_Dim!$A$2:$F$21,3,FALSE)</f>
        <v>NorthNew Michaelchester</v>
      </c>
    </row>
    <row r="1533" spans="1:16" hidden="1" x14ac:dyDescent="0.25">
      <c r="A1533" t="s">
        <v>801</v>
      </c>
      <c r="B1533" t="s">
        <v>1764</v>
      </c>
      <c r="C1533" t="s">
        <v>710</v>
      </c>
      <c r="D1533" s="2">
        <v>45796</v>
      </c>
      <c r="E1533" t="s">
        <v>276</v>
      </c>
      <c r="F1533" t="str">
        <f>VLOOKUP($C1533,Product_Dim!$A$2:$D$101,3,FALSE)</f>
        <v>Flores-Davis</v>
      </c>
      <c r="G1533" t="str">
        <f>VLOOKUP($C1533,Product_Dim!$A$2:$D$101,2,FALSE)</f>
        <v>Electronics</v>
      </c>
      <c r="H1533">
        <v>2</v>
      </c>
      <c r="I1533">
        <v>491.26</v>
      </c>
      <c r="J1533">
        <v>0.14000000000000001</v>
      </c>
      <c r="K1533" s="3">
        <v>844.96719999999993</v>
      </c>
      <c r="L1533" t="s">
        <v>857</v>
      </c>
      <c r="M1533" t="str">
        <f>VLOOKUP($E1533,Customer_Dim!$A$2:$F$501,3,FALSE)</f>
        <v>Female</v>
      </c>
      <c r="N1533" t="str">
        <f>VLOOKUP($E1533,Customer_Dim!$A$2:$F$501,5,FALSE)</f>
        <v>USA</v>
      </c>
      <c r="O1533" t="str">
        <f>VLOOKUP($E1533,Customer_Dim!$A$2:$F$501,6,FALSE)</f>
        <v>Silver</v>
      </c>
      <c r="P1533" t="str">
        <f>VLOOKUP($A1533,Store_Dim!$A$2:$F$21,3,FALSE)</f>
        <v>NorthNew Michaelchester</v>
      </c>
    </row>
    <row r="1534" spans="1:16" hidden="1" x14ac:dyDescent="0.25">
      <c r="A1534" t="s">
        <v>801</v>
      </c>
      <c r="B1534" t="s">
        <v>2818</v>
      </c>
      <c r="C1534" t="s">
        <v>712</v>
      </c>
      <c r="D1534" s="2">
        <v>45405</v>
      </c>
      <c r="E1534" t="s">
        <v>449</v>
      </c>
      <c r="F1534" t="str">
        <f>VLOOKUP($C1534,Product_Dim!$A$2:$D$101,3,FALSE)</f>
        <v>Wolfe, Ross and Hester</v>
      </c>
      <c r="G1534" t="str">
        <f>VLOOKUP($C1534,Product_Dim!$A$2:$D$101,2,FALSE)</f>
        <v>Home</v>
      </c>
      <c r="H1534">
        <v>3</v>
      </c>
      <c r="I1534">
        <v>120.97</v>
      </c>
      <c r="J1534">
        <v>0.11</v>
      </c>
      <c r="K1534" s="3">
        <v>322.98989999999998</v>
      </c>
      <c r="L1534" t="s">
        <v>852</v>
      </c>
      <c r="M1534" t="str">
        <f>VLOOKUP($E1534,Customer_Dim!$A$2:$F$501,3,FALSE)</f>
        <v>Female</v>
      </c>
      <c r="N1534" t="str">
        <f>VLOOKUP($E1534,Customer_Dim!$A$2:$F$501,5,FALSE)</f>
        <v>USA</v>
      </c>
      <c r="O1534" t="str">
        <f>VLOOKUP($E1534,Customer_Dim!$A$2:$F$501,6,FALSE)</f>
        <v>Gold</v>
      </c>
      <c r="P1534" t="str">
        <f>VLOOKUP($A1534,Store_Dim!$A$2:$F$21,3,FALSE)</f>
        <v>NorthNew Michaelchester</v>
      </c>
    </row>
    <row r="1535" spans="1:16" x14ac:dyDescent="0.25">
      <c r="A1535" t="s">
        <v>801</v>
      </c>
      <c r="B1535" t="s">
        <v>1277</v>
      </c>
      <c r="C1535" t="s">
        <v>714</v>
      </c>
      <c r="D1535" s="2">
        <v>45580</v>
      </c>
      <c r="E1535" t="s">
        <v>209</v>
      </c>
      <c r="F1535" t="str">
        <f>VLOOKUP($C1535,Product_Dim!$A$2:$D$101,3,FALSE)</f>
        <v>Fitzpatrick Ltd</v>
      </c>
      <c r="G1535" t="str">
        <f>VLOOKUP($C1535,Product_Dim!$A$2:$D$101,2,FALSE)</f>
        <v>Clothing</v>
      </c>
      <c r="H1535">
        <v>1</v>
      </c>
      <c r="I1535">
        <v>815.53</v>
      </c>
      <c r="J1535">
        <v>0.3</v>
      </c>
      <c r="K1535" s="3">
        <v>570.87099999999998</v>
      </c>
      <c r="L1535" t="s">
        <v>854</v>
      </c>
      <c r="M1535" t="str">
        <f>VLOOKUP($E1535,Customer_Dim!$A$2:$F$501,3,FALSE)</f>
        <v>Male</v>
      </c>
      <c r="N1535" t="str">
        <f>VLOOKUP($E1535,Customer_Dim!$A$2:$F$501,5,FALSE)</f>
        <v>USA</v>
      </c>
      <c r="O1535" t="str">
        <f>VLOOKUP($E1535,Customer_Dim!$A$2:$F$501,6,FALSE)</f>
        <v>Platinum</v>
      </c>
      <c r="P1535" t="str">
        <f>VLOOKUP($A1535,Store_Dim!$A$2:$F$21,3,FALSE)</f>
        <v>NorthNew Michaelchester</v>
      </c>
    </row>
    <row r="1536" spans="1:16" x14ac:dyDescent="0.25">
      <c r="A1536" t="s">
        <v>801</v>
      </c>
      <c r="B1536" t="s">
        <v>2137</v>
      </c>
      <c r="C1536" t="s">
        <v>718</v>
      </c>
      <c r="D1536" s="2">
        <v>45552</v>
      </c>
      <c r="E1536" t="s">
        <v>107</v>
      </c>
      <c r="F1536" t="str">
        <f>VLOOKUP($C1536,Product_Dim!$A$2:$D$101,3,FALSE)</f>
        <v>Hopkins Ltd</v>
      </c>
      <c r="G1536" t="str">
        <f>VLOOKUP($C1536,Product_Dim!$A$2:$D$101,2,FALSE)</f>
        <v>Beauty</v>
      </c>
      <c r="H1536">
        <v>2</v>
      </c>
      <c r="I1536">
        <v>504.98</v>
      </c>
      <c r="J1536">
        <v>0.08</v>
      </c>
      <c r="K1536" s="3">
        <v>929.16320000000007</v>
      </c>
      <c r="L1536" t="s">
        <v>857</v>
      </c>
      <c r="M1536" t="str">
        <f>VLOOKUP($E1536,Customer_Dim!$A$2:$F$501,3,FALSE)</f>
        <v>Male</v>
      </c>
      <c r="N1536" t="str">
        <f>VLOOKUP($E1536,Customer_Dim!$A$2:$F$501,5,FALSE)</f>
        <v>USA</v>
      </c>
      <c r="O1536" t="str">
        <f>VLOOKUP($E1536,Customer_Dim!$A$2:$F$501,6,FALSE)</f>
        <v>Platinum</v>
      </c>
      <c r="P1536" t="str">
        <f>VLOOKUP($A1536,Store_Dim!$A$2:$F$21,3,FALSE)</f>
        <v>NorthNew Michaelchester</v>
      </c>
    </row>
    <row r="1537" spans="1:16" hidden="1" x14ac:dyDescent="0.25">
      <c r="A1537" t="s">
        <v>801</v>
      </c>
      <c r="B1537" t="s">
        <v>1966</v>
      </c>
      <c r="C1537" t="s">
        <v>722</v>
      </c>
      <c r="D1537" s="2">
        <v>45316</v>
      </c>
      <c r="E1537" t="s">
        <v>215</v>
      </c>
      <c r="F1537" t="str">
        <f>VLOOKUP($C1537,Product_Dim!$A$2:$D$101,3,FALSE)</f>
        <v>French Ltd</v>
      </c>
      <c r="G1537" t="str">
        <f>VLOOKUP($C1537,Product_Dim!$A$2:$D$101,2,FALSE)</f>
        <v>Sports</v>
      </c>
      <c r="H1537">
        <v>2</v>
      </c>
      <c r="I1537">
        <v>644</v>
      </c>
      <c r="J1537">
        <v>0.04</v>
      </c>
      <c r="K1537" s="3">
        <v>1236.48</v>
      </c>
      <c r="L1537" t="s">
        <v>854</v>
      </c>
      <c r="M1537" t="str">
        <f>VLOOKUP($E1537,Customer_Dim!$A$2:$F$501,3,FALSE)</f>
        <v>Female</v>
      </c>
      <c r="N1537" t="str">
        <f>VLOOKUP($E1537,Customer_Dim!$A$2:$F$501,5,FALSE)</f>
        <v>USA</v>
      </c>
      <c r="O1537" t="str">
        <f>VLOOKUP($E1537,Customer_Dim!$A$2:$F$501,6,FALSE)</f>
        <v>Gold</v>
      </c>
      <c r="P1537" t="str">
        <f>VLOOKUP($A1537,Store_Dim!$A$2:$F$21,3,FALSE)</f>
        <v>NorthNew Michaelchester</v>
      </c>
    </row>
    <row r="1538" spans="1:16" x14ac:dyDescent="0.25">
      <c r="A1538" t="s">
        <v>801</v>
      </c>
      <c r="B1538" t="s">
        <v>1613</v>
      </c>
      <c r="C1538" t="s">
        <v>724</v>
      </c>
      <c r="D1538" s="2">
        <v>45243</v>
      </c>
      <c r="E1538" t="s">
        <v>338</v>
      </c>
      <c r="F1538" t="str">
        <f>VLOOKUP($C1538,Product_Dim!$A$2:$D$101,3,FALSE)</f>
        <v>Bruce-Bowen</v>
      </c>
      <c r="G1538" t="str">
        <f>VLOOKUP($C1538,Product_Dim!$A$2:$D$101,2,FALSE)</f>
        <v>Electronics</v>
      </c>
      <c r="H1538">
        <v>1</v>
      </c>
      <c r="I1538">
        <v>370.66</v>
      </c>
      <c r="J1538">
        <v>0.01</v>
      </c>
      <c r="K1538" s="3">
        <v>366.95339999999999</v>
      </c>
      <c r="L1538" t="s">
        <v>854</v>
      </c>
      <c r="M1538" t="str">
        <f>VLOOKUP($E1538,Customer_Dim!$A$2:$F$501,3,FALSE)</f>
        <v>Male</v>
      </c>
      <c r="N1538" t="str">
        <f>VLOOKUP($E1538,Customer_Dim!$A$2:$F$501,5,FALSE)</f>
        <v>USA</v>
      </c>
      <c r="O1538" t="str">
        <f>VLOOKUP($E1538,Customer_Dim!$A$2:$F$501,6,FALSE)</f>
        <v>Platinum</v>
      </c>
      <c r="P1538" t="str">
        <f>VLOOKUP($A1538,Store_Dim!$A$2:$F$21,3,FALSE)</f>
        <v>NorthNew Michaelchester</v>
      </c>
    </row>
    <row r="1539" spans="1:16" x14ac:dyDescent="0.25">
      <c r="A1539" t="s">
        <v>801</v>
      </c>
      <c r="B1539" t="s">
        <v>2713</v>
      </c>
      <c r="C1539" t="s">
        <v>726</v>
      </c>
      <c r="D1539" s="2">
        <v>45511</v>
      </c>
      <c r="E1539" t="s">
        <v>273</v>
      </c>
      <c r="F1539" t="str">
        <f>VLOOKUP($C1539,Product_Dim!$A$2:$D$101,3,FALSE)</f>
        <v>Poole PLC</v>
      </c>
      <c r="G1539" t="str">
        <f>VLOOKUP($C1539,Product_Dim!$A$2:$D$101,2,FALSE)</f>
        <v>Clothing</v>
      </c>
      <c r="H1539">
        <v>1</v>
      </c>
      <c r="I1539">
        <v>805.24</v>
      </c>
      <c r="J1539">
        <v>0.04</v>
      </c>
      <c r="K1539" s="3">
        <v>773.03039999999999</v>
      </c>
      <c r="L1539" t="s">
        <v>854</v>
      </c>
      <c r="M1539" t="str">
        <f>VLOOKUP($E1539,Customer_Dim!$A$2:$F$501,3,FALSE)</f>
        <v>Male</v>
      </c>
      <c r="N1539" t="str">
        <f>VLOOKUP($E1539,Customer_Dim!$A$2:$F$501,5,FALSE)</f>
        <v>USA</v>
      </c>
      <c r="O1539" t="str">
        <f>VLOOKUP($E1539,Customer_Dim!$A$2:$F$501,6,FALSE)</f>
        <v>Platinum</v>
      </c>
      <c r="P1539" t="str">
        <f>VLOOKUP($A1539,Store_Dim!$A$2:$F$21,3,FALSE)</f>
        <v>NorthNew Michaelchester</v>
      </c>
    </row>
    <row r="1540" spans="1:16" x14ac:dyDescent="0.25">
      <c r="A1540" t="s">
        <v>801</v>
      </c>
      <c r="B1540" t="s">
        <v>1156</v>
      </c>
      <c r="C1540" t="s">
        <v>726</v>
      </c>
      <c r="D1540" s="2">
        <v>45624</v>
      </c>
      <c r="E1540" t="s">
        <v>535</v>
      </c>
      <c r="F1540" t="str">
        <f>VLOOKUP($C1540,Product_Dim!$A$2:$D$101,3,FALSE)</f>
        <v>Poole PLC</v>
      </c>
      <c r="G1540" t="str">
        <f>VLOOKUP($C1540,Product_Dim!$A$2:$D$101,2,FALSE)</f>
        <v>Clothing</v>
      </c>
      <c r="H1540">
        <v>2</v>
      </c>
      <c r="I1540">
        <v>865.14</v>
      </c>
      <c r="J1540">
        <v>0.2</v>
      </c>
      <c r="K1540" s="3">
        <v>1384.2239999999999</v>
      </c>
      <c r="L1540" t="s">
        <v>854</v>
      </c>
      <c r="M1540" t="str">
        <f>VLOOKUP($E1540,Customer_Dim!$A$2:$F$501,3,FALSE)</f>
        <v>Male</v>
      </c>
      <c r="N1540" t="str">
        <f>VLOOKUP($E1540,Customer_Dim!$A$2:$F$501,5,FALSE)</f>
        <v>USA</v>
      </c>
      <c r="O1540" t="str">
        <f>VLOOKUP($E1540,Customer_Dim!$A$2:$F$501,6,FALSE)</f>
        <v>Bronze</v>
      </c>
      <c r="P1540" t="str">
        <f>VLOOKUP($A1540,Store_Dim!$A$2:$F$21,3,FALSE)</f>
        <v>NorthNew Michaelchester</v>
      </c>
    </row>
    <row r="1541" spans="1:16" x14ac:dyDescent="0.25">
      <c r="A1541" t="s">
        <v>801</v>
      </c>
      <c r="B1541" t="s">
        <v>2438</v>
      </c>
      <c r="C1541" t="s">
        <v>732</v>
      </c>
      <c r="D1541" s="2">
        <v>45902</v>
      </c>
      <c r="E1541" t="s">
        <v>385</v>
      </c>
      <c r="F1541" t="str">
        <f>VLOOKUP($C1541,Product_Dim!$A$2:$D$101,3,FALSE)</f>
        <v>Hernandez Inc</v>
      </c>
      <c r="G1541" t="str">
        <f>VLOOKUP($C1541,Product_Dim!$A$2:$D$101,2,FALSE)</f>
        <v>Home</v>
      </c>
      <c r="H1541">
        <v>2</v>
      </c>
      <c r="I1541">
        <v>479.77</v>
      </c>
      <c r="J1541">
        <v>0.21</v>
      </c>
      <c r="K1541" s="3">
        <v>758.03660000000002</v>
      </c>
      <c r="L1541" t="s">
        <v>854</v>
      </c>
      <c r="M1541" t="str">
        <f>VLOOKUP($E1541,Customer_Dim!$A$2:$F$501,3,FALSE)</f>
        <v>Male</v>
      </c>
      <c r="N1541" t="str">
        <f>VLOOKUP($E1541,Customer_Dim!$A$2:$F$501,5,FALSE)</f>
        <v>USA</v>
      </c>
      <c r="O1541" t="str">
        <f>VLOOKUP($E1541,Customer_Dim!$A$2:$F$501,6,FALSE)</f>
        <v>Platinum</v>
      </c>
      <c r="P1541" t="str">
        <f>VLOOKUP($A1541,Store_Dim!$A$2:$F$21,3,FALSE)</f>
        <v>NorthNew Michaelchester</v>
      </c>
    </row>
    <row r="1542" spans="1:16" x14ac:dyDescent="0.25">
      <c r="A1542" t="s">
        <v>801</v>
      </c>
      <c r="B1542" t="s">
        <v>1087</v>
      </c>
      <c r="C1542" t="s">
        <v>734</v>
      </c>
      <c r="D1542" s="2">
        <v>45880</v>
      </c>
      <c r="E1542" t="s">
        <v>34</v>
      </c>
      <c r="F1542" t="str">
        <f>VLOOKUP($C1542,Product_Dim!$A$2:$D$101,3,FALSE)</f>
        <v>Ramirez-Hanson</v>
      </c>
      <c r="G1542" t="str">
        <f>VLOOKUP($C1542,Product_Dim!$A$2:$D$101,2,FALSE)</f>
        <v>Home</v>
      </c>
      <c r="H1542">
        <v>1</v>
      </c>
      <c r="I1542">
        <v>989.63</v>
      </c>
      <c r="J1542">
        <v>0.05</v>
      </c>
      <c r="K1542" s="3">
        <v>940.1484999999999</v>
      </c>
      <c r="L1542" t="s">
        <v>854</v>
      </c>
      <c r="M1542" t="str">
        <f>VLOOKUP($E1542,Customer_Dim!$A$2:$F$501,3,FALSE)</f>
        <v>Male</v>
      </c>
      <c r="N1542" t="str">
        <f>VLOOKUP($E1542,Customer_Dim!$A$2:$F$501,5,FALSE)</f>
        <v>USA</v>
      </c>
      <c r="O1542" t="str">
        <f>VLOOKUP($E1542,Customer_Dim!$A$2:$F$501,6,FALSE)</f>
        <v>Bronze</v>
      </c>
      <c r="P1542" t="str">
        <f>VLOOKUP($A1542,Store_Dim!$A$2:$F$21,3,FALSE)</f>
        <v>NorthNew Michaelchester</v>
      </c>
    </row>
    <row r="1543" spans="1:16" x14ac:dyDescent="0.25">
      <c r="A1543" t="s">
        <v>801</v>
      </c>
      <c r="B1543" t="s">
        <v>1295</v>
      </c>
      <c r="C1543" t="s">
        <v>734</v>
      </c>
      <c r="D1543" s="2">
        <v>45480</v>
      </c>
      <c r="E1543" t="s">
        <v>75</v>
      </c>
      <c r="F1543" t="str">
        <f>VLOOKUP($C1543,Product_Dim!$A$2:$D$101,3,FALSE)</f>
        <v>Ramirez-Hanson</v>
      </c>
      <c r="G1543" t="str">
        <f>VLOOKUP($C1543,Product_Dim!$A$2:$D$101,2,FALSE)</f>
        <v>Home</v>
      </c>
      <c r="H1543">
        <v>2</v>
      </c>
      <c r="I1543">
        <v>285.39</v>
      </c>
      <c r="J1543">
        <v>0.1</v>
      </c>
      <c r="K1543" s="3">
        <v>513.702</v>
      </c>
      <c r="L1543" t="s">
        <v>852</v>
      </c>
      <c r="M1543" t="str">
        <f>VLOOKUP($E1543,Customer_Dim!$A$2:$F$501,3,FALSE)</f>
        <v>Male</v>
      </c>
      <c r="N1543" t="str">
        <f>VLOOKUP($E1543,Customer_Dim!$A$2:$F$501,5,FALSE)</f>
        <v>USA</v>
      </c>
      <c r="O1543" t="str">
        <f>VLOOKUP($E1543,Customer_Dim!$A$2:$F$501,6,FALSE)</f>
        <v>Silver</v>
      </c>
      <c r="P1543" t="str">
        <f>VLOOKUP($A1543,Store_Dim!$A$2:$F$21,3,FALSE)</f>
        <v>NorthNew Michaelchester</v>
      </c>
    </row>
    <row r="1544" spans="1:16" x14ac:dyDescent="0.25">
      <c r="A1544" t="s">
        <v>801</v>
      </c>
      <c r="B1544" t="s">
        <v>1349</v>
      </c>
      <c r="C1544" t="s">
        <v>590</v>
      </c>
      <c r="D1544" s="2">
        <v>45568</v>
      </c>
      <c r="E1544" t="s">
        <v>391</v>
      </c>
      <c r="F1544" t="str">
        <f>VLOOKUP($C1544,Product_Dim!$A$2:$D$101,3,FALSE)</f>
        <v>Perez-Johnston</v>
      </c>
      <c r="G1544" t="str">
        <f>VLOOKUP($C1544,Product_Dim!$A$2:$D$101,2,FALSE)</f>
        <v>Electronics</v>
      </c>
      <c r="H1544">
        <v>2</v>
      </c>
      <c r="I1544">
        <v>406.46</v>
      </c>
      <c r="J1544">
        <v>0.3</v>
      </c>
      <c r="K1544" s="3">
        <v>569.04399999999998</v>
      </c>
      <c r="L1544" t="s">
        <v>854</v>
      </c>
      <c r="M1544" t="str">
        <f>VLOOKUP($E1544,Customer_Dim!$A$2:$F$501,3,FALSE)</f>
        <v>Male</v>
      </c>
      <c r="N1544" t="str">
        <f>VLOOKUP($E1544,Customer_Dim!$A$2:$F$501,5,FALSE)</f>
        <v>USA</v>
      </c>
      <c r="O1544" t="str">
        <f>VLOOKUP($E1544,Customer_Dim!$A$2:$F$501,6,FALSE)</f>
        <v>Bronze</v>
      </c>
      <c r="P1544" t="str">
        <f>VLOOKUP($A1544,Store_Dim!$A$2:$F$21,3,FALSE)</f>
        <v>NorthNew Michaelchester</v>
      </c>
    </row>
    <row r="1545" spans="1:16" hidden="1" x14ac:dyDescent="0.25">
      <c r="A1545" t="s">
        <v>801</v>
      </c>
      <c r="B1545" t="s">
        <v>1176</v>
      </c>
      <c r="C1545" t="s">
        <v>736</v>
      </c>
      <c r="D1545" s="2">
        <v>45672</v>
      </c>
      <c r="E1545" t="s">
        <v>156</v>
      </c>
      <c r="F1545" t="str">
        <f>VLOOKUP($C1545,Product_Dim!$A$2:$D$101,3,FALSE)</f>
        <v>Allison Ltd</v>
      </c>
      <c r="G1545" t="str">
        <f>VLOOKUP($C1545,Product_Dim!$A$2:$D$101,2,FALSE)</f>
        <v>Home</v>
      </c>
      <c r="H1545">
        <v>1</v>
      </c>
      <c r="I1545">
        <v>516.62</v>
      </c>
      <c r="J1545">
        <v>0.18</v>
      </c>
      <c r="K1545" s="3">
        <v>423.62840000000011</v>
      </c>
      <c r="L1545" t="s">
        <v>852</v>
      </c>
      <c r="M1545" t="str">
        <f>VLOOKUP($E1545,Customer_Dim!$A$2:$F$501,3,FALSE)</f>
        <v>Female</v>
      </c>
      <c r="N1545" t="str">
        <f>VLOOKUP($E1545,Customer_Dim!$A$2:$F$501,5,FALSE)</f>
        <v>USA</v>
      </c>
      <c r="O1545" t="str">
        <f>VLOOKUP($E1545,Customer_Dim!$A$2:$F$501,6,FALSE)</f>
        <v>Platinum</v>
      </c>
      <c r="P1545" t="str">
        <f>VLOOKUP($A1545,Store_Dim!$A$2:$F$21,3,FALSE)</f>
        <v>NorthNew Michaelchester</v>
      </c>
    </row>
    <row r="1546" spans="1:16" hidden="1" x14ac:dyDescent="0.25">
      <c r="A1546" t="s">
        <v>801</v>
      </c>
      <c r="B1546" t="s">
        <v>1865</v>
      </c>
      <c r="C1546" t="s">
        <v>738</v>
      </c>
      <c r="D1546" s="2">
        <v>45601</v>
      </c>
      <c r="E1546" t="s">
        <v>21</v>
      </c>
      <c r="F1546" t="str">
        <f>VLOOKUP($C1546,Product_Dim!$A$2:$D$101,3,FALSE)</f>
        <v>Robinson-Brown</v>
      </c>
      <c r="G1546" t="str">
        <f>VLOOKUP($C1546,Product_Dim!$A$2:$D$101,2,FALSE)</f>
        <v>Sports</v>
      </c>
      <c r="H1546">
        <v>2</v>
      </c>
      <c r="I1546">
        <v>358.36</v>
      </c>
      <c r="J1546">
        <v>0.05</v>
      </c>
      <c r="K1546" s="3">
        <v>680.88400000000001</v>
      </c>
      <c r="L1546" t="s">
        <v>854</v>
      </c>
      <c r="M1546" t="str">
        <f>VLOOKUP($E1546,Customer_Dim!$A$2:$F$501,3,FALSE)</f>
        <v>Female</v>
      </c>
      <c r="N1546" t="str">
        <f>VLOOKUP($E1546,Customer_Dim!$A$2:$F$501,5,FALSE)</f>
        <v>USA</v>
      </c>
      <c r="O1546" t="str">
        <f>VLOOKUP($E1546,Customer_Dim!$A$2:$F$501,6,FALSE)</f>
        <v>Silver</v>
      </c>
      <c r="P1546" t="str">
        <f>VLOOKUP($A1546,Store_Dim!$A$2:$F$21,3,FALSE)</f>
        <v>NorthNew Michaelchester</v>
      </c>
    </row>
    <row r="1547" spans="1:16" x14ac:dyDescent="0.25">
      <c r="A1547" t="s">
        <v>801</v>
      </c>
      <c r="B1547" t="s">
        <v>2441</v>
      </c>
      <c r="C1547" t="s">
        <v>742</v>
      </c>
      <c r="D1547" s="2">
        <v>45300</v>
      </c>
      <c r="E1547" t="s">
        <v>288</v>
      </c>
      <c r="F1547" t="str">
        <f>VLOOKUP($C1547,Product_Dim!$A$2:$D$101,3,FALSE)</f>
        <v>Butler Group</v>
      </c>
      <c r="G1547" t="str">
        <f>VLOOKUP($C1547,Product_Dim!$A$2:$D$101,2,FALSE)</f>
        <v>Beauty</v>
      </c>
      <c r="H1547">
        <v>3</v>
      </c>
      <c r="I1547">
        <v>107.8</v>
      </c>
      <c r="J1547">
        <v>0.28999999999999998</v>
      </c>
      <c r="K1547" s="3">
        <v>229.614</v>
      </c>
      <c r="L1547" t="s">
        <v>854</v>
      </c>
      <c r="M1547" t="str">
        <f>VLOOKUP($E1547,Customer_Dim!$A$2:$F$501,3,FALSE)</f>
        <v>Male</v>
      </c>
      <c r="N1547" t="str">
        <f>VLOOKUP($E1547,Customer_Dim!$A$2:$F$501,5,FALSE)</f>
        <v>USA</v>
      </c>
      <c r="O1547" t="str">
        <f>VLOOKUP($E1547,Customer_Dim!$A$2:$F$501,6,FALSE)</f>
        <v>Platinum</v>
      </c>
      <c r="P1547" t="str">
        <f>VLOOKUP($A1547,Store_Dim!$A$2:$F$21,3,FALSE)</f>
        <v>NorthNew Michaelchester</v>
      </c>
    </row>
    <row r="1548" spans="1:16" x14ac:dyDescent="0.25">
      <c r="A1548" t="s">
        <v>801</v>
      </c>
      <c r="B1548" t="s">
        <v>2277</v>
      </c>
      <c r="C1548" t="s">
        <v>742</v>
      </c>
      <c r="D1548" s="2">
        <v>45473</v>
      </c>
      <c r="E1548" t="s">
        <v>373</v>
      </c>
      <c r="F1548" t="str">
        <f>VLOOKUP($C1548,Product_Dim!$A$2:$D$101,3,FALSE)</f>
        <v>Butler Group</v>
      </c>
      <c r="G1548" t="str">
        <f>VLOOKUP($C1548,Product_Dim!$A$2:$D$101,2,FALSE)</f>
        <v>Beauty</v>
      </c>
      <c r="H1548">
        <v>2</v>
      </c>
      <c r="I1548">
        <v>879.93</v>
      </c>
      <c r="J1548">
        <v>0.28999999999999998</v>
      </c>
      <c r="K1548" s="3">
        <v>1249.5006000000001</v>
      </c>
      <c r="L1548" t="s">
        <v>857</v>
      </c>
      <c r="M1548" t="str">
        <f>VLOOKUP($E1548,Customer_Dim!$A$2:$F$501,3,FALSE)</f>
        <v>Male</v>
      </c>
      <c r="N1548" t="str">
        <f>VLOOKUP($E1548,Customer_Dim!$A$2:$F$501,5,FALSE)</f>
        <v>USA</v>
      </c>
      <c r="O1548" t="str">
        <f>VLOOKUP($E1548,Customer_Dim!$A$2:$F$501,6,FALSE)</f>
        <v>Platinum</v>
      </c>
      <c r="P1548" t="str">
        <f>VLOOKUP($A1548,Store_Dim!$A$2:$F$21,3,FALSE)</f>
        <v>NorthNew Michaelchester</v>
      </c>
    </row>
    <row r="1549" spans="1:16" hidden="1" x14ac:dyDescent="0.25">
      <c r="A1549" t="s">
        <v>801</v>
      </c>
      <c r="B1549" t="s">
        <v>2225</v>
      </c>
      <c r="C1549" t="s">
        <v>744</v>
      </c>
      <c r="D1549" s="2">
        <v>45235</v>
      </c>
      <c r="E1549" t="s">
        <v>66</v>
      </c>
      <c r="F1549" t="str">
        <f>VLOOKUP($C1549,Product_Dim!$A$2:$D$101,3,FALSE)</f>
        <v>Collins-Stephenson</v>
      </c>
      <c r="G1549" t="str">
        <f>VLOOKUP($C1549,Product_Dim!$A$2:$D$101,2,FALSE)</f>
        <v>Home</v>
      </c>
      <c r="H1549">
        <v>3</v>
      </c>
      <c r="I1549">
        <v>923.38</v>
      </c>
      <c r="J1549">
        <v>7.0000000000000007E-2</v>
      </c>
      <c r="K1549" s="3">
        <v>2576.2302</v>
      </c>
      <c r="L1549" t="s">
        <v>857</v>
      </c>
      <c r="M1549" t="str">
        <f>VLOOKUP($E1549,Customer_Dim!$A$2:$F$501,3,FALSE)</f>
        <v>Female</v>
      </c>
      <c r="N1549" t="str">
        <f>VLOOKUP($E1549,Customer_Dim!$A$2:$F$501,5,FALSE)</f>
        <v>USA</v>
      </c>
      <c r="O1549" t="str">
        <f>VLOOKUP($E1549,Customer_Dim!$A$2:$F$501,6,FALSE)</f>
        <v>Silver</v>
      </c>
      <c r="P1549" t="str">
        <f>VLOOKUP($A1549,Store_Dim!$A$2:$F$21,3,FALSE)</f>
        <v>NorthNew Michaelchester</v>
      </c>
    </row>
    <row r="1550" spans="1:16" x14ac:dyDescent="0.25">
      <c r="A1550" t="s">
        <v>801</v>
      </c>
      <c r="B1550" t="s">
        <v>1548</v>
      </c>
      <c r="C1550" t="s">
        <v>746</v>
      </c>
      <c r="D1550" s="2">
        <v>45497</v>
      </c>
      <c r="E1550" t="s">
        <v>355</v>
      </c>
      <c r="F1550" t="str">
        <f>VLOOKUP($C1550,Product_Dim!$A$2:$D$101,3,FALSE)</f>
        <v>Richardson-Carrillo</v>
      </c>
      <c r="G1550" t="str">
        <f>VLOOKUP($C1550,Product_Dim!$A$2:$D$101,2,FALSE)</f>
        <v>Clothing</v>
      </c>
      <c r="H1550">
        <v>2</v>
      </c>
      <c r="I1550">
        <v>701.49</v>
      </c>
      <c r="J1550">
        <v>0.09</v>
      </c>
      <c r="K1550" s="3">
        <v>1276.7118</v>
      </c>
      <c r="L1550" t="s">
        <v>854</v>
      </c>
      <c r="M1550" t="str">
        <f>VLOOKUP($E1550,Customer_Dim!$A$2:$F$501,3,FALSE)</f>
        <v>Male</v>
      </c>
      <c r="N1550" t="str">
        <f>VLOOKUP($E1550,Customer_Dim!$A$2:$F$501,5,FALSE)</f>
        <v>USA</v>
      </c>
      <c r="O1550" t="str">
        <f>VLOOKUP($E1550,Customer_Dim!$A$2:$F$501,6,FALSE)</f>
        <v>Gold</v>
      </c>
      <c r="P1550" t="str">
        <f>VLOOKUP($A1550,Store_Dim!$A$2:$F$21,3,FALSE)</f>
        <v>NorthNew Michaelchester</v>
      </c>
    </row>
    <row r="1551" spans="1:16" hidden="1" x14ac:dyDescent="0.25">
      <c r="A1551" t="s">
        <v>801</v>
      </c>
      <c r="B1551" t="s">
        <v>1435</v>
      </c>
      <c r="C1551" t="s">
        <v>752</v>
      </c>
      <c r="D1551" s="2">
        <v>45250</v>
      </c>
      <c r="E1551" t="s">
        <v>46</v>
      </c>
      <c r="F1551" t="str">
        <f>VLOOKUP($C1551,Product_Dim!$A$2:$D$101,3,FALSE)</f>
        <v>Olsen-Daniels</v>
      </c>
      <c r="G1551" t="str">
        <f>VLOOKUP($C1551,Product_Dim!$A$2:$D$101,2,FALSE)</f>
        <v>Sports</v>
      </c>
      <c r="H1551">
        <v>4</v>
      </c>
      <c r="I1551">
        <v>510.33</v>
      </c>
      <c r="J1551">
        <v>0.2</v>
      </c>
      <c r="K1551" s="3">
        <v>1633.056</v>
      </c>
      <c r="L1551" t="s">
        <v>854</v>
      </c>
      <c r="M1551" t="str">
        <f>VLOOKUP($E1551,Customer_Dim!$A$2:$F$501,3,FALSE)</f>
        <v>Female</v>
      </c>
      <c r="N1551" t="str">
        <f>VLOOKUP($E1551,Customer_Dim!$A$2:$F$501,5,FALSE)</f>
        <v>USA</v>
      </c>
      <c r="O1551" t="str">
        <f>VLOOKUP($E1551,Customer_Dim!$A$2:$F$501,6,FALSE)</f>
        <v>Platinum</v>
      </c>
      <c r="P1551" t="str">
        <f>VLOOKUP($A1551,Store_Dim!$A$2:$F$21,3,FALSE)</f>
        <v>NorthNew Michaelchester</v>
      </c>
    </row>
    <row r="1552" spans="1:16" hidden="1" x14ac:dyDescent="0.25">
      <c r="A1552" t="s">
        <v>801</v>
      </c>
      <c r="B1552" t="s">
        <v>1059</v>
      </c>
      <c r="C1552" t="s">
        <v>752</v>
      </c>
      <c r="D1552" s="2">
        <v>45883</v>
      </c>
      <c r="E1552" t="s">
        <v>504</v>
      </c>
      <c r="F1552" t="str">
        <f>VLOOKUP($C1552,Product_Dim!$A$2:$D$101,3,FALSE)</f>
        <v>Olsen-Daniels</v>
      </c>
      <c r="G1552" t="str">
        <f>VLOOKUP($C1552,Product_Dim!$A$2:$D$101,2,FALSE)</f>
        <v>Sports</v>
      </c>
      <c r="H1552">
        <v>1</v>
      </c>
      <c r="I1552">
        <v>479.93</v>
      </c>
      <c r="J1552">
        <v>0.22</v>
      </c>
      <c r="K1552" s="3">
        <v>374.34539999999998</v>
      </c>
      <c r="L1552" t="s">
        <v>852</v>
      </c>
      <c r="M1552" t="str">
        <f>VLOOKUP($E1552,Customer_Dim!$A$2:$F$501,3,FALSE)</f>
        <v>Female</v>
      </c>
      <c r="N1552" t="str">
        <f>VLOOKUP($E1552,Customer_Dim!$A$2:$F$501,5,FALSE)</f>
        <v>USA</v>
      </c>
      <c r="O1552" t="str">
        <f>VLOOKUP($E1552,Customer_Dim!$A$2:$F$501,6,FALSE)</f>
        <v>Platinum</v>
      </c>
      <c r="P1552" t="str">
        <f>VLOOKUP($A1552,Store_Dim!$A$2:$F$21,3,FALSE)</f>
        <v>NorthNew Michaelchester</v>
      </c>
    </row>
    <row r="1553" spans="1:16" hidden="1" x14ac:dyDescent="0.25">
      <c r="A1553" t="s">
        <v>801</v>
      </c>
      <c r="B1553" t="s">
        <v>1137</v>
      </c>
      <c r="C1553" t="s">
        <v>593</v>
      </c>
      <c r="D1553" s="2">
        <v>45639</v>
      </c>
      <c r="E1553" t="s">
        <v>55</v>
      </c>
      <c r="F1553" t="str">
        <f>VLOOKUP($C1553,Product_Dim!$A$2:$D$101,3,FALSE)</f>
        <v>Hill PLC</v>
      </c>
      <c r="G1553" t="str">
        <f>VLOOKUP($C1553,Product_Dim!$A$2:$D$101,2,FALSE)</f>
        <v>Sports</v>
      </c>
      <c r="H1553">
        <v>3</v>
      </c>
      <c r="I1553">
        <v>134.30000000000001</v>
      </c>
      <c r="J1553">
        <v>0.14000000000000001</v>
      </c>
      <c r="K1553" s="3">
        <v>346.49400000000003</v>
      </c>
      <c r="L1553" t="s">
        <v>852</v>
      </c>
      <c r="M1553" t="str">
        <f>VLOOKUP($E1553,Customer_Dim!$A$2:$F$501,3,FALSE)</f>
        <v>Female</v>
      </c>
      <c r="N1553" t="str">
        <f>VLOOKUP($E1553,Customer_Dim!$A$2:$F$501,5,FALSE)</f>
        <v>USA</v>
      </c>
      <c r="O1553" t="str">
        <f>VLOOKUP($E1553,Customer_Dim!$A$2:$F$501,6,FALSE)</f>
        <v>Silver</v>
      </c>
      <c r="P1553" t="str">
        <f>VLOOKUP($A1553,Store_Dim!$A$2:$F$21,3,FALSE)</f>
        <v>NorthNew Michaelchester</v>
      </c>
    </row>
    <row r="1554" spans="1:16" hidden="1" x14ac:dyDescent="0.25">
      <c r="A1554" t="s">
        <v>801</v>
      </c>
      <c r="B1554" t="s">
        <v>2391</v>
      </c>
      <c r="C1554" t="s">
        <v>593</v>
      </c>
      <c r="D1554" s="2">
        <v>45688</v>
      </c>
      <c r="E1554" t="s">
        <v>390</v>
      </c>
      <c r="F1554" t="str">
        <f>VLOOKUP($C1554,Product_Dim!$A$2:$D$101,3,FALSE)</f>
        <v>Hill PLC</v>
      </c>
      <c r="G1554" t="str">
        <f>VLOOKUP($C1554,Product_Dim!$A$2:$D$101,2,FALSE)</f>
        <v>Sports</v>
      </c>
      <c r="H1554">
        <v>2</v>
      </c>
      <c r="I1554">
        <v>753.1</v>
      </c>
      <c r="J1554">
        <v>0.19</v>
      </c>
      <c r="K1554" s="3">
        <v>1220.0219999999999</v>
      </c>
      <c r="L1554" t="s">
        <v>854</v>
      </c>
      <c r="M1554" t="str">
        <f>VLOOKUP($E1554,Customer_Dim!$A$2:$F$501,3,FALSE)</f>
        <v>Female</v>
      </c>
      <c r="N1554" t="str">
        <f>VLOOKUP($E1554,Customer_Dim!$A$2:$F$501,5,FALSE)</f>
        <v>USA</v>
      </c>
      <c r="O1554" t="str">
        <f>VLOOKUP($E1554,Customer_Dim!$A$2:$F$501,6,FALSE)</f>
        <v>Platinum</v>
      </c>
      <c r="P1554" t="str">
        <f>VLOOKUP($A1554,Store_Dim!$A$2:$F$21,3,FALSE)</f>
        <v>NorthNew Michaelchester</v>
      </c>
    </row>
    <row r="1555" spans="1:16" hidden="1" x14ac:dyDescent="0.25">
      <c r="A1555" t="s">
        <v>801</v>
      </c>
      <c r="B1555" t="s">
        <v>1476</v>
      </c>
      <c r="C1555" t="s">
        <v>756</v>
      </c>
      <c r="D1555" s="2">
        <v>45421</v>
      </c>
      <c r="E1555" t="s">
        <v>76</v>
      </c>
      <c r="F1555" t="str">
        <f>VLOOKUP($C1555,Product_Dim!$A$2:$D$101,3,FALSE)</f>
        <v>Sharp, Taylor and Rodriguez</v>
      </c>
      <c r="G1555" t="str">
        <f>VLOOKUP($C1555,Product_Dim!$A$2:$D$101,2,FALSE)</f>
        <v>Electronics</v>
      </c>
      <c r="H1555">
        <v>2</v>
      </c>
      <c r="I1555">
        <v>678.98</v>
      </c>
      <c r="J1555">
        <v>0.23</v>
      </c>
      <c r="K1555" s="3">
        <v>1045.6292000000001</v>
      </c>
      <c r="L1555" t="s">
        <v>852</v>
      </c>
      <c r="M1555" t="str">
        <f>VLOOKUP($E1555,Customer_Dim!$A$2:$F$501,3,FALSE)</f>
        <v>Female</v>
      </c>
      <c r="N1555" t="str">
        <f>VLOOKUP($E1555,Customer_Dim!$A$2:$F$501,5,FALSE)</f>
        <v>USA</v>
      </c>
      <c r="O1555" t="str">
        <f>VLOOKUP($E1555,Customer_Dim!$A$2:$F$501,6,FALSE)</f>
        <v>Gold</v>
      </c>
      <c r="P1555" t="str">
        <f>VLOOKUP($A1555,Store_Dim!$A$2:$F$21,3,FALSE)</f>
        <v>NorthNew Michaelchester</v>
      </c>
    </row>
    <row r="1556" spans="1:16" hidden="1" x14ac:dyDescent="0.25">
      <c r="A1556" t="s">
        <v>801</v>
      </c>
      <c r="B1556" t="s">
        <v>994</v>
      </c>
      <c r="C1556" t="s">
        <v>756</v>
      </c>
      <c r="D1556" s="2">
        <v>45255</v>
      </c>
      <c r="E1556" t="s">
        <v>235</v>
      </c>
      <c r="F1556" t="str">
        <f>VLOOKUP($C1556,Product_Dim!$A$2:$D$101,3,FALSE)</f>
        <v>Sharp, Taylor and Rodriguez</v>
      </c>
      <c r="G1556" t="str">
        <f>VLOOKUP($C1556,Product_Dim!$A$2:$D$101,2,FALSE)</f>
        <v>Electronics</v>
      </c>
      <c r="H1556">
        <v>2</v>
      </c>
      <c r="I1556">
        <v>478.85</v>
      </c>
      <c r="J1556">
        <v>0.01</v>
      </c>
      <c r="K1556" s="3">
        <v>948.12300000000005</v>
      </c>
      <c r="L1556" t="s">
        <v>857</v>
      </c>
      <c r="M1556" t="str">
        <f>VLOOKUP($E1556,Customer_Dim!$A$2:$F$501,3,FALSE)</f>
        <v>Female</v>
      </c>
      <c r="N1556" t="str">
        <f>VLOOKUP($E1556,Customer_Dim!$A$2:$F$501,5,FALSE)</f>
        <v>USA</v>
      </c>
      <c r="O1556" t="str">
        <f>VLOOKUP($E1556,Customer_Dim!$A$2:$F$501,6,FALSE)</f>
        <v>Platinum</v>
      </c>
      <c r="P1556" t="str">
        <f>VLOOKUP($A1556,Store_Dim!$A$2:$F$21,3,FALSE)</f>
        <v>NorthNew Michaelchester</v>
      </c>
    </row>
    <row r="1557" spans="1:16" hidden="1" x14ac:dyDescent="0.25">
      <c r="A1557" t="s">
        <v>801</v>
      </c>
      <c r="B1557" t="s">
        <v>1795</v>
      </c>
      <c r="C1557" t="s">
        <v>758</v>
      </c>
      <c r="D1557" s="2">
        <v>45690</v>
      </c>
      <c r="E1557" t="s">
        <v>138</v>
      </c>
      <c r="F1557" t="str">
        <f>VLOOKUP($C1557,Product_Dim!$A$2:$D$101,3,FALSE)</f>
        <v>Smith-Charles</v>
      </c>
      <c r="G1557" t="str">
        <f>VLOOKUP($C1557,Product_Dim!$A$2:$D$101,2,FALSE)</f>
        <v>Clothing</v>
      </c>
      <c r="H1557">
        <v>3</v>
      </c>
      <c r="I1557">
        <v>219.96</v>
      </c>
      <c r="J1557">
        <v>0.18</v>
      </c>
      <c r="K1557" s="3">
        <v>541.10160000000008</v>
      </c>
      <c r="L1557" t="s">
        <v>854</v>
      </c>
      <c r="M1557" t="str">
        <f>VLOOKUP($E1557,Customer_Dim!$A$2:$F$501,3,FALSE)</f>
        <v>Female</v>
      </c>
      <c r="N1557" t="str">
        <f>VLOOKUP($E1557,Customer_Dim!$A$2:$F$501,5,FALSE)</f>
        <v>USA</v>
      </c>
      <c r="O1557" t="str">
        <f>VLOOKUP($E1557,Customer_Dim!$A$2:$F$501,6,FALSE)</f>
        <v>Platinum</v>
      </c>
      <c r="P1557" t="str">
        <f>VLOOKUP($A1557,Store_Dim!$A$2:$F$21,3,FALSE)</f>
        <v>NorthNew Michaelchester</v>
      </c>
    </row>
    <row r="1558" spans="1:16" hidden="1" x14ac:dyDescent="0.25">
      <c r="A1558" t="s">
        <v>801</v>
      </c>
      <c r="B1558" t="s">
        <v>1967</v>
      </c>
      <c r="C1558" t="s">
        <v>758</v>
      </c>
      <c r="D1558" s="2">
        <v>45888</v>
      </c>
      <c r="E1558" t="s">
        <v>155</v>
      </c>
      <c r="F1558" t="str">
        <f>VLOOKUP($C1558,Product_Dim!$A$2:$D$101,3,FALSE)</f>
        <v>Smith-Charles</v>
      </c>
      <c r="G1558" t="str">
        <f>VLOOKUP($C1558,Product_Dim!$A$2:$D$101,2,FALSE)</f>
        <v>Clothing</v>
      </c>
      <c r="H1558">
        <v>3</v>
      </c>
      <c r="I1558">
        <v>629.58000000000004</v>
      </c>
      <c r="J1558">
        <v>0.05</v>
      </c>
      <c r="K1558" s="3">
        <v>1794.3030000000001</v>
      </c>
      <c r="L1558" t="s">
        <v>852</v>
      </c>
      <c r="M1558" t="str">
        <f>VLOOKUP($E1558,Customer_Dim!$A$2:$F$501,3,FALSE)</f>
        <v>Female</v>
      </c>
      <c r="N1558" t="str">
        <f>VLOOKUP($E1558,Customer_Dim!$A$2:$F$501,5,FALSE)</f>
        <v>USA</v>
      </c>
      <c r="O1558" t="str">
        <f>VLOOKUP($E1558,Customer_Dim!$A$2:$F$501,6,FALSE)</f>
        <v>Gold</v>
      </c>
      <c r="P1558" t="str">
        <f>VLOOKUP($A1558,Store_Dim!$A$2:$F$21,3,FALSE)</f>
        <v>NorthNew Michaelchester</v>
      </c>
    </row>
    <row r="1559" spans="1:16" x14ac:dyDescent="0.25">
      <c r="A1559" t="s">
        <v>801</v>
      </c>
      <c r="B1559" t="s">
        <v>1330</v>
      </c>
      <c r="C1559" t="s">
        <v>758</v>
      </c>
      <c r="D1559" s="2">
        <v>45364</v>
      </c>
      <c r="E1559" t="s">
        <v>181</v>
      </c>
      <c r="F1559" t="str">
        <f>VLOOKUP($C1559,Product_Dim!$A$2:$D$101,3,FALSE)</f>
        <v>Smith-Charles</v>
      </c>
      <c r="G1559" t="str">
        <f>VLOOKUP($C1559,Product_Dim!$A$2:$D$101,2,FALSE)</f>
        <v>Clothing</v>
      </c>
      <c r="H1559">
        <v>4</v>
      </c>
      <c r="I1559">
        <v>940.77</v>
      </c>
      <c r="J1559">
        <v>0.24</v>
      </c>
      <c r="K1559" s="3">
        <v>2859.9407999999999</v>
      </c>
      <c r="L1559" t="s">
        <v>857</v>
      </c>
      <c r="M1559" t="str">
        <f>VLOOKUP($E1559,Customer_Dim!$A$2:$F$501,3,FALSE)</f>
        <v>Male</v>
      </c>
      <c r="N1559" t="str">
        <f>VLOOKUP($E1559,Customer_Dim!$A$2:$F$501,5,FALSE)</f>
        <v>USA</v>
      </c>
      <c r="O1559" t="str">
        <f>VLOOKUP($E1559,Customer_Dim!$A$2:$F$501,6,FALSE)</f>
        <v>Platinum</v>
      </c>
      <c r="P1559" t="str">
        <f>VLOOKUP($A1559,Store_Dim!$A$2:$F$21,3,FALSE)</f>
        <v>NorthNew Michaelchester</v>
      </c>
    </row>
    <row r="1560" spans="1:16" hidden="1" x14ac:dyDescent="0.25">
      <c r="A1560" t="s">
        <v>801</v>
      </c>
      <c r="B1560" t="s">
        <v>1032</v>
      </c>
      <c r="C1560" t="s">
        <v>764</v>
      </c>
      <c r="D1560" s="2">
        <v>45885</v>
      </c>
      <c r="E1560" t="s">
        <v>117</v>
      </c>
      <c r="F1560" t="str">
        <f>VLOOKUP($C1560,Product_Dim!$A$2:$D$101,3,FALSE)</f>
        <v>Hoffman-Williams</v>
      </c>
      <c r="G1560" t="str">
        <f>VLOOKUP($C1560,Product_Dim!$A$2:$D$101,2,FALSE)</f>
        <v>Beauty</v>
      </c>
      <c r="H1560">
        <v>4</v>
      </c>
      <c r="I1560">
        <v>638.91</v>
      </c>
      <c r="J1560">
        <v>0</v>
      </c>
      <c r="K1560" s="3">
        <v>2555.64</v>
      </c>
      <c r="L1560" t="s">
        <v>857</v>
      </c>
      <c r="M1560" t="str">
        <f>VLOOKUP($E1560,Customer_Dim!$A$2:$F$501,3,FALSE)</f>
        <v>Female</v>
      </c>
      <c r="N1560" t="str">
        <f>VLOOKUP($E1560,Customer_Dim!$A$2:$F$501,5,FALSE)</f>
        <v>USA</v>
      </c>
      <c r="O1560" t="str">
        <f>VLOOKUP($E1560,Customer_Dim!$A$2:$F$501,6,FALSE)</f>
        <v>Silver</v>
      </c>
      <c r="P1560" t="str">
        <f>VLOOKUP($A1560,Store_Dim!$A$2:$F$21,3,FALSE)</f>
        <v>NorthNew Michaelchester</v>
      </c>
    </row>
    <row r="1561" spans="1:16" hidden="1" x14ac:dyDescent="0.25">
      <c r="A1561" t="s">
        <v>801</v>
      </c>
      <c r="B1561" t="s">
        <v>2120</v>
      </c>
      <c r="C1561" t="s">
        <v>764</v>
      </c>
      <c r="D1561" s="2">
        <v>45861</v>
      </c>
      <c r="E1561" t="s">
        <v>145</v>
      </c>
      <c r="F1561" t="str">
        <f>VLOOKUP($C1561,Product_Dim!$A$2:$D$101,3,FALSE)</f>
        <v>Hoffman-Williams</v>
      </c>
      <c r="G1561" t="str">
        <f>VLOOKUP($C1561,Product_Dim!$A$2:$D$101,2,FALSE)</f>
        <v>Beauty</v>
      </c>
      <c r="H1561">
        <v>1</v>
      </c>
      <c r="I1561">
        <v>252.18</v>
      </c>
      <c r="J1561">
        <v>0.23</v>
      </c>
      <c r="K1561" s="3">
        <v>194.17859999999999</v>
      </c>
      <c r="L1561" t="s">
        <v>854</v>
      </c>
      <c r="M1561" t="str">
        <f>VLOOKUP($E1561,Customer_Dim!$A$2:$F$501,3,FALSE)</f>
        <v>Female</v>
      </c>
      <c r="N1561" t="str">
        <f>VLOOKUP($E1561,Customer_Dim!$A$2:$F$501,5,FALSE)</f>
        <v>USA</v>
      </c>
      <c r="O1561" t="str">
        <f>VLOOKUP($E1561,Customer_Dim!$A$2:$F$501,6,FALSE)</f>
        <v>Bronze</v>
      </c>
      <c r="P1561" t="str">
        <f>VLOOKUP($A1561,Store_Dim!$A$2:$F$21,3,FALSE)</f>
        <v>NorthNew Michaelchester</v>
      </c>
    </row>
    <row r="1562" spans="1:16" x14ac:dyDescent="0.25">
      <c r="A1562" t="s">
        <v>801</v>
      </c>
      <c r="B1562" t="s">
        <v>1443</v>
      </c>
      <c r="C1562" t="s">
        <v>768</v>
      </c>
      <c r="D1562" s="2">
        <v>45257</v>
      </c>
      <c r="E1562" t="s">
        <v>392</v>
      </c>
      <c r="F1562" t="str">
        <f>VLOOKUP($C1562,Product_Dim!$A$2:$D$101,3,FALSE)</f>
        <v>Phillips and Sons</v>
      </c>
      <c r="G1562" t="str">
        <f>VLOOKUP($C1562,Product_Dim!$A$2:$D$101,2,FALSE)</f>
        <v>Clothing</v>
      </c>
      <c r="H1562">
        <v>3</v>
      </c>
      <c r="I1562">
        <v>882.84</v>
      </c>
      <c r="J1562">
        <v>0.1</v>
      </c>
      <c r="K1562" s="3">
        <v>2383.6680000000001</v>
      </c>
      <c r="L1562" t="s">
        <v>852</v>
      </c>
      <c r="M1562" t="str">
        <f>VLOOKUP($E1562,Customer_Dim!$A$2:$F$501,3,FALSE)</f>
        <v>Male</v>
      </c>
      <c r="N1562" t="str">
        <f>VLOOKUP($E1562,Customer_Dim!$A$2:$F$501,5,FALSE)</f>
        <v>USA</v>
      </c>
      <c r="O1562" t="str">
        <f>VLOOKUP($E1562,Customer_Dim!$A$2:$F$501,6,FALSE)</f>
        <v>Bronze</v>
      </c>
      <c r="P1562" t="str">
        <f>VLOOKUP($A1562,Store_Dim!$A$2:$F$21,3,FALSE)</f>
        <v>NorthNew Michaelchester</v>
      </c>
    </row>
    <row r="1563" spans="1:16" x14ac:dyDescent="0.25">
      <c r="A1563" t="s">
        <v>801</v>
      </c>
      <c r="B1563" t="s">
        <v>1317</v>
      </c>
      <c r="C1563" t="s">
        <v>770</v>
      </c>
      <c r="D1563" s="2">
        <v>45252</v>
      </c>
      <c r="E1563" t="s">
        <v>227</v>
      </c>
      <c r="F1563" t="str">
        <f>VLOOKUP($C1563,Product_Dim!$A$2:$D$101,3,FALSE)</f>
        <v>Khan LLC</v>
      </c>
      <c r="G1563" t="str">
        <f>VLOOKUP($C1563,Product_Dim!$A$2:$D$101,2,FALSE)</f>
        <v>Sports</v>
      </c>
      <c r="H1563">
        <v>2</v>
      </c>
      <c r="I1563">
        <v>261.48</v>
      </c>
      <c r="J1563">
        <v>0.17</v>
      </c>
      <c r="K1563" s="3">
        <v>434.05680000000001</v>
      </c>
      <c r="L1563" t="s">
        <v>852</v>
      </c>
      <c r="M1563" t="str">
        <f>VLOOKUP($E1563,Customer_Dim!$A$2:$F$501,3,FALSE)</f>
        <v>Male</v>
      </c>
      <c r="N1563" t="str">
        <f>VLOOKUP($E1563,Customer_Dim!$A$2:$F$501,5,FALSE)</f>
        <v>USA</v>
      </c>
      <c r="O1563" t="str">
        <f>VLOOKUP($E1563,Customer_Dim!$A$2:$F$501,6,FALSE)</f>
        <v>Bronze</v>
      </c>
      <c r="P1563" t="str">
        <f>VLOOKUP($A1563,Store_Dim!$A$2:$F$21,3,FALSE)</f>
        <v>NorthNew Michaelchester</v>
      </c>
    </row>
    <row r="1564" spans="1:16" hidden="1" x14ac:dyDescent="0.25">
      <c r="A1564" t="s">
        <v>801</v>
      </c>
      <c r="B1564" t="s">
        <v>862</v>
      </c>
      <c r="C1564" t="s">
        <v>774</v>
      </c>
      <c r="D1564" s="2">
        <v>45781</v>
      </c>
      <c r="E1564" t="s">
        <v>252</v>
      </c>
      <c r="F1564" t="str">
        <f>VLOOKUP($C1564,Product_Dim!$A$2:$D$101,3,FALSE)</f>
        <v>Campbell Ltd</v>
      </c>
      <c r="G1564" t="str">
        <f>VLOOKUP($C1564,Product_Dim!$A$2:$D$101,2,FALSE)</f>
        <v>Home</v>
      </c>
      <c r="H1564" s="4">
        <f>K1564/(I1564-J1564)</f>
        <v>2.7904357624168861</v>
      </c>
      <c r="I1564">
        <v>448.25</v>
      </c>
      <c r="J1564">
        <v>7.0000000000000007E-2</v>
      </c>
      <c r="K1564" s="3">
        <v>1250.6175000000001</v>
      </c>
      <c r="L1564" t="s">
        <v>854</v>
      </c>
      <c r="M1564" t="str">
        <f>VLOOKUP($E1564,Customer_Dim!$A$2:$F$501,3,FALSE)</f>
        <v>Female</v>
      </c>
      <c r="N1564" t="str">
        <f>VLOOKUP($E1564,Customer_Dim!$A$2:$F$501,5,FALSE)</f>
        <v>USA</v>
      </c>
      <c r="O1564" t="str">
        <f>VLOOKUP($E1564,Customer_Dim!$A$2:$F$501,6,FALSE)</f>
        <v>Platinum</v>
      </c>
      <c r="P1564" t="str">
        <f>VLOOKUP($A1564,Store_Dim!$A$2:$F$21,3,FALSE)</f>
        <v>NorthNew Michaelchester</v>
      </c>
    </row>
    <row r="1565" spans="1:16" hidden="1" x14ac:dyDescent="0.25">
      <c r="A1565" t="s">
        <v>804</v>
      </c>
      <c r="B1565" t="s">
        <v>1529</v>
      </c>
      <c r="C1565" t="s">
        <v>574</v>
      </c>
      <c r="D1565" s="2">
        <v>45859</v>
      </c>
      <c r="E1565" t="s">
        <v>105</v>
      </c>
      <c r="F1565" t="str">
        <f>VLOOKUP($C1565,Product_Dim!$A$2:$D$101,3,FALSE)</f>
        <v>Terry-Moore</v>
      </c>
      <c r="G1565" t="str">
        <f>VLOOKUP($C1565,Product_Dim!$A$2:$D$101,2,FALSE)</f>
        <v>Clothing</v>
      </c>
      <c r="H1565">
        <v>4</v>
      </c>
      <c r="I1565">
        <v>845.58</v>
      </c>
      <c r="J1565">
        <v>0.06</v>
      </c>
      <c r="K1565" s="3">
        <v>3179.3807999999999</v>
      </c>
      <c r="L1565" t="s">
        <v>854</v>
      </c>
      <c r="M1565" t="str">
        <f>VLOOKUP($E1565,Customer_Dim!$A$2:$F$501,3,FALSE)</f>
        <v>Female</v>
      </c>
      <c r="N1565" t="str">
        <f>VLOOKUP($E1565,Customer_Dim!$A$2:$F$501,5,FALSE)</f>
        <v>USA</v>
      </c>
      <c r="O1565" t="str">
        <f>VLOOKUP($E1565,Customer_Dim!$A$2:$F$501,6,FALSE)</f>
        <v>Platinum</v>
      </c>
      <c r="P1565" t="str">
        <f>VLOOKUP($A1565,Store_Dim!$A$2:$F$21,3,FALSE)</f>
        <v>EastPort Josephberg</v>
      </c>
    </row>
    <row r="1566" spans="1:16" hidden="1" x14ac:dyDescent="0.25">
      <c r="A1566" t="s">
        <v>804</v>
      </c>
      <c r="B1566" t="s">
        <v>1400</v>
      </c>
      <c r="C1566" t="s">
        <v>596</v>
      </c>
      <c r="D1566" s="2">
        <v>45695</v>
      </c>
      <c r="E1566" t="s">
        <v>445</v>
      </c>
      <c r="F1566" t="str">
        <f>VLOOKUP($C1566,Product_Dim!$A$2:$D$101,3,FALSE)</f>
        <v>Hamilton Group</v>
      </c>
      <c r="G1566" t="str">
        <f>VLOOKUP($C1566,Product_Dim!$A$2:$D$101,2,FALSE)</f>
        <v>Home</v>
      </c>
      <c r="H1566">
        <v>3</v>
      </c>
      <c r="I1566">
        <v>370.93</v>
      </c>
      <c r="J1566">
        <v>0</v>
      </c>
      <c r="K1566" s="3">
        <v>1112.79</v>
      </c>
      <c r="L1566" t="s">
        <v>852</v>
      </c>
      <c r="M1566" t="str">
        <f>VLOOKUP($E1566,Customer_Dim!$A$2:$F$501,3,FALSE)</f>
        <v>Female</v>
      </c>
      <c r="N1566" t="str">
        <f>VLOOKUP($E1566,Customer_Dim!$A$2:$F$501,5,FALSE)</f>
        <v>USA</v>
      </c>
      <c r="O1566" t="str">
        <f>VLOOKUP($E1566,Customer_Dim!$A$2:$F$501,6,FALSE)</f>
        <v>Bronze</v>
      </c>
      <c r="P1566" t="str">
        <f>VLOOKUP($A1566,Store_Dim!$A$2:$F$21,3,FALSE)</f>
        <v>EastPort Josephberg</v>
      </c>
    </row>
    <row r="1567" spans="1:16" x14ac:dyDescent="0.25">
      <c r="A1567" t="s">
        <v>804</v>
      </c>
      <c r="B1567" t="s">
        <v>1828</v>
      </c>
      <c r="C1567" t="s">
        <v>596</v>
      </c>
      <c r="D1567" s="2">
        <v>45667</v>
      </c>
      <c r="E1567" t="s">
        <v>511</v>
      </c>
      <c r="F1567" t="str">
        <f>VLOOKUP($C1567,Product_Dim!$A$2:$D$101,3,FALSE)</f>
        <v>Hamilton Group</v>
      </c>
      <c r="G1567" t="str">
        <f>VLOOKUP($C1567,Product_Dim!$A$2:$D$101,2,FALSE)</f>
        <v>Home</v>
      </c>
      <c r="H1567">
        <v>4</v>
      </c>
      <c r="I1567">
        <v>599.85</v>
      </c>
      <c r="J1567">
        <v>0.25</v>
      </c>
      <c r="K1567" s="3">
        <v>1799.55</v>
      </c>
      <c r="L1567" t="s">
        <v>852</v>
      </c>
      <c r="M1567" t="str">
        <f>VLOOKUP($E1567,Customer_Dim!$A$2:$F$501,3,FALSE)</f>
        <v>Male</v>
      </c>
      <c r="N1567" t="str">
        <f>VLOOKUP($E1567,Customer_Dim!$A$2:$F$501,5,FALSE)</f>
        <v>USA</v>
      </c>
      <c r="O1567" t="str">
        <f>VLOOKUP($E1567,Customer_Dim!$A$2:$F$501,6,FALSE)</f>
        <v>Gold</v>
      </c>
      <c r="P1567" t="str">
        <f>VLOOKUP($A1567,Store_Dim!$A$2:$F$21,3,FALSE)</f>
        <v>EastPort Josephberg</v>
      </c>
    </row>
    <row r="1568" spans="1:16" hidden="1" x14ac:dyDescent="0.25">
      <c r="A1568" t="s">
        <v>804</v>
      </c>
      <c r="B1568" t="s">
        <v>2230</v>
      </c>
      <c r="C1568" t="s">
        <v>598</v>
      </c>
      <c r="D1568" s="2">
        <v>45803</v>
      </c>
      <c r="E1568" t="s">
        <v>236</v>
      </c>
      <c r="F1568" t="str">
        <f>VLOOKUP($C1568,Product_Dim!$A$2:$D$101,3,FALSE)</f>
        <v>Gibson, Hobbs and Weaver</v>
      </c>
      <c r="G1568" t="str">
        <f>VLOOKUP($C1568,Product_Dim!$A$2:$D$101,2,FALSE)</f>
        <v>Electronics</v>
      </c>
      <c r="H1568">
        <v>1</v>
      </c>
      <c r="I1568">
        <v>56.59</v>
      </c>
      <c r="J1568">
        <v>0.15</v>
      </c>
      <c r="K1568" s="3">
        <v>48.101500000000001</v>
      </c>
      <c r="L1568" t="s">
        <v>854</v>
      </c>
      <c r="M1568" t="str">
        <f>VLOOKUP($E1568,Customer_Dim!$A$2:$F$501,3,FALSE)</f>
        <v>Female</v>
      </c>
      <c r="N1568" t="str">
        <f>VLOOKUP($E1568,Customer_Dim!$A$2:$F$501,5,FALSE)</f>
        <v>USA</v>
      </c>
      <c r="O1568" t="str">
        <f>VLOOKUP($E1568,Customer_Dim!$A$2:$F$501,6,FALSE)</f>
        <v>Bronze</v>
      </c>
      <c r="P1568" t="str">
        <f>VLOOKUP($A1568,Store_Dim!$A$2:$F$21,3,FALSE)</f>
        <v>EastPort Josephberg</v>
      </c>
    </row>
    <row r="1569" spans="1:16" hidden="1" x14ac:dyDescent="0.25">
      <c r="A1569" t="s">
        <v>804</v>
      </c>
      <c r="B1569" t="s">
        <v>1479</v>
      </c>
      <c r="C1569" t="s">
        <v>600</v>
      </c>
      <c r="D1569" s="2">
        <v>45517</v>
      </c>
      <c r="E1569" t="s">
        <v>199</v>
      </c>
      <c r="F1569" t="str">
        <f>VLOOKUP($C1569,Product_Dim!$A$2:$D$101,3,FALSE)</f>
        <v>Rice LLC</v>
      </c>
      <c r="G1569" t="str">
        <f>VLOOKUP($C1569,Product_Dim!$A$2:$D$101,2,FALSE)</f>
        <v>Beauty</v>
      </c>
      <c r="H1569">
        <v>2</v>
      </c>
      <c r="I1569">
        <v>179.64</v>
      </c>
      <c r="J1569">
        <v>0.1</v>
      </c>
      <c r="K1569" s="3">
        <v>323.35199999999998</v>
      </c>
      <c r="L1569" t="s">
        <v>854</v>
      </c>
      <c r="M1569" t="str">
        <f>VLOOKUP($E1569,Customer_Dim!$A$2:$F$501,3,FALSE)</f>
        <v>Female</v>
      </c>
      <c r="N1569" t="str">
        <f>VLOOKUP($E1569,Customer_Dim!$A$2:$F$501,5,FALSE)</f>
        <v>USA</v>
      </c>
      <c r="O1569" t="str">
        <f>VLOOKUP($E1569,Customer_Dim!$A$2:$F$501,6,FALSE)</f>
        <v>Platinum</v>
      </c>
      <c r="P1569" t="str">
        <f>VLOOKUP($A1569,Store_Dim!$A$2:$F$21,3,FALSE)</f>
        <v>EastPort Josephberg</v>
      </c>
    </row>
    <row r="1570" spans="1:16" hidden="1" x14ac:dyDescent="0.25">
      <c r="A1570" t="s">
        <v>804</v>
      </c>
      <c r="B1570" t="s">
        <v>887</v>
      </c>
      <c r="C1570" t="s">
        <v>600</v>
      </c>
      <c r="D1570" s="2">
        <v>45620</v>
      </c>
      <c r="E1570" t="s">
        <v>520</v>
      </c>
      <c r="F1570" t="str">
        <f>VLOOKUP($C1570,Product_Dim!$A$2:$D$101,3,FALSE)</f>
        <v>Rice LLC</v>
      </c>
      <c r="G1570" t="str">
        <f>VLOOKUP($C1570,Product_Dim!$A$2:$D$101,2,FALSE)</f>
        <v>Beauty</v>
      </c>
      <c r="H1570">
        <v>2</v>
      </c>
      <c r="I1570">
        <v>717.31</v>
      </c>
      <c r="J1570">
        <v>0.15</v>
      </c>
      <c r="K1570" s="3">
        <v>1219.4269999999999</v>
      </c>
      <c r="L1570" t="s">
        <v>852</v>
      </c>
      <c r="M1570" t="str">
        <f>VLOOKUP($E1570,Customer_Dim!$A$2:$F$501,3,FALSE)</f>
        <v>Female</v>
      </c>
      <c r="N1570" t="str">
        <f>VLOOKUP($E1570,Customer_Dim!$A$2:$F$501,5,FALSE)</f>
        <v>USA</v>
      </c>
      <c r="O1570" t="str">
        <f>VLOOKUP($E1570,Customer_Dim!$A$2:$F$501,6,FALSE)</f>
        <v>Platinum</v>
      </c>
      <c r="P1570" t="str">
        <f>VLOOKUP($A1570,Store_Dim!$A$2:$F$21,3,FALSE)</f>
        <v>EastPort Josephberg</v>
      </c>
    </row>
    <row r="1571" spans="1:16" x14ac:dyDescent="0.25">
      <c r="A1571" t="s">
        <v>804</v>
      </c>
      <c r="B1571" t="s">
        <v>2212</v>
      </c>
      <c r="C1571" t="s">
        <v>604</v>
      </c>
      <c r="D1571" s="2">
        <v>45258</v>
      </c>
      <c r="E1571" t="s">
        <v>186</v>
      </c>
      <c r="F1571" t="str">
        <f>VLOOKUP($C1571,Product_Dim!$A$2:$D$101,3,FALSE)</f>
        <v>Luna, Anderson and Bowman</v>
      </c>
      <c r="G1571" t="str">
        <f>VLOOKUP($C1571,Product_Dim!$A$2:$D$101,2,FALSE)</f>
        <v>Home</v>
      </c>
      <c r="H1571">
        <v>2</v>
      </c>
      <c r="I1571">
        <v>629.73</v>
      </c>
      <c r="J1571">
        <v>7.0000000000000007E-2</v>
      </c>
      <c r="K1571" s="3">
        <v>1171.2978000000001</v>
      </c>
      <c r="L1571" t="s">
        <v>854</v>
      </c>
      <c r="M1571" t="str">
        <f>VLOOKUP($E1571,Customer_Dim!$A$2:$F$501,3,FALSE)</f>
        <v>Male</v>
      </c>
      <c r="N1571" t="str">
        <f>VLOOKUP($E1571,Customer_Dim!$A$2:$F$501,5,FALSE)</f>
        <v>USA</v>
      </c>
      <c r="O1571" t="str">
        <f>VLOOKUP($E1571,Customer_Dim!$A$2:$F$501,6,FALSE)</f>
        <v>Silver</v>
      </c>
      <c r="P1571" t="str">
        <f>VLOOKUP($A1571,Store_Dim!$A$2:$F$21,3,FALSE)</f>
        <v>EastPort Josephberg</v>
      </c>
    </row>
    <row r="1572" spans="1:16" hidden="1" x14ac:dyDescent="0.25">
      <c r="A1572" t="s">
        <v>804</v>
      </c>
      <c r="B1572" t="s">
        <v>1512</v>
      </c>
      <c r="C1572" t="s">
        <v>606</v>
      </c>
      <c r="D1572" s="2">
        <v>45629</v>
      </c>
      <c r="E1572" t="s">
        <v>103</v>
      </c>
      <c r="F1572" t="str">
        <f>VLOOKUP($C1572,Product_Dim!$A$2:$D$101,3,FALSE)</f>
        <v>Thomas LLC</v>
      </c>
      <c r="G1572" t="str">
        <f>VLOOKUP($C1572,Product_Dim!$A$2:$D$101,2,FALSE)</f>
        <v>Electronics</v>
      </c>
      <c r="H1572">
        <v>2</v>
      </c>
      <c r="I1572">
        <v>884.48</v>
      </c>
      <c r="J1572">
        <v>0</v>
      </c>
      <c r="K1572" s="3">
        <v>1768.96</v>
      </c>
      <c r="L1572" t="s">
        <v>857</v>
      </c>
      <c r="M1572" t="str">
        <f>VLOOKUP($E1572,Customer_Dim!$A$2:$F$501,3,FALSE)</f>
        <v>Female</v>
      </c>
      <c r="N1572" t="str">
        <f>VLOOKUP($E1572,Customer_Dim!$A$2:$F$501,5,FALSE)</f>
        <v>USA</v>
      </c>
      <c r="O1572" t="str">
        <f>VLOOKUP($E1572,Customer_Dim!$A$2:$F$501,6,FALSE)</f>
        <v>Bronze</v>
      </c>
      <c r="P1572" t="str">
        <f>VLOOKUP($A1572,Store_Dim!$A$2:$F$21,3,FALSE)</f>
        <v>EastPort Josephberg</v>
      </c>
    </row>
    <row r="1573" spans="1:16" x14ac:dyDescent="0.25">
      <c r="A1573" t="s">
        <v>804</v>
      </c>
      <c r="B1573" t="s">
        <v>2002</v>
      </c>
      <c r="C1573" t="s">
        <v>606</v>
      </c>
      <c r="D1573" s="2">
        <v>45569</v>
      </c>
      <c r="E1573" t="s">
        <v>198</v>
      </c>
      <c r="F1573" t="str">
        <f>VLOOKUP($C1573,Product_Dim!$A$2:$D$101,3,FALSE)</f>
        <v>Thomas LLC</v>
      </c>
      <c r="G1573" t="str">
        <f>VLOOKUP($C1573,Product_Dim!$A$2:$D$101,2,FALSE)</f>
        <v>Electronics</v>
      </c>
      <c r="H1573">
        <v>4</v>
      </c>
      <c r="I1573">
        <v>101.33</v>
      </c>
      <c r="J1573">
        <v>0</v>
      </c>
      <c r="K1573" s="3">
        <v>405.32</v>
      </c>
      <c r="L1573" t="s">
        <v>852</v>
      </c>
      <c r="M1573" t="str">
        <f>VLOOKUP($E1573,Customer_Dim!$A$2:$F$501,3,FALSE)</f>
        <v>Male</v>
      </c>
      <c r="N1573" t="str">
        <f>VLOOKUP($E1573,Customer_Dim!$A$2:$F$501,5,FALSE)</f>
        <v>USA</v>
      </c>
      <c r="O1573" t="str">
        <f>VLOOKUP($E1573,Customer_Dim!$A$2:$F$501,6,FALSE)</f>
        <v>Gold</v>
      </c>
      <c r="P1573" t="str">
        <f>VLOOKUP($A1573,Store_Dim!$A$2:$F$21,3,FALSE)</f>
        <v>EastPort Josephberg</v>
      </c>
    </row>
    <row r="1574" spans="1:16" x14ac:dyDescent="0.25">
      <c r="A1574" t="s">
        <v>804</v>
      </c>
      <c r="B1574" t="s">
        <v>2187</v>
      </c>
      <c r="C1574" t="s">
        <v>610</v>
      </c>
      <c r="D1574" s="2">
        <v>45565</v>
      </c>
      <c r="E1574" t="s">
        <v>511</v>
      </c>
      <c r="F1574" t="str">
        <f>VLOOKUP($C1574,Product_Dim!$A$2:$D$101,3,FALSE)</f>
        <v>Ford, Murphy and Wilson</v>
      </c>
      <c r="G1574" t="str">
        <f>VLOOKUP($C1574,Product_Dim!$A$2:$D$101,2,FALSE)</f>
        <v>Sports</v>
      </c>
      <c r="H1574">
        <v>1</v>
      </c>
      <c r="I1574">
        <v>55.04</v>
      </c>
      <c r="J1574">
        <v>0.01</v>
      </c>
      <c r="K1574" s="3">
        <v>54.489600000000003</v>
      </c>
      <c r="L1574" t="s">
        <v>857</v>
      </c>
      <c r="M1574" t="str">
        <f>VLOOKUP($E1574,Customer_Dim!$A$2:$F$501,3,FALSE)</f>
        <v>Male</v>
      </c>
      <c r="N1574" t="str">
        <f>VLOOKUP($E1574,Customer_Dim!$A$2:$F$501,5,FALSE)</f>
        <v>USA</v>
      </c>
      <c r="O1574" t="str">
        <f>VLOOKUP($E1574,Customer_Dim!$A$2:$F$501,6,FALSE)</f>
        <v>Gold</v>
      </c>
      <c r="P1574" t="str">
        <f>VLOOKUP($A1574,Store_Dim!$A$2:$F$21,3,FALSE)</f>
        <v>EastPort Josephberg</v>
      </c>
    </row>
    <row r="1575" spans="1:16" hidden="1" x14ac:dyDescent="0.25">
      <c r="A1575" t="s">
        <v>804</v>
      </c>
      <c r="B1575" t="s">
        <v>1619</v>
      </c>
      <c r="C1575" t="s">
        <v>612</v>
      </c>
      <c r="D1575" s="2">
        <v>45718</v>
      </c>
      <c r="E1575" t="s">
        <v>543</v>
      </c>
      <c r="F1575" t="str">
        <f>VLOOKUP($C1575,Product_Dim!$A$2:$D$101,3,FALSE)</f>
        <v>Guerra-Hendrix</v>
      </c>
      <c r="G1575" t="str">
        <f>VLOOKUP($C1575,Product_Dim!$A$2:$D$101,2,FALSE)</f>
        <v>Clothing</v>
      </c>
      <c r="H1575">
        <v>4</v>
      </c>
      <c r="I1575">
        <v>186.24</v>
      </c>
      <c r="J1575">
        <v>0.23</v>
      </c>
      <c r="K1575" s="3">
        <v>573.61920000000009</v>
      </c>
      <c r="L1575" t="s">
        <v>852</v>
      </c>
      <c r="M1575" t="str">
        <f>VLOOKUP($E1575,Customer_Dim!$A$2:$F$501,3,FALSE)</f>
        <v>Female</v>
      </c>
      <c r="N1575" t="str">
        <f>VLOOKUP($E1575,Customer_Dim!$A$2:$F$501,5,FALSE)</f>
        <v>USA</v>
      </c>
      <c r="O1575" t="str">
        <f>VLOOKUP($E1575,Customer_Dim!$A$2:$F$501,6,FALSE)</f>
        <v>Gold</v>
      </c>
      <c r="P1575" t="str">
        <f>VLOOKUP($A1575,Store_Dim!$A$2:$F$21,3,FALSE)</f>
        <v>EastPort Josephberg</v>
      </c>
    </row>
    <row r="1576" spans="1:16" x14ac:dyDescent="0.25">
      <c r="A1576" t="s">
        <v>804</v>
      </c>
      <c r="B1576" t="s">
        <v>2440</v>
      </c>
      <c r="C1576" t="s">
        <v>614</v>
      </c>
      <c r="D1576" s="2">
        <v>45668</v>
      </c>
      <c r="E1576" t="s">
        <v>63</v>
      </c>
      <c r="F1576" t="str">
        <f>VLOOKUP($C1576,Product_Dim!$A$2:$D$101,3,FALSE)</f>
        <v>May-Reese</v>
      </c>
      <c r="G1576" t="str">
        <f>VLOOKUP($C1576,Product_Dim!$A$2:$D$101,2,FALSE)</f>
        <v>Sports</v>
      </c>
      <c r="H1576">
        <v>2</v>
      </c>
      <c r="I1576">
        <v>764.25</v>
      </c>
      <c r="J1576">
        <v>0.23</v>
      </c>
      <c r="K1576" s="3">
        <v>1176.9449999999999</v>
      </c>
      <c r="L1576" t="s">
        <v>854</v>
      </c>
      <c r="M1576" t="str">
        <f>VLOOKUP($E1576,Customer_Dim!$A$2:$F$501,3,FALSE)</f>
        <v>Male</v>
      </c>
      <c r="N1576" t="str">
        <f>VLOOKUP($E1576,Customer_Dim!$A$2:$F$501,5,FALSE)</f>
        <v>USA</v>
      </c>
      <c r="O1576" t="str">
        <f>VLOOKUP($E1576,Customer_Dim!$A$2:$F$501,6,FALSE)</f>
        <v>UNKNOWN</v>
      </c>
      <c r="P1576" t="str">
        <f>VLOOKUP($A1576,Store_Dim!$A$2:$F$21,3,FALSE)</f>
        <v>EastPort Josephberg</v>
      </c>
    </row>
    <row r="1577" spans="1:16" x14ac:dyDescent="0.25">
      <c r="A1577" t="s">
        <v>804</v>
      </c>
      <c r="B1577" t="s">
        <v>1847</v>
      </c>
      <c r="C1577" t="s">
        <v>614</v>
      </c>
      <c r="D1577" s="2">
        <v>45340</v>
      </c>
      <c r="E1577" t="s">
        <v>430</v>
      </c>
      <c r="F1577" t="str">
        <f>VLOOKUP($C1577,Product_Dim!$A$2:$D$101,3,FALSE)</f>
        <v>May-Reese</v>
      </c>
      <c r="G1577" t="str">
        <f>VLOOKUP($C1577,Product_Dim!$A$2:$D$101,2,FALSE)</f>
        <v>Sports</v>
      </c>
      <c r="H1577">
        <v>2</v>
      </c>
      <c r="I1577">
        <v>957.54</v>
      </c>
      <c r="J1577">
        <v>0.1</v>
      </c>
      <c r="K1577" s="3">
        <v>1723.5719999999999</v>
      </c>
      <c r="L1577" t="s">
        <v>857</v>
      </c>
      <c r="M1577" t="str">
        <f>VLOOKUP($E1577,Customer_Dim!$A$2:$F$501,3,FALSE)</f>
        <v>Male</v>
      </c>
      <c r="N1577" t="str">
        <f>VLOOKUP($E1577,Customer_Dim!$A$2:$F$501,5,FALSE)</f>
        <v>USA</v>
      </c>
      <c r="O1577" t="str">
        <f>VLOOKUP($E1577,Customer_Dim!$A$2:$F$501,6,FALSE)</f>
        <v>Bronze</v>
      </c>
      <c r="P1577" t="str">
        <f>VLOOKUP($A1577,Store_Dim!$A$2:$F$21,3,FALSE)</f>
        <v>EastPort Josephberg</v>
      </c>
    </row>
    <row r="1578" spans="1:16" x14ac:dyDescent="0.25">
      <c r="A1578" t="s">
        <v>804</v>
      </c>
      <c r="B1578" t="s">
        <v>1422</v>
      </c>
      <c r="C1578" t="s">
        <v>616</v>
      </c>
      <c r="D1578" s="2">
        <v>45446</v>
      </c>
      <c r="E1578" t="s">
        <v>395</v>
      </c>
      <c r="F1578" t="str">
        <f>VLOOKUP($C1578,Product_Dim!$A$2:$D$101,3,FALSE)</f>
        <v>Soto-Ellis</v>
      </c>
      <c r="G1578" t="str">
        <f>VLOOKUP($C1578,Product_Dim!$A$2:$D$101,2,FALSE)</f>
        <v>Sports</v>
      </c>
      <c r="H1578">
        <v>2</v>
      </c>
      <c r="I1578">
        <v>740.68</v>
      </c>
      <c r="J1578">
        <v>0.02</v>
      </c>
      <c r="K1578" s="3">
        <v>1451.7328</v>
      </c>
      <c r="L1578" t="s">
        <v>854</v>
      </c>
      <c r="M1578" t="str">
        <f>VLOOKUP($E1578,Customer_Dim!$A$2:$F$501,3,FALSE)</f>
        <v>Male</v>
      </c>
      <c r="N1578" t="str">
        <f>VLOOKUP($E1578,Customer_Dim!$A$2:$F$501,5,FALSE)</f>
        <v>USA</v>
      </c>
      <c r="O1578" t="str">
        <f>VLOOKUP($E1578,Customer_Dim!$A$2:$F$501,6,FALSE)</f>
        <v>Platinum</v>
      </c>
      <c r="P1578" t="str">
        <f>VLOOKUP($A1578,Store_Dim!$A$2:$F$21,3,FALSE)</f>
        <v>EastPort Josephberg</v>
      </c>
    </row>
    <row r="1579" spans="1:16" hidden="1" x14ac:dyDescent="0.25">
      <c r="A1579" t="s">
        <v>804</v>
      </c>
      <c r="B1579" t="s">
        <v>2450</v>
      </c>
      <c r="C1579" t="s">
        <v>618</v>
      </c>
      <c r="D1579" s="2">
        <v>45344</v>
      </c>
      <c r="E1579" t="s">
        <v>156</v>
      </c>
      <c r="F1579" t="str">
        <f>VLOOKUP($C1579,Product_Dim!$A$2:$D$101,3,FALSE)</f>
        <v>Gardner-Montes</v>
      </c>
      <c r="G1579" t="str">
        <f>VLOOKUP($C1579,Product_Dim!$A$2:$D$101,2,FALSE)</f>
        <v>Home</v>
      </c>
      <c r="H1579">
        <v>1</v>
      </c>
      <c r="I1579">
        <v>388.35</v>
      </c>
      <c r="J1579">
        <v>0.01</v>
      </c>
      <c r="K1579" s="3">
        <v>384.4665</v>
      </c>
      <c r="L1579" t="s">
        <v>854</v>
      </c>
      <c r="M1579" t="str">
        <f>VLOOKUP($E1579,Customer_Dim!$A$2:$F$501,3,FALSE)</f>
        <v>Female</v>
      </c>
      <c r="N1579" t="str">
        <f>VLOOKUP($E1579,Customer_Dim!$A$2:$F$501,5,FALSE)</f>
        <v>USA</v>
      </c>
      <c r="O1579" t="str">
        <f>VLOOKUP($E1579,Customer_Dim!$A$2:$F$501,6,FALSE)</f>
        <v>Platinum</v>
      </c>
      <c r="P1579" t="str">
        <f>VLOOKUP($A1579,Store_Dim!$A$2:$F$21,3,FALSE)</f>
        <v>EastPort Josephberg</v>
      </c>
    </row>
    <row r="1580" spans="1:16" x14ac:dyDescent="0.25">
      <c r="A1580" t="s">
        <v>804</v>
      </c>
      <c r="B1580" t="s">
        <v>1119</v>
      </c>
      <c r="C1580" t="s">
        <v>618</v>
      </c>
      <c r="D1580" s="2">
        <v>45836</v>
      </c>
      <c r="E1580" t="s">
        <v>205</v>
      </c>
      <c r="F1580" t="str">
        <f>VLOOKUP($C1580,Product_Dim!$A$2:$D$101,3,FALSE)</f>
        <v>Gardner-Montes</v>
      </c>
      <c r="G1580" t="str">
        <f>VLOOKUP($C1580,Product_Dim!$A$2:$D$101,2,FALSE)</f>
        <v>Home</v>
      </c>
      <c r="H1580">
        <v>1</v>
      </c>
      <c r="I1580">
        <v>518</v>
      </c>
      <c r="J1580">
        <v>0.25</v>
      </c>
      <c r="K1580" s="3">
        <v>388.5</v>
      </c>
      <c r="L1580" t="s">
        <v>852</v>
      </c>
      <c r="M1580" t="str">
        <f>VLOOKUP($E1580,Customer_Dim!$A$2:$F$501,3,FALSE)</f>
        <v>Male</v>
      </c>
      <c r="N1580" t="str">
        <f>VLOOKUP($E1580,Customer_Dim!$A$2:$F$501,5,FALSE)</f>
        <v>USA</v>
      </c>
      <c r="O1580" t="str">
        <f>VLOOKUP($E1580,Customer_Dim!$A$2:$F$501,6,FALSE)</f>
        <v>Bronze</v>
      </c>
      <c r="P1580" t="str">
        <f>VLOOKUP($A1580,Store_Dim!$A$2:$F$21,3,FALSE)</f>
        <v>EastPort Josephberg</v>
      </c>
    </row>
    <row r="1581" spans="1:16" x14ac:dyDescent="0.25">
      <c r="A1581" t="s">
        <v>804</v>
      </c>
      <c r="B1581" t="s">
        <v>1517</v>
      </c>
      <c r="C1581" t="s">
        <v>620</v>
      </c>
      <c r="D1581" s="2">
        <v>45646</v>
      </c>
      <c r="E1581" t="s">
        <v>186</v>
      </c>
      <c r="F1581" t="str">
        <f>VLOOKUP($C1581,Product_Dim!$A$2:$D$101,3,FALSE)</f>
        <v>Flores, Pineda and Rodriguez</v>
      </c>
      <c r="G1581" t="str">
        <f>VLOOKUP($C1581,Product_Dim!$A$2:$D$101,2,FALSE)</f>
        <v>Sports</v>
      </c>
      <c r="H1581">
        <v>1</v>
      </c>
      <c r="I1581">
        <v>747.03</v>
      </c>
      <c r="J1581">
        <v>0.01</v>
      </c>
      <c r="K1581" s="3">
        <v>739.55970000000002</v>
      </c>
      <c r="L1581" t="s">
        <v>852</v>
      </c>
      <c r="M1581" t="str">
        <f>VLOOKUP($E1581,Customer_Dim!$A$2:$F$501,3,FALSE)</f>
        <v>Male</v>
      </c>
      <c r="N1581" t="str">
        <f>VLOOKUP($E1581,Customer_Dim!$A$2:$F$501,5,FALSE)</f>
        <v>USA</v>
      </c>
      <c r="O1581" t="str">
        <f>VLOOKUP($E1581,Customer_Dim!$A$2:$F$501,6,FALSE)</f>
        <v>Silver</v>
      </c>
      <c r="P1581" t="str">
        <f>VLOOKUP($A1581,Store_Dim!$A$2:$F$21,3,FALSE)</f>
        <v>EastPort Josephberg</v>
      </c>
    </row>
    <row r="1582" spans="1:16" x14ac:dyDescent="0.25">
      <c r="A1582" t="s">
        <v>804</v>
      </c>
      <c r="B1582" t="s">
        <v>2622</v>
      </c>
      <c r="C1582" t="s">
        <v>620</v>
      </c>
      <c r="D1582" s="2">
        <v>45654</v>
      </c>
      <c r="E1582" t="s">
        <v>560</v>
      </c>
      <c r="F1582" t="str">
        <f>VLOOKUP($C1582,Product_Dim!$A$2:$D$101,3,FALSE)</f>
        <v>Flores, Pineda and Rodriguez</v>
      </c>
      <c r="G1582" t="str">
        <f>VLOOKUP($C1582,Product_Dim!$A$2:$D$101,2,FALSE)</f>
        <v>Sports</v>
      </c>
      <c r="H1582">
        <v>2</v>
      </c>
      <c r="I1582">
        <v>616.42999999999995</v>
      </c>
      <c r="J1582">
        <v>0.02</v>
      </c>
      <c r="K1582" s="3">
        <v>1208.2028</v>
      </c>
      <c r="L1582" t="s">
        <v>857</v>
      </c>
      <c r="M1582" t="str">
        <f>VLOOKUP($E1582,Customer_Dim!$A$2:$F$501,3,FALSE)</f>
        <v>Male</v>
      </c>
      <c r="N1582" t="str">
        <f>VLOOKUP($E1582,Customer_Dim!$A$2:$F$501,5,FALSE)</f>
        <v>USA</v>
      </c>
      <c r="O1582" t="str">
        <f>VLOOKUP($E1582,Customer_Dim!$A$2:$F$501,6,FALSE)</f>
        <v>Silver</v>
      </c>
      <c r="P1582" t="str">
        <f>VLOOKUP($A1582,Store_Dim!$A$2:$F$21,3,FALSE)</f>
        <v>EastPort Josephberg</v>
      </c>
    </row>
    <row r="1583" spans="1:16" hidden="1" x14ac:dyDescent="0.25">
      <c r="A1583" t="s">
        <v>804</v>
      </c>
      <c r="B1583" t="s">
        <v>2765</v>
      </c>
      <c r="C1583" t="s">
        <v>624</v>
      </c>
      <c r="D1583" s="2">
        <v>45367</v>
      </c>
      <c r="E1583" t="s">
        <v>46</v>
      </c>
      <c r="F1583" t="str">
        <f>VLOOKUP($C1583,Product_Dim!$A$2:$D$101,3,FALSE)</f>
        <v>Cook Ltd</v>
      </c>
      <c r="G1583" t="str">
        <f>VLOOKUP($C1583,Product_Dim!$A$2:$D$101,2,FALSE)</f>
        <v>Sports</v>
      </c>
      <c r="H1583">
        <v>4</v>
      </c>
      <c r="I1583">
        <v>73.55</v>
      </c>
      <c r="J1583">
        <v>0.24</v>
      </c>
      <c r="K1583" s="3">
        <v>223.59200000000001</v>
      </c>
      <c r="L1583" t="s">
        <v>857</v>
      </c>
      <c r="M1583" t="str">
        <f>VLOOKUP($E1583,Customer_Dim!$A$2:$F$501,3,FALSE)</f>
        <v>Female</v>
      </c>
      <c r="N1583" t="str">
        <f>VLOOKUP($E1583,Customer_Dim!$A$2:$F$501,5,FALSE)</f>
        <v>USA</v>
      </c>
      <c r="O1583" t="str">
        <f>VLOOKUP($E1583,Customer_Dim!$A$2:$F$501,6,FALSE)</f>
        <v>Platinum</v>
      </c>
      <c r="P1583" t="str">
        <f>VLOOKUP($A1583,Store_Dim!$A$2:$F$21,3,FALSE)</f>
        <v>EastPort Josephberg</v>
      </c>
    </row>
    <row r="1584" spans="1:16" hidden="1" x14ac:dyDescent="0.25">
      <c r="A1584" t="s">
        <v>804</v>
      </c>
      <c r="B1584" t="s">
        <v>2787</v>
      </c>
      <c r="C1584" t="s">
        <v>624</v>
      </c>
      <c r="D1584" s="2">
        <v>45720</v>
      </c>
      <c r="E1584" t="s">
        <v>302</v>
      </c>
      <c r="F1584" t="str">
        <f>VLOOKUP($C1584,Product_Dim!$A$2:$D$101,3,FALSE)</f>
        <v>Cook Ltd</v>
      </c>
      <c r="G1584" t="str">
        <f>VLOOKUP($C1584,Product_Dim!$A$2:$D$101,2,FALSE)</f>
        <v>Sports</v>
      </c>
      <c r="H1584">
        <v>3</v>
      </c>
      <c r="I1584">
        <v>447.38</v>
      </c>
      <c r="J1584">
        <v>0.03</v>
      </c>
      <c r="K1584" s="3">
        <v>1301.8758</v>
      </c>
      <c r="L1584" t="s">
        <v>852</v>
      </c>
      <c r="M1584" t="str">
        <f>VLOOKUP($E1584,Customer_Dim!$A$2:$F$501,3,FALSE)</f>
        <v>Female</v>
      </c>
      <c r="N1584" t="str">
        <f>VLOOKUP($E1584,Customer_Dim!$A$2:$F$501,5,FALSE)</f>
        <v>USA</v>
      </c>
      <c r="O1584" t="str">
        <f>VLOOKUP($E1584,Customer_Dim!$A$2:$F$501,6,FALSE)</f>
        <v>Bronze</v>
      </c>
      <c r="P1584" t="str">
        <f>VLOOKUP($A1584,Store_Dim!$A$2:$F$21,3,FALSE)</f>
        <v>EastPort Josephberg</v>
      </c>
    </row>
    <row r="1585" spans="1:16" hidden="1" x14ac:dyDescent="0.25">
      <c r="A1585" t="s">
        <v>804</v>
      </c>
      <c r="B1585" t="s">
        <v>1849</v>
      </c>
      <c r="C1585" t="s">
        <v>624</v>
      </c>
      <c r="D1585" s="2">
        <v>45373</v>
      </c>
      <c r="E1585" t="s">
        <v>461</v>
      </c>
      <c r="F1585" t="str">
        <f>VLOOKUP($C1585,Product_Dim!$A$2:$D$101,3,FALSE)</f>
        <v>Cook Ltd</v>
      </c>
      <c r="G1585" t="str">
        <f>VLOOKUP($C1585,Product_Dim!$A$2:$D$101,2,FALSE)</f>
        <v>Sports</v>
      </c>
      <c r="H1585">
        <v>3</v>
      </c>
      <c r="I1585">
        <v>480.11</v>
      </c>
      <c r="J1585">
        <v>0.11</v>
      </c>
      <c r="K1585" s="3">
        <v>1281.8937000000001</v>
      </c>
      <c r="L1585" t="s">
        <v>854</v>
      </c>
      <c r="M1585" t="str">
        <f>VLOOKUP($E1585,Customer_Dim!$A$2:$F$501,3,FALSE)</f>
        <v>Female</v>
      </c>
      <c r="N1585" t="str">
        <f>VLOOKUP($E1585,Customer_Dim!$A$2:$F$501,5,FALSE)</f>
        <v>USA</v>
      </c>
      <c r="O1585" t="str">
        <f>VLOOKUP($E1585,Customer_Dim!$A$2:$F$501,6,FALSE)</f>
        <v>Bronze</v>
      </c>
      <c r="P1585" t="str">
        <f>VLOOKUP($A1585,Store_Dim!$A$2:$F$21,3,FALSE)</f>
        <v>EastPort Josephberg</v>
      </c>
    </row>
    <row r="1586" spans="1:16" hidden="1" x14ac:dyDescent="0.25">
      <c r="A1586" t="s">
        <v>804</v>
      </c>
      <c r="B1586" t="s">
        <v>1534</v>
      </c>
      <c r="C1586" t="s">
        <v>626</v>
      </c>
      <c r="D1586" s="2">
        <v>45456</v>
      </c>
      <c r="E1586" t="s">
        <v>337</v>
      </c>
      <c r="F1586" t="str">
        <f>VLOOKUP($C1586,Product_Dim!$A$2:$D$101,3,FALSE)</f>
        <v>Brown and Sons</v>
      </c>
      <c r="G1586" t="str">
        <f>VLOOKUP($C1586,Product_Dim!$A$2:$D$101,2,FALSE)</f>
        <v>Clothing</v>
      </c>
      <c r="H1586">
        <v>4</v>
      </c>
      <c r="I1586">
        <v>484.92</v>
      </c>
      <c r="J1586">
        <v>0.28000000000000003</v>
      </c>
      <c r="K1586" s="3">
        <v>1396.5696</v>
      </c>
      <c r="L1586" t="s">
        <v>854</v>
      </c>
      <c r="M1586" t="str">
        <f>VLOOKUP($E1586,Customer_Dim!$A$2:$F$501,3,FALSE)</f>
        <v>Female</v>
      </c>
      <c r="N1586" t="str">
        <f>VLOOKUP($E1586,Customer_Dim!$A$2:$F$501,5,FALSE)</f>
        <v>USA</v>
      </c>
      <c r="O1586" t="str">
        <f>VLOOKUP($E1586,Customer_Dim!$A$2:$F$501,6,FALSE)</f>
        <v>Gold</v>
      </c>
      <c r="P1586" t="str">
        <f>VLOOKUP($A1586,Store_Dim!$A$2:$F$21,3,FALSE)</f>
        <v>EastPort Josephberg</v>
      </c>
    </row>
    <row r="1587" spans="1:16" x14ac:dyDescent="0.25">
      <c r="A1587" t="s">
        <v>804</v>
      </c>
      <c r="B1587" t="s">
        <v>2319</v>
      </c>
      <c r="C1587" t="s">
        <v>634</v>
      </c>
      <c r="D1587" s="2">
        <v>45895</v>
      </c>
      <c r="E1587" t="s">
        <v>63</v>
      </c>
      <c r="F1587" t="str">
        <f>VLOOKUP($C1587,Product_Dim!$A$2:$D$101,3,FALSE)</f>
        <v>Hoffman Group</v>
      </c>
      <c r="G1587" t="str">
        <f>VLOOKUP($C1587,Product_Dim!$A$2:$D$101,2,FALSE)</f>
        <v>Home</v>
      </c>
      <c r="H1587">
        <v>2</v>
      </c>
      <c r="I1587">
        <v>408.8</v>
      </c>
      <c r="J1587">
        <v>0.17</v>
      </c>
      <c r="K1587" s="3">
        <v>678.60799999999995</v>
      </c>
      <c r="L1587" t="s">
        <v>857</v>
      </c>
      <c r="M1587" t="str">
        <f>VLOOKUP($E1587,Customer_Dim!$A$2:$F$501,3,FALSE)</f>
        <v>Male</v>
      </c>
      <c r="N1587" t="str">
        <f>VLOOKUP($E1587,Customer_Dim!$A$2:$F$501,5,FALSE)</f>
        <v>USA</v>
      </c>
      <c r="O1587" t="str">
        <f>VLOOKUP($E1587,Customer_Dim!$A$2:$F$501,6,FALSE)</f>
        <v>UNKNOWN</v>
      </c>
      <c r="P1587" t="str">
        <f>VLOOKUP($A1587,Store_Dim!$A$2:$F$21,3,FALSE)</f>
        <v>EastPort Josephberg</v>
      </c>
    </row>
    <row r="1588" spans="1:16" x14ac:dyDescent="0.25">
      <c r="A1588" t="s">
        <v>804</v>
      </c>
      <c r="B1588" t="s">
        <v>1567</v>
      </c>
      <c r="C1588" t="s">
        <v>579</v>
      </c>
      <c r="D1588" s="2">
        <v>45333</v>
      </c>
      <c r="E1588" t="s">
        <v>58</v>
      </c>
      <c r="F1588" t="str">
        <f>VLOOKUP($C1588,Product_Dim!$A$2:$D$101,3,FALSE)</f>
        <v>Pineda Ltd</v>
      </c>
      <c r="G1588" t="str">
        <f>VLOOKUP($C1588,Product_Dim!$A$2:$D$101,2,FALSE)</f>
        <v>Clothing</v>
      </c>
      <c r="H1588">
        <v>2</v>
      </c>
      <c r="I1588">
        <v>635.14</v>
      </c>
      <c r="J1588">
        <v>0.1</v>
      </c>
      <c r="K1588" s="3">
        <v>1143.252</v>
      </c>
      <c r="L1588" t="s">
        <v>857</v>
      </c>
      <c r="M1588" t="str">
        <f>VLOOKUP($E1588,Customer_Dim!$A$2:$F$501,3,FALSE)</f>
        <v>Male</v>
      </c>
      <c r="N1588" t="str">
        <f>VLOOKUP($E1588,Customer_Dim!$A$2:$F$501,5,FALSE)</f>
        <v>USA</v>
      </c>
      <c r="O1588" t="str">
        <f>VLOOKUP($E1588,Customer_Dim!$A$2:$F$501,6,FALSE)</f>
        <v>Platinum</v>
      </c>
      <c r="P1588" t="str">
        <f>VLOOKUP($A1588,Store_Dim!$A$2:$F$21,3,FALSE)</f>
        <v>EastPort Josephberg</v>
      </c>
    </row>
    <row r="1589" spans="1:16" x14ac:dyDescent="0.25">
      <c r="A1589" t="s">
        <v>804</v>
      </c>
      <c r="B1589" t="s">
        <v>1717</v>
      </c>
      <c r="C1589" t="s">
        <v>636</v>
      </c>
      <c r="D1589" s="2">
        <v>45767</v>
      </c>
      <c r="E1589" t="s">
        <v>268</v>
      </c>
      <c r="F1589" t="str">
        <f>VLOOKUP($C1589,Product_Dim!$A$2:$D$101,3,FALSE)</f>
        <v>Stevens, Fernandez and Martin</v>
      </c>
      <c r="G1589" t="str">
        <f>VLOOKUP($C1589,Product_Dim!$A$2:$D$101,2,FALSE)</f>
        <v>Home</v>
      </c>
      <c r="H1589">
        <v>1</v>
      </c>
      <c r="I1589">
        <v>649.22</v>
      </c>
      <c r="J1589">
        <v>0.03</v>
      </c>
      <c r="K1589" s="3">
        <v>629.74340000000007</v>
      </c>
      <c r="L1589" t="s">
        <v>857</v>
      </c>
      <c r="M1589" t="str">
        <f>VLOOKUP($E1589,Customer_Dim!$A$2:$F$501,3,FALSE)</f>
        <v>Male</v>
      </c>
      <c r="N1589" t="str">
        <f>VLOOKUP($E1589,Customer_Dim!$A$2:$F$501,5,FALSE)</f>
        <v>USA</v>
      </c>
      <c r="O1589" t="str">
        <f>VLOOKUP($E1589,Customer_Dim!$A$2:$F$501,6,FALSE)</f>
        <v>Platinum</v>
      </c>
      <c r="P1589" t="str">
        <f>VLOOKUP($A1589,Store_Dim!$A$2:$F$21,3,FALSE)</f>
        <v>EastPort Josephberg</v>
      </c>
    </row>
    <row r="1590" spans="1:16" x14ac:dyDescent="0.25">
      <c r="A1590" t="s">
        <v>804</v>
      </c>
      <c r="B1590" t="s">
        <v>2409</v>
      </c>
      <c r="C1590" t="s">
        <v>636</v>
      </c>
      <c r="D1590" s="2">
        <v>45252</v>
      </c>
      <c r="E1590" t="s">
        <v>386</v>
      </c>
      <c r="F1590" t="str">
        <f>VLOOKUP($C1590,Product_Dim!$A$2:$D$101,3,FALSE)</f>
        <v>Stevens, Fernandez and Martin</v>
      </c>
      <c r="G1590" t="str">
        <f>VLOOKUP($C1590,Product_Dim!$A$2:$D$101,2,FALSE)</f>
        <v>Home</v>
      </c>
      <c r="H1590">
        <v>4</v>
      </c>
      <c r="I1590">
        <v>998.2</v>
      </c>
      <c r="J1590">
        <v>0.15</v>
      </c>
      <c r="K1590" s="3">
        <v>3393.88</v>
      </c>
      <c r="L1590" t="s">
        <v>852</v>
      </c>
      <c r="M1590" t="str">
        <f>VLOOKUP($E1590,Customer_Dim!$A$2:$F$501,3,FALSE)</f>
        <v>Male</v>
      </c>
      <c r="N1590" t="str">
        <f>VLOOKUP($E1590,Customer_Dim!$A$2:$F$501,5,FALSE)</f>
        <v>USA</v>
      </c>
      <c r="O1590" t="str">
        <f>VLOOKUP($E1590,Customer_Dim!$A$2:$F$501,6,FALSE)</f>
        <v>Platinum</v>
      </c>
      <c r="P1590" t="str">
        <f>VLOOKUP($A1590,Store_Dim!$A$2:$F$21,3,FALSE)</f>
        <v>EastPort Josephberg</v>
      </c>
    </row>
    <row r="1591" spans="1:16" hidden="1" x14ac:dyDescent="0.25">
      <c r="A1591" t="s">
        <v>804</v>
      </c>
      <c r="B1591" t="s">
        <v>2213</v>
      </c>
      <c r="C1591" t="s">
        <v>642</v>
      </c>
      <c r="D1591" s="2">
        <v>45228</v>
      </c>
      <c r="E1591" t="s">
        <v>37</v>
      </c>
      <c r="F1591" t="str">
        <f>VLOOKUP($C1591,Product_Dim!$A$2:$D$101,3,FALSE)</f>
        <v>Weiss-Watson</v>
      </c>
      <c r="G1591" t="str">
        <f>VLOOKUP($C1591,Product_Dim!$A$2:$D$101,2,FALSE)</f>
        <v>Home</v>
      </c>
      <c r="H1591">
        <v>2</v>
      </c>
      <c r="I1591">
        <v>159.93</v>
      </c>
      <c r="J1591">
        <v>0.2</v>
      </c>
      <c r="K1591" s="3">
        <v>255.88800000000001</v>
      </c>
      <c r="L1591" t="s">
        <v>857</v>
      </c>
      <c r="M1591" t="str">
        <f>VLOOKUP($E1591,Customer_Dim!$A$2:$F$501,3,FALSE)</f>
        <v>Female</v>
      </c>
      <c r="N1591" t="str">
        <f>VLOOKUP($E1591,Customer_Dim!$A$2:$F$501,5,FALSE)</f>
        <v>USA</v>
      </c>
      <c r="O1591" t="str">
        <f>VLOOKUP($E1591,Customer_Dim!$A$2:$F$501,6,FALSE)</f>
        <v>Platinum</v>
      </c>
      <c r="P1591" t="str">
        <f>VLOOKUP($A1591,Store_Dim!$A$2:$F$21,3,FALSE)</f>
        <v>EastPort Josephberg</v>
      </c>
    </row>
    <row r="1592" spans="1:16" x14ac:dyDescent="0.25">
      <c r="A1592" t="s">
        <v>804</v>
      </c>
      <c r="B1592" t="s">
        <v>2418</v>
      </c>
      <c r="C1592" t="s">
        <v>642</v>
      </c>
      <c r="D1592" s="2">
        <v>45458</v>
      </c>
      <c r="E1592" t="s">
        <v>483</v>
      </c>
      <c r="F1592" t="str">
        <f>VLOOKUP($C1592,Product_Dim!$A$2:$D$101,3,FALSE)</f>
        <v>Weiss-Watson</v>
      </c>
      <c r="G1592" t="str">
        <f>VLOOKUP($C1592,Product_Dim!$A$2:$D$101,2,FALSE)</f>
        <v>Home</v>
      </c>
      <c r="H1592">
        <v>1</v>
      </c>
      <c r="I1592">
        <v>718.99</v>
      </c>
      <c r="J1592">
        <v>0.08</v>
      </c>
      <c r="K1592" s="3">
        <v>661.47080000000005</v>
      </c>
      <c r="L1592" t="s">
        <v>854</v>
      </c>
      <c r="M1592" t="str">
        <f>VLOOKUP($E1592,Customer_Dim!$A$2:$F$501,3,FALSE)</f>
        <v>Male</v>
      </c>
      <c r="N1592" t="str">
        <f>VLOOKUP($E1592,Customer_Dim!$A$2:$F$501,5,FALSE)</f>
        <v>USA</v>
      </c>
      <c r="O1592" t="str">
        <f>VLOOKUP($E1592,Customer_Dim!$A$2:$F$501,6,FALSE)</f>
        <v>Platinum</v>
      </c>
      <c r="P1592" t="str">
        <f>VLOOKUP($A1592,Store_Dim!$A$2:$F$21,3,FALSE)</f>
        <v>EastPort Josephberg</v>
      </c>
    </row>
    <row r="1593" spans="1:16" hidden="1" x14ac:dyDescent="0.25">
      <c r="A1593" t="s">
        <v>804</v>
      </c>
      <c r="B1593" t="s">
        <v>910</v>
      </c>
      <c r="C1593" t="s">
        <v>644</v>
      </c>
      <c r="D1593" s="2">
        <v>45282</v>
      </c>
      <c r="E1593" t="s">
        <v>137</v>
      </c>
      <c r="F1593" t="str">
        <f>VLOOKUP($C1593,Product_Dim!$A$2:$D$101,3,FALSE)</f>
        <v>Lucero LLC</v>
      </c>
      <c r="G1593" t="str">
        <f>VLOOKUP($C1593,Product_Dim!$A$2:$D$101,2,FALSE)</f>
        <v>Electronics</v>
      </c>
      <c r="H1593">
        <v>2</v>
      </c>
      <c r="I1593">
        <v>833.7</v>
      </c>
      <c r="J1593">
        <v>0.06</v>
      </c>
      <c r="K1593" s="3">
        <v>1567.356</v>
      </c>
      <c r="L1593" t="s">
        <v>854</v>
      </c>
      <c r="M1593" t="str">
        <f>VLOOKUP($E1593,Customer_Dim!$A$2:$F$501,3,FALSE)</f>
        <v>Female</v>
      </c>
      <c r="N1593" t="str">
        <f>VLOOKUP($E1593,Customer_Dim!$A$2:$F$501,5,FALSE)</f>
        <v>USA</v>
      </c>
      <c r="O1593" t="str">
        <f>VLOOKUP($E1593,Customer_Dim!$A$2:$F$501,6,FALSE)</f>
        <v>Bronze</v>
      </c>
      <c r="P1593" t="str">
        <f>VLOOKUP($A1593,Store_Dim!$A$2:$F$21,3,FALSE)</f>
        <v>EastPort Josephberg</v>
      </c>
    </row>
    <row r="1594" spans="1:16" x14ac:dyDescent="0.25">
      <c r="A1594" t="s">
        <v>804</v>
      </c>
      <c r="B1594" t="s">
        <v>1024</v>
      </c>
      <c r="C1594" t="s">
        <v>644</v>
      </c>
      <c r="D1594" s="2">
        <v>45390</v>
      </c>
      <c r="E1594" t="s">
        <v>322</v>
      </c>
      <c r="F1594" t="str">
        <f>VLOOKUP($C1594,Product_Dim!$A$2:$D$101,3,FALSE)</f>
        <v>Lucero LLC</v>
      </c>
      <c r="G1594" t="str">
        <f>VLOOKUP($C1594,Product_Dim!$A$2:$D$101,2,FALSE)</f>
        <v>Electronics</v>
      </c>
      <c r="H1594">
        <v>1</v>
      </c>
      <c r="I1594">
        <v>152.16999999999999</v>
      </c>
      <c r="J1594">
        <v>0.28000000000000003</v>
      </c>
      <c r="K1594" s="3">
        <v>109.5624</v>
      </c>
      <c r="L1594" t="s">
        <v>857</v>
      </c>
      <c r="M1594" t="str">
        <f>VLOOKUP($E1594,Customer_Dim!$A$2:$F$501,3,FALSE)</f>
        <v>Male</v>
      </c>
      <c r="N1594" t="str">
        <f>VLOOKUP($E1594,Customer_Dim!$A$2:$F$501,5,FALSE)</f>
        <v>USA</v>
      </c>
      <c r="O1594" t="str">
        <f>VLOOKUP($E1594,Customer_Dim!$A$2:$F$501,6,FALSE)</f>
        <v>Platinum</v>
      </c>
      <c r="P1594" t="str">
        <f>VLOOKUP($A1594,Store_Dim!$A$2:$F$21,3,FALSE)</f>
        <v>EastPort Josephberg</v>
      </c>
    </row>
    <row r="1595" spans="1:16" hidden="1" x14ac:dyDescent="0.25">
      <c r="A1595" t="s">
        <v>804</v>
      </c>
      <c r="B1595" t="s">
        <v>2065</v>
      </c>
      <c r="C1595" t="s">
        <v>646</v>
      </c>
      <c r="D1595" s="2">
        <v>45558</v>
      </c>
      <c r="E1595" t="s">
        <v>43</v>
      </c>
      <c r="F1595" t="str">
        <f>VLOOKUP($C1595,Product_Dim!$A$2:$D$101,3,FALSE)</f>
        <v>Jones LLC</v>
      </c>
      <c r="G1595" t="str">
        <f>VLOOKUP($C1595,Product_Dim!$A$2:$D$101,2,FALSE)</f>
        <v>Home</v>
      </c>
      <c r="H1595">
        <v>4</v>
      </c>
      <c r="I1595">
        <v>328.27</v>
      </c>
      <c r="J1595">
        <v>0.09</v>
      </c>
      <c r="K1595" s="3">
        <v>1194.9028000000001</v>
      </c>
      <c r="L1595" t="s">
        <v>854</v>
      </c>
      <c r="M1595" t="str">
        <f>VLOOKUP($E1595,Customer_Dim!$A$2:$F$501,3,FALSE)</f>
        <v>Female</v>
      </c>
      <c r="N1595" t="str">
        <f>VLOOKUP($E1595,Customer_Dim!$A$2:$F$501,5,FALSE)</f>
        <v>USA</v>
      </c>
      <c r="O1595" t="str">
        <f>VLOOKUP($E1595,Customer_Dim!$A$2:$F$501,6,FALSE)</f>
        <v>Platinum</v>
      </c>
      <c r="P1595" t="str">
        <f>VLOOKUP($A1595,Store_Dim!$A$2:$F$21,3,FALSE)</f>
        <v>EastPort Josephberg</v>
      </c>
    </row>
    <row r="1596" spans="1:16" hidden="1" x14ac:dyDescent="0.25">
      <c r="A1596" t="s">
        <v>804</v>
      </c>
      <c r="B1596" t="s">
        <v>1397</v>
      </c>
      <c r="C1596" t="s">
        <v>646</v>
      </c>
      <c r="D1596" s="2">
        <v>45711</v>
      </c>
      <c r="E1596" t="s">
        <v>400</v>
      </c>
      <c r="F1596" t="str">
        <f>VLOOKUP($C1596,Product_Dim!$A$2:$D$101,3,FALSE)</f>
        <v>Jones LLC</v>
      </c>
      <c r="G1596" t="str">
        <f>VLOOKUP($C1596,Product_Dim!$A$2:$D$101,2,FALSE)</f>
        <v>Home</v>
      </c>
      <c r="H1596">
        <v>1</v>
      </c>
      <c r="I1596">
        <v>763.34</v>
      </c>
      <c r="J1596">
        <v>0.11</v>
      </c>
      <c r="K1596" s="3">
        <v>679.37260000000003</v>
      </c>
      <c r="L1596" t="s">
        <v>857</v>
      </c>
      <c r="M1596" t="str">
        <f>VLOOKUP($E1596,Customer_Dim!$A$2:$F$501,3,FALSE)</f>
        <v>Female</v>
      </c>
      <c r="N1596" t="str">
        <f>VLOOKUP($E1596,Customer_Dim!$A$2:$F$501,5,FALSE)</f>
        <v>USA</v>
      </c>
      <c r="O1596" t="str">
        <f>VLOOKUP($E1596,Customer_Dim!$A$2:$F$501,6,FALSE)</f>
        <v>Gold</v>
      </c>
      <c r="P1596" t="str">
        <f>VLOOKUP($A1596,Store_Dim!$A$2:$F$21,3,FALSE)</f>
        <v>EastPort Josephberg</v>
      </c>
    </row>
    <row r="1597" spans="1:16" x14ac:dyDescent="0.25">
      <c r="A1597" t="s">
        <v>804</v>
      </c>
      <c r="B1597" t="s">
        <v>1343</v>
      </c>
      <c r="C1597" t="s">
        <v>648</v>
      </c>
      <c r="D1597" s="2">
        <v>45644</v>
      </c>
      <c r="E1597" t="s">
        <v>342</v>
      </c>
      <c r="F1597" t="str">
        <f>VLOOKUP($C1597,Product_Dim!$A$2:$D$101,3,FALSE)</f>
        <v>Smith-Mills</v>
      </c>
      <c r="G1597" t="str">
        <f>VLOOKUP($C1597,Product_Dim!$A$2:$D$101,2,FALSE)</f>
        <v>Clothing</v>
      </c>
      <c r="H1597">
        <v>2</v>
      </c>
      <c r="I1597">
        <v>992.55</v>
      </c>
      <c r="J1597">
        <v>0.28000000000000003</v>
      </c>
      <c r="K1597" s="3">
        <v>1429.2719999999999</v>
      </c>
      <c r="L1597" t="s">
        <v>852</v>
      </c>
      <c r="M1597" t="str">
        <f>VLOOKUP($E1597,Customer_Dim!$A$2:$F$501,3,FALSE)</f>
        <v>Male</v>
      </c>
      <c r="N1597" t="str">
        <f>VLOOKUP($E1597,Customer_Dim!$A$2:$F$501,5,FALSE)</f>
        <v>USA</v>
      </c>
      <c r="O1597" t="str">
        <f>VLOOKUP($E1597,Customer_Dim!$A$2:$F$501,6,FALSE)</f>
        <v>Gold</v>
      </c>
      <c r="P1597" t="str">
        <f>VLOOKUP($A1597,Store_Dim!$A$2:$F$21,3,FALSE)</f>
        <v>EastPort Josephberg</v>
      </c>
    </row>
    <row r="1598" spans="1:16" x14ac:dyDescent="0.25">
      <c r="A1598" t="s">
        <v>804</v>
      </c>
      <c r="B1598" t="s">
        <v>1623</v>
      </c>
      <c r="C1598" t="s">
        <v>650</v>
      </c>
      <c r="D1598" s="2">
        <v>45902</v>
      </c>
      <c r="E1598" t="s">
        <v>166</v>
      </c>
      <c r="F1598" t="str">
        <f>VLOOKUP($C1598,Product_Dim!$A$2:$D$101,3,FALSE)</f>
        <v>Hogan-Lee</v>
      </c>
      <c r="G1598" t="str">
        <f>VLOOKUP($C1598,Product_Dim!$A$2:$D$101,2,FALSE)</f>
        <v>Clothing</v>
      </c>
      <c r="H1598">
        <v>2</v>
      </c>
      <c r="I1598">
        <v>365.91</v>
      </c>
      <c r="J1598">
        <v>0.14000000000000001</v>
      </c>
      <c r="K1598" s="3">
        <v>629.36520000000007</v>
      </c>
      <c r="L1598" t="s">
        <v>857</v>
      </c>
      <c r="M1598" t="str">
        <f>VLOOKUP($E1598,Customer_Dim!$A$2:$F$501,3,FALSE)</f>
        <v>Male</v>
      </c>
      <c r="N1598" t="str">
        <f>VLOOKUP($E1598,Customer_Dim!$A$2:$F$501,5,FALSE)</f>
        <v>USA</v>
      </c>
      <c r="O1598" t="str">
        <f>VLOOKUP($E1598,Customer_Dim!$A$2:$F$501,6,FALSE)</f>
        <v>Silver</v>
      </c>
      <c r="P1598" t="str">
        <f>VLOOKUP($A1598,Store_Dim!$A$2:$F$21,3,FALSE)</f>
        <v>EastPort Josephberg</v>
      </c>
    </row>
    <row r="1599" spans="1:16" hidden="1" x14ac:dyDescent="0.25">
      <c r="A1599" t="s">
        <v>804</v>
      </c>
      <c r="B1599" t="s">
        <v>1239</v>
      </c>
      <c r="C1599" t="s">
        <v>652</v>
      </c>
      <c r="D1599" s="2">
        <v>45907</v>
      </c>
      <c r="E1599" t="s">
        <v>276</v>
      </c>
      <c r="F1599" t="str">
        <f>VLOOKUP($C1599,Product_Dim!$A$2:$D$101,3,FALSE)</f>
        <v>Sims-Smith</v>
      </c>
      <c r="G1599" t="str">
        <f>VLOOKUP($C1599,Product_Dim!$A$2:$D$101,2,FALSE)</f>
        <v>Sports</v>
      </c>
      <c r="H1599">
        <v>4</v>
      </c>
      <c r="I1599">
        <v>960.38</v>
      </c>
      <c r="J1599">
        <v>0.15</v>
      </c>
      <c r="K1599" s="3">
        <v>3265.2919999999999</v>
      </c>
      <c r="L1599" t="s">
        <v>857</v>
      </c>
      <c r="M1599" t="str">
        <f>VLOOKUP($E1599,Customer_Dim!$A$2:$F$501,3,FALSE)</f>
        <v>Female</v>
      </c>
      <c r="N1599" t="str">
        <f>VLOOKUP($E1599,Customer_Dim!$A$2:$F$501,5,FALSE)</f>
        <v>USA</v>
      </c>
      <c r="O1599" t="str">
        <f>VLOOKUP($E1599,Customer_Dim!$A$2:$F$501,6,FALSE)</f>
        <v>Silver</v>
      </c>
      <c r="P1599" t="str">
        <f>VLOOKUP($A1599,Store_Dim!$A$2:$F$21,3,FALSE)</f>
        <v>EastPort Josephberg</v>
      </c>
    </row>
    <row r="1600" spans="1:16" x14ac:dyDescent="0.25">
      <c r="A1600" t="s">
        <v>804</v>
      </c>
      <c r="B1600" t="s">
        <v>1141</v>
      </c>
      <c r="C1600" t="s">
        <v>652</v>
      </c>
      <c r="D1600" s="2">
        <v>45889</v>
      </c>
      <c r="E1600" t="s">
        <v>402</v>
      </c>
      <c r="F1600" t="str">
        <f>VLOOKUP($C1600,Product_Dim!$A$2:$D$101,3,FALSE)</f>
        <v>Sims-Smith</v>
      </c>
      <c r="G1600" t="str">
        <f>VLOOKUP($C1600,Product_Dim!$A$2:$D$101,2,FALSE)</f>
        <v>Sports</v>
      </c>
      <c r="H1600">
        <v>4</v>
      </c>
      <c r="I1600">
        <v>766.03</v>
      </c>
      <c r="J1600">
        <v>0.28999999999999998</v>
      </c>
      <c r="K1600" s="3">
        <v>2175.5252</v>
      </c>
      <c r="L1600" t="s">
        <v>854</v>
      </c>
      <c r="M1600" t="str">
        <f>VLOOKUP($E1600,Customer_Dim!$A$2:$F$501,3,FALSE)</f>
        <v>Male</v>
      </c>
      <c r="N1600" t="str">
        <f>VLOOKUP($E1600,Customer_Dim!$A$2:$F$501,5,FALSE)</f>
        <v>USA</v>
      </c>
      <c r="O1600" t="str">
        <f>VLOOKUP($E1600,Customer_Dim!$A$2:$F$501,6,FALSE)</f>
        <v>Platinum</v>
      </c>
      <c r="P1600" t="str">
        <f>VLOOKUP($A1600,Store_Dim!$A$2:$F$21,3,FALSE)</f>
        <v>EastPort Josephberg</v>
      </c>
    </row>
    <row r="1601" spans="1:16" hidden="1" x14ac:dyDescent="0.25">
      <c r="A1601" t="s">
        <v>804</v>
      </c>
      <c r="B1601" t="s">
        <v>2395</v>
      </c>
      <c r="C1601" t="s">
        <v>656</v>
      </c>
      <c r="D1601" s="2">
        <v>45573</v>
      </c>
      <c r="E1601" t="s">
        <v>235</v>
      </c>
      <c r="F1601" t="str">
        <f>VLOOKUP($C1601,Product_Dim!$A$2:$D$101,3,FALSE)</f>
        <v>Taylor-Hart</v>
      </c>
      <c r="G1601" t="str">
        <f>VLOOKUP($C1601,Product_Dim!$A$2:$D$101,2,FALSE)</f>
        <v>Electronics</v>
      </c>
      <c r="H1601">
        <v>1</v>
      </c>
      <c r="I1601">
        <v>312.81</v>
      </c>
      <c r="J1601">
        <v>0.14000000000000001</v>
      </c>
      <c r="K1601" s="3">
        <v>269.01659999999998</v>
      </c>
      <c r="L1601" t="s">
        <v>854</v>
      </c>
      <c r="M1601" t="str">
        <f>VLOOKUP($E1601,Customer_Dim!$A$2:$F$501,3,FALSE)</f>
        <v>Female</v>
      </c>
      <c r="N1601" t="str">
        <f>VLOOKUP($E1601,Customer_Dim!$A$2:$F$501,5,FALSE)</f>
        <v>USA</v>
      </c>
      <c r="O1601" t="str">
        <f>VLOOKUP($E1601,Customer_Dim!$A$2:$F$501,6,FALSE)</f>
        <v>Platinum</v>
      </c>
      <c r="P1601" t="str">
        <f>VLOOKUP($A1601,Store_Dim!$A$2:$F$21,3,FALSE)</f>
        <v>EastPort Josephberg</v>
      </c>
    </row>
    <row r="1602" spans="1:16" x14ac:dyDescent="0.25">
      <c r="A1602" t="s">
        <v>804</v>
      </c>
      <c r="B1602" t="s">
        <v>1587</v>
      </c>
      <c r="C1602" t="s">
        <v>660</v>
      </c>
      <c r="D1602" s="2">
        <v>45783</v>
      </c>
      <c r="E1602" t="s">
        <v>397</v>
      </c>
      <c r="F1602" t="str">
        <f>VLOOKUP($C1602,Product_Dim!$A$2:$D$101,3,FALSE)</f>
        <v>Holmes LLC</v>
      </c>
      <c r="G1602" t="str">
        <f>VLOOKUP($C1602,Product_Dim!$A$2:$D$101,2,FALSE)</f>
        <v>Electronics</v>
      </c>
      <c r="H1602">
        <v>4</v>
      </c>
      <c r="I1602">
        <v>758.27</v>
      </c>
      <c r="J1602">
        <v>0.05</v>
      </c>
      <c r="K1602" s="3">
        <v>2881.4259999999999</v>
      </c>
      <c r="L1602" t="s">
        <v>854</v>
      </c>
      <c r="M1602" t="str">
        <f>VLOOKUP($E1602,Customer_Dim!$A$2:$F$501,3,FALSE)</f>
        <v>Male</v>
      </c>
      <c r="N1602" t="str">
        <f>VLOOKUP($E1602,Customer_Dim!$A$2:$F$501,5,FALSE)</f>
        <v>USA</v>
      </c>
      <c r="O1602" t="str">
        <f>VLOOKUP($E1602,Customer_Dim!$A$2:$F$501,6,FALSE)</f>
        <v>Platinum</v>
      </c>
      <c r="P1602" t="str">
        <f>VLOOKUP($A1602,Store_Dim!$A$2:$F$21,3,FALSE)</f>
        <v>EastPort Josephberg</v>
      </c>
    </row>
    <row r="1603" spans="1:16" x14ac:dyDescent="0.25">
      <c r="A1603" t="s">
        <v>804</v>
      </c>
      <c r="B1603" t="s">
        <v>1817</v>
      </c>
      <c r="C1603" t="s">
        <v>662</v>
      </c>
      <c r="D1603" s="2">
        <v>45710</v>
      </c>
      <c r="E1603" t="s">
        <v>209</v>
      </c>
      <c r="F1603" t="str">
        <f>VLOOKUP($C1603,Product_Dim!$A$2:$D$101,3,FALSE)</f>
        <v>Robinson Inc</v>
      </c>
      <c r="G1603" t="str">
        <f>VLOOKUP($C1603,Product_Dim!$A$2:$D$101,2,FALSE)</f>
        <v>Electronics</v>
      </c>
      <c r="H1603">
        <v>1</v>
      </c>
      <c r="I1603">
        <v>824.32</v>
      </c>
      <c r="J1603">
        <v>0.18</v>
      </c>
      <c r="K1603" s="3">
        <v>675.94240000000013</v>
      </c>
      <c r="L1603" t="s">
        <v>852</v>
      </c>
      <c r="M1603" t="str">
        <f>VLOOKUP($E1603,Customer_Dim!$A$2:$F$501,3,FALSE)</f>
        <v>Male</v>
      </c>
      <c r="N1603" t="str">
        <f>VLOOKUP($E1603,Customer_Dim!$A$2:$F$501,5,FALSE)</f>
        <v>USA</v>
      </c>
      <c r="O1603" t="str">
        <f>VLOOKUP($E1603,Customer_Dim!$A$2:$F$501,6,FALSE)</f>
        <v>Platinum</v>
      </c>
      <c r="P1603" t="str">
        <f>VLOOKUP($A1603,Store_Dim!$A$2:$F$21,3,FALSE)</f>
        <v>EastPort Josephberg</v>
      </c>
    </row>
    <row r="1604" spans="1:16" x14ac:dyDescent="0.25">
      <c r="A1604" t="s">
        <v>804</v>
      </c>
      <c r="B1604" t="s">
        <v>2471</v>
      </c>
      <c r="C1604" t="s">
        <v>664</v>
      </c>
      <c r="D1604" s="2">
        <v>45534</v>
      </c>
      <c r="E1604" t="s">
        <v>255</v>
      </c>
      <c r="F1604" t="str">
        <f>VLOOKUP($C1604,Product_Dim!$A$2:$D$101,3,FALSE)</f>
        <v>Cox Inc</v>
      </c>
      <c r="G1604" t="str">
        <f>VLOOKUP($C1604,Product_Dim!$A$2:$D$101,2,FALSE)</f>
        <v>Sports</v>
      </c>
      <c r="H1604">
        <v>1</v>
      </c>
      <c r="I1604">
        <v>62.38</v>
      </c>
      <c r="J1604">
        <v>0.08</v>
      </c>
      <c r="K1604" s="3">
        <v>57.389600000000002</v>
      </c>
      <c r="L1604" t="s">
        <v>857</v>
      </c>
      <c r="M1604" t="str">
        <f>VLOOKUP($E1604,Customer_Dim!$A$2:$F$501,3,FALSE)</f>
        <v>Male</v>
      </c>
      <c r="N1604" t="str">
        <f>VLOOKUP($E1604,Customer_Dim!$A$2:$F$501,5,FALSE)</f>
        <v>USA</v>
      </c>
      <c r="O1604" t="str">
        <f>VLOOKUP($E1604,Customer_Dim!$A$2:$F$501,6,FALSE)</f>
        <v>Bronze</v>
      </c>
      <c r="P1604" t="str">
        <f>VLOOKUP($A1604,Store_Dim!$A$2:$F$21,3,FALSE)</f>
        <v>EastPort Josephberg</v>
      </c>
    </row>
    <row r="1605" spans="1:16" x14ac:dyDescent="0.25">
      <c r="A1605" t="s">
        <v>804</v>
      </c>
      <c r="B1605" t="s">
        <v>1193</v>
      </c>
      <c r="C1605" t="s">
        <v>668</v>
      </c>
      <c r="D1605" s="2">
        <v>45303</v>
      </c>
      <c r="E1605" t="s">
        <v>288</v>
      </c>
      <c r="F1605" t="str">
        <f>VLOOKUP($C1605,Product_Dim!$A$2:$D$101,3,FALSE)</f>
        <v>Kelly, Smith and Perez</v>
      </c>
      <c r="G1605" t="str">
        <f>VLOOKUP($C1605,Product_Dim!$A$2:$D$101,2,FALSE)</f>
        <v>Clothing</v>
      </c>
      <c r="H1605">
        <v>4</v>
      </c>
      <c r="I1605">
        <v>344.12</v>
      </c>
      <c r="J1605">
        <v>0.25</v>
      </c>
      <c r="K1605" s="3">
        <v>1032.3599999999999</v>
      </c>
      <c r="L1605" t="s">
        <v>854</v>
      </c>
      <c r="M1605" t="str">
        <f>VLOOKUP($E1605,Customer_Dim!$A$2:$F$501,3,FALSE)</f>
        <v>Male</v>
      </c>
      <c r="N1605" t="str">
        <f>VLOOKUP($E1605,Customer_Dim!$A$2:$F$501,5,FALSE)</f>
        <v>USA</v>
      </c>
      <c r="O1605" t="str">
        <f>VLOOKUP($E1605,Customer_Dim!$A$2:$F$501,6,FALSE)</f>
        <v>Platinum</v>
      </c>
      <c r="P1605" t="str">
        <f>VLOOKUP($A1605,Store_Dim!$A$2:$F$21,3,FALSE)</f>
        <v>EastPort Josephberg</v>
      </c>
    </row>
    <row r="1606" spans="1:16" x14ac:dyDescent="0.25">
      <c r="A1606" t="s">
        <v>804</v>
      </c>
      <c r="B1606" t="s">
        <v>1850</v>
      </c>
      <c r="C1606" t="s">
        <v>672</v>
      </c>
      <c r="D1606" s="2">
        <v>45579</v>
      </c>
      <c r="E1606" t="s">
        <v>455</v>
      </c>
      <c r="F1606" t="str">
        <f>VLOOKUP($C1606,Product_Dim!$A$2:$D$101,3,FALSE)</f>
        <v>Byrd, Stewart and Valdez</v>
      </c>
      <c r="G1606" t="str">
        <f>VLOOKUP($C1606,Product_Dim!$A$2:$D$101,2,FALSE)</f>
        <v>Electronics</v>
      </c>
      <c r="H1606">
        <v>4</v>
      </c>
      <c r="I1606">
        <v>826.55</v>
      </c>
      <c r="J1606">
        <v>0.28000000000000003</v>
      </c>
      <c r="K1606" s="3">
        <v>2380.4639999999999</v>
      </c>
      <c r="L1606" t="s">
        <v>852</v>
      </c>
      <c r="M1606" t="str">
        <f>VLOOKUP($E1606,Customer_Dim!$A$2:$F$501,3,FALSE)</f>
        <v>Male</v>
      </c>
      <c r="N1606" t="str">
        <f>VLOOKUP($E1606,Customer_Dim!$A$2:$F$501,5,FALSE)</f>
        <v>USA</v>
      </c>
      <c r="O1606" t="str">
        <f>VLOOKUP($E1606,Customer_Dim!$A$2:$F$501,6,FALSE)</f>
        <v>Platinum</v>
      </c>
      <c r="P1606" t="str">
        <f>VLOOKUP($A1606,Store_Dim!$A$2:$F$21,3,FALSE)</f>
        <v>EastPort Josephberg</v>
      </c>
    </row>
    <row r="1607" spans="1:16" x14ac:dyDescent="0.25">
      <c r="A1607" t="s">
        <v>804</v>
      </c>
      <c r="B1607" t="s">
        <v>991</v>
      </c>
      <c r="C1607" t="s">
        <v>676</v>
      </c>
      <c r="D1607" s="2">
        <v>45392</v>
      </c>
      <c r="E1607" t="s">
        <v>540</v>
      </c>
      <c r="F1607" t="str">
        <f>VLOOKUP($C1607,Product_Dim!$A$2:$D$101,3,FALSE)</f>
        <v>Smith-King</v>
      </c>
      <c r="G1607" t="str">
        <f>VLOOKUP($C1607,Product_Dim!$A$2:$D$101,2,FALSE)</f>
        <v>Sports</v>
      </c>
      <c r="H1607">
        <v>1</v>
      </c>
      <c r="I1607">
        <v>245.85</v>
      </c>
      <c r="J1607">
        <v>0.18</v>
      </c>
      <c r="K1607" s="3">
        <v>201.59700000000001</v>
      </c>
      <c r="L1607" t="s">
        <v>857</v>
      </c>
      <c r="M1607" t="str">
        <f>VLOOKUP($E1607,Customer_Dim!$A$2:$F$501,3,FALSE)</f>
        <v>Male</v>
      </c>
      <c r="N1607" t="str">
        <f>VLOOKUP($E1607,Customer_Dim!$A$2:$F$501,5,FALSE)</f>
        <v>USA</v>
      </c>
      <c r="O1607" t="str">
        <f>VLOOKUP($E1607,Customer_Dim!$A$2:$F$501,6,FALSE)</f>
        <v>Bronze</v>
      </c>
      <c r="P1607" t="str">
        <f>VLOOKUP($A1607,Store_Dim!$A$2:$F$21,3,FALSE)</f>
        <v>EastPort Josephberg</v>
      </c>
    </row>
    <row r="1608" spans="1:16" x14ac:dyDescent="0.25">
      <c r="A1608" t="s">
        <v>804</v>
      </c>
      <c r="B1608" t="s">
        <v>1992</v>
      </c>
      <c r="C1608" t="s">
        <v>678</v>
      </c>
      <c r="D1608" s="2">
        <v>45940</v>
      </c>
      <c r="E1608" t="s">
        <v>58</v>
      </c>
      <c r="F1608" t="str">
        <f>VLOOKUP($C1608,Product_Dim!$A$2:$D$101,3,FALSE)</f>
        <v>Bautista, Green and Hale</v>
      </c>
      <c r="G1608" t="str">
        <f>VLOOKUP($C1608,Product_Dim!$A$2:$D$101,2,FALSE)</f>
        <v>Electronics</v>
      </c>
      <c r="H1608">
        <v>1</v>
      </c>
      <c r="I1608">
        <v>629.09</v>
      </c>
      <c r="J1608">
        <v>0.02</v>
      </c>
      <c r="K1608" s="3">
        <v>616.50819999999999</v>
      </c>
      <c r="L1608" t="s">
        <v>852</v>
      </c>
      <c r="M1608" t="str">
        <f>VLOOKUP($E1608,Customer_Dim!$A$2:$F$501,3,FALSE)</f>
        <v>Male</v>
      </c>
      <c r="N1608" t="str">
        <f>VLOOKUP($E1608,Customer_Dim!$A$2:$F$501,5,FALSE)</f>
        <v>USA</v>
      </c>
      <c r="O1608" t="str">
        <f>VLOOKUP($E1608,Customer_Dim!$A$2:$F$501,6,FALSE)</f>
        <v>Platinum</v>
      </c>
      <c r="P1608" t="str">
        <f>VLOOKUP($A1608,Store_Dim!$A$2:$F$21,3,FALSE)</f>
        <v>EastPort Josephberg</v>
      </c>
    </row>
    <row r="1609" spans="1:16" hidden="1" x14ac:dyDescent="0.25">
      <c r="A1609" t="s">
        <v>804</v>
      </c>
      <c r="B1609" t="s">
        <v>1282</v>
      </c>
      <c r="C1609" t="s">
        <v>678</v>
      </c>
      <c r="D1609" s="2">
        <v>45520</v>
      </c>
      <c r="E1609" t="s">
        <v>141</v>
      </c>
      <c r="F1609" t="str">
        <f>VLOOKUP($C1609,Product_Dim!$A$2:$D$101,3,FALSE)</f>
        <v>Bautista, Green and Hale</v>
      </c>
      <c r="G1609" t="str">
        <f>VLOOKUP($C1609,Product_Dim!$A$2:$D$101,2,FALSE)</f>
        <v>Electronics</v>
      </c>
      <c r="H1609">
        <v>2</v>
      </c>
      <c r="I1609">
        <v>573.09</v>
      </c>
      <c r="J1609">
        <v>0.03</v>
      </c>
      <c r="K1609" s="3">
        <v>1111.7945999999999</v>
      </c>
      <c r="L1609" t="s">
        <v>857</v>
      </c>
      <c r="M1609" t="str">
        <f>VLOOKUP($E1609,Customer_Dim!$A$2:$F$501,3,FALSE)</f>
        <v>Female</v>
      </c>
      <c r="N1609" t="str">
        <f>VLOOKUP($E1609,Customer_Dim!$A$2:$F$501,5,FALSE)</f>
        <v>USA</v>
      </c>
      <c r="O1609" t="str">
        <f>VLOOKUP($E1609,Customer_Dim!$A$2:$F$501,6,FALSE)</f>
        <v>Platinum</v>
      </c>
      <c r="P1609" t="str">
        <f>VLOOKUP($A1609,Store_Dim!$A$2:$F$21,3,FALSE)</f>
        <v>EastPort Josephberg</v>
      </c>
    </row>
    <row r="1610" spans="1:16" x14ac:dyDescent="0.25">
      <c r="A1610" t="s">
        <v>804</v>
      </c>
      <c r="B1610" t="s">
        <v>2488</v>
      </c>
      <c r="C1610" t="s">
        <v>678</v>
      </c>
      <c r="D1610" s="2">
        <v>45341</v>
      </c>
      <c r="E1610" t="s">
        <v>166</v>
      </c>
      <c r="F1610" t="str">
        <f>VLOOKUP($C1610,Product_Dim!$A$2:$D$101,3,FALSE)</f>
        <v>Bautista, Green and Hale</v>
      </c>
      <c r="G1610" t="str">
        <f>VLOOKUP($C1610,Product_Dim!$A$2:$D$101,2,FALSE)</f>
        <v>Electronics</v>
      </c>
      <c r="H1610">
        <v>4</v>
      </c>
      <c r="I1610">
        <v>194.39</v>
      </c>
      <c r="J1610">
        <v>0.25</v>
      </c>
      <c r="K1610" s="3">
        <v>583.16999999999996</v>
      </c>
      <c r="L1610" t="s">
        <v>852</v>
      </c>
      <c r="M1610" t="str">
        <f>VLOOKUP($E1610,Customer_Dim!$A$2:$F$501,3,FALSE)</f>
        <v>Male</v>
      </c>
      <c r="N1610" t="str">
        <f>VLOOKUP($E1610,Customer_Dim!$A$2:$F$501,5,FALSE)</f>
        <v>USA</v>
      </c>
      <c r="O1610" t="str">
        <f>VLOOKUP($E1610,Customer_Dim!$A$2:$F$501,6,FALSE)</f>
        <v>Silver</v>
      </c>
      <c r="P1610" t="str">
        <f>VLOOKUP($A1610,Store_Dim!$A$2:$F$21,3,FALSE)</f>
        <v>EastPort Josephberg</v>
      </c>
    </row>
    <row r="1611" spans="1:16" x14ac:dyDescent="0.25">
      <c r="A1611" t="s">
        <v>804</v>
      </c>
      <c r="B1611" t="s">
        <v>1872</v>
      </c>
      <c r="C1611" t="s">
        <v>680</v>
      </c>
      <c r="D1611" s="2">
        <v>45823</v>
      </c>
      <c r="E1611" t="s">
        <v>185</v>
      </c>
      <c r="F1611" t="str">
        <f>VLOOKUP($C1611,Product_Dim!$A$2:$D$101,3,FALSE)</f>
        <v>Harris Inc</v>
      </c>
      <c r="G1611" t="str">
        <f>VLOOKUP($C1611,Product_Dim!$A$2:$D$101,2,FALSE)</f>
        <v>Sports</v>
      </c>
      <c r="H1611">
        <v>3</v>
      </c>
      <c r="I1611">
        <v>593.62</v>
      </c>
      <c r="J1611">
        <v>0.08</v>
      </c>
      <c r="K1611" s="3">
        <v>1638.3912</v>
      </c>
      <c r="L1611" t="s">
        <v>852</v>
      </c>
      <c r="M1611" t="str">
        <f>VLOOKUP($E1611,Customer_Dim!$A$2:$F$501,3,FALSE)</f>
        <v>Male</v>
      </c>
      <c r="N1611" t="str">
        <f>VLOOKUP($E1611,Customer_Dim!$A$2:$F$501,5,FALSE)</f>
        <v>USA</v>
      </c>
      <c r="O1611" t="str">
        <f>VLOOKUP($E1611,Customer_Dim!$A$2:$F$501,6,FALSE)</f>
        <v>Platinum</v>
      </c>
      <c r="P1611" t="str">
        <f>VLOOKUP($A1611,Store_Dim!$A$2:$F$21,3,FALSE)</f>
        <v>EastPort Josephberg</v>
      </c>
    </row>
    <row r="1612" spans="1:16" x14ac:dyDescent="0.25">
      <c r="A1612" t="s">
        <v>804</v>
      </c>
      <c r="B1612" t="s">
        <v>2650</v>
      </c>
      <c r="C1612" t="s">
        <v>682</v>
      </c>
      <c r="D1612" s="2">
        <v>45877</v>
      </c>
      <c r="E1612" t="s">
        <v>269</v>
      </c>
      <c r="F1612" t="str">
        <f>VLOOKUP($C1612,Product_Dim!$A$2:$D$101,3,FALSE)</f>
        <v>Hamilton, Woods and Walker</v>
      </c>
      <c r="G1612" t="str">
        <f>VLOOKUP($C1612,Product_Dim!$A$2:$D$101,2,FALSE)</f>
        <v>Clothing</v>
      </c>
      <c r="H1612">
        <v>1</v>
      </c>
      <c r="I1612">
        <v>952.73</v>
      </c>
      <c r="J1612">
        <v>0.17</v>
      </c>
      <c r="K1612" s="3">
        <v>790.76589999999999</v>
      </c>
      <c r="L1612" t="s">
        <v>852</v>
      </c>
      <c r="M1612" t="str">
        <f>VLOOKUP($E1612,Customer_Dim!$A$2:$F$501,3,FALSE)</f>
        <v>Male</v>
      </c>
      <c r="N1612" t="str">
        <f>VLOOKUP($E1612,Customer_Dim!$A$2:$F$501,5,FALSE)</f>
        <v>USA</v>
      </c>
      <c r="O1612" t="str">
        <f>VLOOKUP($E1612,Customer_Dim!$A$2:$F$501,6,FALSE)</f>
        <v>Platinum</v>
      </c>
      <c r="P1612" t="str">
        <f>VLOOKUP($A1612,Store_Dim!$A$2:$F$21,3,FALSE)</f>
        <v>EastPort Josephberg</v>
      </c>
    </row>
    <row r="1613" spans="1:16" x14ac:dyDescent="0.25">
      <c r="A1613" t="s">
        <v>804</v>
      </c>
      <c r="B1613" t="s">
        <v>2260</v>
      </c>
      <c r="C1613" t="s">
        <v>684</v>
      </c>
      <c r="D1613" s="2">
        <v>45290</v>
      </c>
      <c r="E1613" t="s">
        <v>220</v>
      </c>
      <c r="F1613" t="str">
        <f>VLOOKUP($C1613,Product_Dim!$A$2:$D$101,3,FALSE)</f>
        <v>Thompson-French</v>
      </c>
      <c r="G1613" t="str">
        <f>VLOOKUP($C1613,Product_Dim!$A$2:$D$101,2,FALSE)</f>
        <v>Sports</v>
      </c>
      <c r="H1613">
        <v>3</v>
      </c>
      <c r="I1613">
        <v>676.77</v>
      </c>
      <c r="J1613">
        <v>0.17</v>
      </c>
      <c r="K1613" s="3">
        <v>1685.1573000000001</v>
      </c>
      <c r="L1613" t="s">
        <v>854</v>
      </c>
      <c r="M1613" t="str">
        <f>VLOOKUP($E1613,Customer_Dim!$A$2:$F$501,3,FALSE)</f>
        <v>Male</v>
      </c>
      <c r="N1613" t="str">
        <f>VLOOKUP($E1613,Customer_Dim!$A$2:$F$501,5,FALSE)</f>
        <v>USA</v>
      </c>
      <c r="O1613" t="str">
        <f>VLOOKUP($E1613,Customer_Dim!$A$2:$F$501,6,FALSE)</f>
        <v>Bronze</v>
      </c>
      <c r="P1613" t="str">
        <f>VLOOKUP($A1613,Store_Dim!$A$2:$F$21,3,FALSE)</f>
        <v>EastPort Josephberg</v>
      </c>
    </row>
    <row r="1614" spans="1:16" x14ac:dyDescent="0.25">
      <c r="A1614" t="s">
        <v>804</v>
      </c>
      <c r="B1614" t="s">
        <v>1536</v>
      </c>
      <c r="C1614" t="s">
        <v>686</v>
      </c>
      <c r="D1614" s="2">
        <v>45278</v>
      </c>
      <c r="E1614" t="s">
        <v>348</v>
      </c>
      <c r="F1614" t="str">
        <f>VLOOKUP($C1614,Product_Dim!$A$2:$D$101,3,FALSE)</f>
        <v>Hatfield, Baird and Torres</v>
      </c>
      <c r="G1614" t="str">
        <f>VLOOKUP($C1614,Product_Dim!$A$2:$D$101,2,FALSE)</f>
        <v>Home</v>
      </c>
      <c r="H1614">
        <v>3</v>
      </c>
      <c r="I1614">
        <v>599.48</v>
      </c>
      <c r="J1614">
        <v>0.22</v>
      </c>
      <c r="K1614" s="3">
        <v>1402.7832000000001</v>
      </c>
      <c r="L1614" t="s">
        <v>854</v>
      </c>
      <c r="M1614" t="str">
        <f>VLOOKUP($E1614,Customer_Dim!$A$2:$F$501,3,FALSE)</f>
        <v>Male</v>
      </c>
      <c r="N1614" t="str">
        <f>VLOOKUP($E1614,Customer_Dim!$A$2:$F$501,5,FALSE)</f>
        <v>USA</v>
      </c>
      <c r="O1614" t="str">
        <f>VLOOKUP($E1614,Customer_Dim!$A$2:$F$501,6,FALSE)</f>
        <v>Platinum</v>
      </c>
      <c r="P1614" t="str">
        <f>VLOOKUP($A1614,Store_Dim!$A$2:$F$21,3,FALSE)</f>
        <v>EastPort Josephberg</v>
      </c>
    </row>
    <row r="1615" spans="1:16" x14ac:dyDescent="0.25">
      <c r="A1615" t="s">
        <v>804</v>
      </c>
      <c r="B1615" t="s">
        <v>1875</v>
      </c>
      <c r="C1615" t="s">
        <v>686</v>
      </c>
      <c r="D1615" s="2">
        <v>45415</v>
      </c>
      <c r="E1615" t="s">
        <v>359</v>
      </c>
      <c r="F1615" t="str">
        <f>VLOOKUP($C1615,Product_Dim!$A$2:$D$101,3,FALSE)</f>
        <v>Hatfield, Baird and Torres</v>
      </c>
      <c r="G1615" t="str">
        <f>VLOOKUP($C1615,Product_Dim!$A$2:$D$101,2,FALSE)</f>
        <v>Home</v>
      </c>
      <c r="H1615">
        <v>1</v>
      </c>
      <c r="I1615">
        <v>238.24</v>
      </c>
      <c r="J1615">
        <v>0.12</v>
      </c>
      <c r="K1615" s="3">
        <v>209.65119999999999</v>
      </c>
      <c r="L1615" t="s">
        <v>854</v>
      </c>
      <c r="M1615" t="str">
        <f>VLOOKUP($E1615,Customer_Dim!$A$2:$F$501,3,FALSE)</f>
        <v>Male</v>
      </c>
      <c r="N1615" t="str">
        <f>VLOOKUP($E1615,Customer_Dim!$A$2:$F$501,5,FALSE)</f>
        <v>USA</v>
      </c>
      <c r="O1615" t="str">
        <f>VLOOKUP($E1615,Customer_Dim!$A$2:$F$501,6,FALSE)</f>
        <v>Silver</v>
      </c>
      <c r="P1615" t="str">
        <f>VLOOKUP($A1615,Store_Dim!$A$2:$F$21,3,FALSE)</f>
        <v>EastPort Josephberg</v>
      </c>
    </row>
    <row r="1616" spans="1:16" x14ac:dyDescent="0.25">
      <c r="A1616" t="s">
        <v>804</v>
      </c>
      <c r="B1616" t="s">
        <v>1776</v>
      </c>
      <c r="C1616" t="s">
        <v>692</v>
      </c>
      <c r="D1616" s="2">
        <v>45628</v>
      </c>
      <c r="E1616" t="s">
        <v>539</v>
      </c>
      <c r="F1616" t="str">
        <f>VLOOKUP($C1616,Product_Dim!$A$2:$D$101,3,FALSE)</f>
        <v>Shepherd-Gould</v>
      </c>
      <c r="G1616" t="str">
        <f>VLOOKUP($C1616,Product_Dim!$A$2:$D$101,2,FALSE)</f>
        <v>Clothing</v>
      </c>
      <c r="H1616">
        <v>1</v>
      </c>
      <c r="I1616">
        <v>127.47</v>
      </c>
      <c r="J1616">
        <v>0.16</v>
      </c>
      <c r="K1616" s="3">
        <v>107.0748</v>
      </c>
      <c r="L1616" t="s">
        <v>857</v>
      </c>
      <c r="M1616" t="str">
        <f>VLOOKUP($E1616,Customer_Dim!$A$2:$F$501,3,FALSE)</f>
        <v>Male</v>
      </c>
      <c r="N1616" t="str">
        <f>VLOOKUP($E1616,Customer_Dim!$A$2:$F$501,5,FALSE)</f>
        <v>USA</v>
      </c>
      <c r="O1616" t="str">
        <f>VLOOKUP($E1616,Customer_Dim!$A$2:$F$501,6,FALSE)</f>
        <v>Silver</v>
      </c>
      <c r="P1616" t="str">
        <f>VLOOKUP($A1616,Store_Dim!$A$2:$F$21,3,FALSE)</f>
        <v>EastPort Josephberg</v>
      </c>
    </row>
    <row r="1617" spans="1:16" x14ac:dyDescent="0.25">
      <c r="A1617" t="s">
        <v>804</v>
      </c>
      <c r="B1617" t="s">
        <v>1606</v>
      </c>
      <c r="C1617" t="s">
        <v>694</v>
      </c>
      <c r="D1617" s="2">
        <v>45598</v>
      </c>
      <c r="E1617" t="s">
        <v>148</v>
      </c>
      <c r="F1617" t="str">
        <f>VLOOKUP($C1617,Product_Dim!$A$2:$D$101,3,FALSE)</f>
        <v>Cline-Mccarthy</v>
      </c>
      <c r="G1617" t="str">
        <f>VLOOKUP($C1617,Product_Dim!$A$2:$D$101,2,FALSE)</f>
        <v>Beauty</v>
      </c>
      <c r="H1617">
        <v>4</v>
      </c>
      <c r="I1617">
        <v>867.94</v>
      </c>
      <c r="J1617">
        <v>0.26</v>
      </c>
      <c r="K1617" s="3">
        <v>2569.1024000000002</v>
      </c>
      <c r="L1617" t="s">
        <v>854</v>
      </c>
      <c r="M1617" t="str">
        <f>VLOOKUP($E1617,Customer_Dim!$A$2:$F$501,3,FALSE)</f>
        <v>Male</v>
      </c>
      <c r="N1617" t="str">
        <f>VLOOKUP($E1617,Customer_Dim!$A$2:$F$501,5,FALSE)</f>
        <v>USA</v>
      </c>
      <c r="O1617" t="str">
        <f>VLOOKUP($E1617,Customer_Dim!$A$2:$F$501,6,FALSE)</f>
        <v>Platinum</v>
      </c>
      <c r="P1617" t="str">
        <f>VLOOKUP($A1617,Store_Dim!$A$2:$F$21,3,FALSE)</f>
        <v>EastPort Josephberg</v>
      </c>
    </row>
    <row r="1618" spans="1:16" x14ac:dyDescent="0.25">
      <c r="A1618" t="s">
        <v>804</v>
      </c>
      <c r="B1618" t="s">
        <v>1990</v>
      </c>
      <c r="C1618" t="s">
        <v>694</v>
      </c>
      <c r="D1618" s="2">
        <v>45575</v>
      </c>
      <c r="E1618" t="s">
        <v>426</v>
      </c>
      <c r="F1618" t="str">
        <f>VLOOKUP($C1618,Product_Dim!$A$2:$D$101,3,FALSE)</f>
        <v>Cline-Mccarthy</v>
      </c>
      <c r="G1618" t="str">
        <f>VLOOKUP($C1618,Product_Dim!$A$2:$D$101,2,FALSE)</f>
        <v>Beauty</v>
      </c>
      <c r="H1618">
        <v>3</v>
      </c>
      <c r="I1618">
        <v>180.84</v>
      </c>
      <c r="J1618">
        <v>0.03</v>
      </c>
      <c r="K1618" s="3">
        <v>526.24439999999993</v>
      </c>
      <c r="L1618" t="s">
        <v>854</v>
      </c>
      <c r="M1618" t="str">
        <f>VLOOKUP($E1618,Customer_Dim!$A$2:$F$501,3,FALSE)</f>
        <v>Male</v>
      </c>
      <c r="N1618" t="str">
        <f>VLOOKUP($E1618,Customer_Dim!$A$2:$F$501,5,FALSE)</f>
        <v>USA</v>
      </c>
      <c r="O1618" t="str">
        <f>VLOOKUP($E1618,Customer_Dim!$A$2:$F$501,6,FALSE)</f>
        <v>Silver</v>
      </c>
      <c r="P1618" t="str">
        <f>VLOOKUP($A1618,Store_Dim!$A$2:$F$21,3,FALSE)</f>
        <v>EastPort Josephberg</v>
      </c>
    </row>
    <row r="1619" spans="1:16" x14ac:dyDescent="0.25">
      <c r="A1619" t="s">
        <v>804</v>
      </c>
      <c r="B1619" t="s">
        <v>2758</v>
      </c>
      <c r="C1619" t="s">
        <v>698</v>
      </c>
      <c r="D1619" s="2">
        <v>45514</v>
      </c>
      <c r="E1619" t="s">
        <v>110</v>
      </c>
      <c r="F1619" t="str">
        <f>VLOOKUP($C1619,Product_Dim!$A$2:$D$101,3,FALSE)</f>
        <v>Lopez LLC</v>
      </c>
      <c r="G1619" t="str">
        <f>VLOOKUP($C1619,Product_Dim!$A$2:$D$101,2,FALSE)</f>
        <v>Sports</v>
      </c>
      <c r="H1619">
        <v>1</v>
      </c>
      <c r="I1619">
        <v>546.47</v>
      </c>
      <c r="J1619">
        <v>0.08</v>
      </c>
      <c r="K1619" s="3">
        <v>502.75240000000002</v>
      </c>
      <c r="L1619" t="s">
        <v>857</v>
      </c>
      <c r="M1619" t="str">
        <f>VLOOKUP($E1619,Customer_Dim!$A$2:$F$501,3,FALSE)</f>
        <v>Male</v>
      </c>
      <c r="N1619" t="str">
        <f>VLOOKUP($E1619,Customer_Dim!$A$2:$F$501,5,FALSE)</f>
        <v>USA</v>
      </c>
      <c r="O1619" t="str">
        <f>VLOOKUP($E1619,Customer_Dim!$A$2:$F$501,6,FALSE)</f>
        <v>Silver</v>
      </c>
      <c r="P1619" t="str">
        <f>VLOOKUP($A1619,Store_Dim!$A$2:$F$21,3,FALSE)</f>
        <v>EastPort Josephberg</v>
      </c>
    </row>
    <row r="1620" spans="1:16" hidden="1" x14ac:dyDescent="0.25">
      <c r="A1620" t="s">
        <v>804</v>
      </c>
      <c r="B1620" t="s">
        <v>1590</v>
      </c>
      <c r="C1620" t="s">
        <v>698</v>
      </c>
      <c r="D1620" s="2">
        <v>45526</v>
      </c>
      <c r="E1620" t="s">
        <v>409</v>
      </c>
      <c r="F1620" t="str">
        <f>VLOOKUP($C1620,Product_Dim!$A$2:$D$101,3,FALSE)</f>
        <v>Lopez LLC</v>
      </c>
      <c r="G1620" t="str">
        <f>VLOOKUP($C1620,Product_Dim!$A$2:$D$101,2,FALSE)</f>
        <v>Sports</v>
      </c>
      <c r="H1620">
        <v>2</v>
      </c>
      <c r="I1620">
        <v>985.43</v>
      </c>
      <c r="J1620">
        <v>0.28000000000000003</v>
      </c>
      <c r="K1620" s="3">
        <v>1419.0192</v>
      </c>
      <c r="L1620" t="s">
        <v>857</v>
      </c>
      <c r="M1620" t="str">
        <f>VLOOKUP($E1620,Customer_Dim!$A$2:$F$501,3,FALSE)</f>
        <v>Female</v>
      </c>
      <c r="N1620" t="str">
        <f>VLOOKUP($E1620,Customer_Dim!$A$2:$F$501,5,FALSE)</f>
        <v>USA</v>
      </c>
      <c r="O1620" t="str">
        <f>VLOOKUP($E1620,Customer_Dim!$A$2:$F$501,6,FALSE)</f>
        <v>Bronze</v>
      </c>
      <c r="P1620" t="str">
        <f>VLOOKUP($A1620,Store_Dim!$A$2:$F$21,3,FALSE)</f>
        <v>EastPort Josephberg</v>
      </c>
    </row>
    <row r="1621" spans="1:16" x14ac:dyDescent="0.25">
      <c r="A1621" t="s">
        <v>804</v>
      </c>
      <c r="B1621" t="s">
        <v>1516</v>
      </c>
      <c r="C1621" t="s">
        <v>698</v>
      </c>
      <c r="D1621" s="2">
        <v>45689</v>
      </c>
      <c r="E1621" t="s">
        <v>421</v>
      </c>
      <c r="F1621" t="str">
        <f>VLOOKUP($C1621,Product_Dim!$A$2:$D$101,3,FALSE)</f>
        <v>Lopez LLC</v>
      </c>
      <c r="G1621" t="str">
        <f>VLOOKUP($C1621,Product_Dim!$A$2:$D$101,2,FALSE)</f>
        <v>Sports</v>
      </c>
      <c r="H1621">
        <v>3</v>
      </c>
      <c r="I1621">
        <v>260.45999999999998</v>
      </c>
      <c r="J1621">
        <v>0.09</v>
      </c>
      <c r="K1621" s="3">
        <v>711.05579999999986</v>
      </c>
      <c r="L1621" t="s">
        <v>852</v>
      </c>
      <c r="M1621" t="str">
        <f>VLOOKUP($E1621,Customer_Dim!$A$2:$F$501,3,FALSE)</f>
        <v>Male</v>
      </c>
      <c r="N1621" t="str">
        <f>VLOOKUP($E1621,Customer_Dim!$A$2:$F$501,5,FALSE)</f>
        <v>USA</v>
      </c>
      <c r="O1621" t="str">
        <f>VLOOKUP($E1621,Customer_Dim!$A$2:$F$501,6,FALSE)</f>
        <v>Silver</v>
      </c>
      <c r="P1621" t="str">
        <f>VLOOKUP($A1621,Store_Dim!$A$2:$F$21,3,FALSE)</f>
        <v>EastPort Josephberg</v>
      </c>
    </row>
    <row r="1622" spans="1:16" x14ac:dyDescent="0.25">
      <c r="A1622" t="s">
        <v>804</v>
      </c>
      <c r="B1622" t="s">
        <v>2623</v>
      </c>
      <c r="C1622" t="s">
        <v>702</v>
      </c>
      <c r="D1622" s="2">
        <v>45589</v>
      </c>
      <c r="E1622" t="s">
        <v>470</v>
      </c>
      <c r="F1622" t="str">
        <f>VLOOKUP($C1622,Product_Dim!$A$2:$D$101,3,FALSE)</f>
        <v>Anderson-Riley</v>
      </c>
      <c r="G1622" t="str">
        <f>VLOOKUP($C1622,Product_Dim!$A$2:$D$101,2,FALSE)</f>
        <v>Beauty</v>
      </c>
      <c r="H1622">
        <v>3</v>
      </c>
      <c r="I1622">
        <v>195.89</v>
      </c>
      <c r="J1622">
        <v>0.16</v>
      </c>
      <c r="K1622" s="3">
        <v>493.64280000000002</v>
      </c>
      <c r="L1622" t="s">
        <v>854</v>
      </c>
      <c r="M1622" t="str">
        <f>VLOOKUP($E1622,Customer_Dim!$A$2:$F$501,3,FALSE)</f>
        <v>Male</v>
      </c>
      <c r="N1622" t="str">
        <f>VLOOKUP($E1622,Customer_Dim!$A$2:$F$501,5,FALSE)</f>
        <v>USA</v>
      </c>
      <c r="O1622" t="str">
        <f>VLOOKUP($E1622,Customer_Dim!$A$2:$F$501,6,FALSE)</f>
        <v>Bronze</v>
      </c>
      <c r="P1622" t="str">
        <f>VLOOKUP($A1622,Store_Dim!$A$2:$F$21,3,FALSE)</f>
        <v>EastPort Josephberg</v>
      </c>
    </row>
    <row r="1623" spans="1:16" hidden="1" x14ac:dyDescent="0.25">
      <c r="A1623" t="s">
        <v>804</v>
      </c>
      <c r="B1623" t="s">
        <v>1078</v>
      </c>
      <c r="C1623" t="s">
        <v>706</v>
      </c>
      <c r="D1623" s="2">
        <v>45915</v>
      </c>
      <c r="E1623" t="s">
        <v>157</v>
      </c>
      <c r="F1623" t="str">
        <f>VLOOKUP($C1623,Product_Dim!$A$2:$D$101,3,FALSE)</f>
        <v>Montgomery, Benton and Miller</v>
      </c>
      <c r="G1623" t="str">
        <f>VLOOKUP($C1623,Product_Dim!$A$2:$D$101,2,FALSE)</f>
        <v>Sports</v>
      </c>
      <c r="H1623">
        <v>3</v>
      </c>
      <c r="I1623">
        <v>548.19000000000005</v>
      </c>
      <c r="J1623">
        <v>0.12</v>
      </c>
      <c r="K1623" s="3">
        <v>1447.2216000000001</v>
      </c>
      <c r="L1623" t="s">
        <v>852</v>
      </c>
      <c r="M1623" t="str">
        <f>VLOOKUP($E1623,Customer_Dim!$A$2:$F$501,3,FALSE)</f>
        <v>Female</v>
      </c>
      <c r="N1623" t="str">
        <f>VLOOKUP($E1623,Customer_Dim!$A$2:$F$501,5,FALSE)</f>
        <v>USA</v>
      </c>
      <c r="O1623" t="str">
        <f>VLOOKUP($E1623,Customer_Dim!$A$2:$F$501,6,FALSE)</f>
        <v>Platinum</v>
      </c>
      <c r="P1623" t="str">
        <f>VLOOKUP($A1623,Store_Dim!$A$2:$F$21,3,FALSE)</f>
        <v>EastPort Josephberg</v>
      </c>
    </row>
    <row r="1624" spans="1:16" x14ac:dyDescent="0.25">
      <c r="A1624" t="s">
        <v>804</v>
      </c>
      <c r="B1624" t="s">
        <v>2716</v>
      </c>
      <c r="C1624" t="s">
        <v>708</v>
      </c>
      <c r="D1624" s="2">
        <v>45904</v>
      </c>
      <c r="E1624" t="s">
        <v>182</v>
      </c>
      <c r="F1624" t="str">
        <f>VLOOKUP($C1624,Product_Dim!$A$2:$D$101,3,FALSE)</f>
        <v>Torres, Spencer and Potter</v>
      </c>
      <c r="G1624" t="str">
        <f>VLOOKUP($C1624,Product_Dim!$A$2:$D$101,2,FALSE)</f>
        <v>Beauty</v>
      </c>
      <c r="H1624">
        <v>1</v>
      </c>
      <c r="I1624">
        <v>126.92</v>
      </c>
      <c r="J1624">
        <v>0.24</v>
      </c>
      <c r="K1624" s="3">
        <v>96.459199999999996</v>
      </c>
      <c r="L1624" t="s">
        <v>857</v>
      </c>
      <c r="M1624" t="str">
        <f>VLOOKUP($E1624,Customer_Dim!$A$2:$F$501,3,FALSE)</f>
        <v>Male</v>
      </c>
      <c r="N1624" t="str">
        <f>VLOOKUP($E1624,Customer_Dim!$A$2:$F$501,5,FALSE)</f>
        <v>USA</v>
      </c>
      <c r="O1624" t="str">
        <f>VLOOKUP($E1624,Customer_Dim!$A$2:$F$501,6,FALSE)</f>
        <v>Bronze</v>
      </c>
      <c r="P1624" t="str">
        <f>VLOOKUP($A1624,Store_Dim!$A$2:$F$21,3,FALSE)</f>
        <v>EastPort Josephberg</v>
      </c>
    </row>
    <row r="1625" spans="1:16" hidden="1" x14ac:dyDescent="0.25">
      <c r="A1625" t="s">
        <v>804</v>
      </c>
      <c r="B1625" t="s">
        <v>1285</v>
      </c>
      <c r="C1625" t="s">
        <v>710</v>
      </c>
      <c r="D1625" s="2">
        <v>45860</v>
      </c>
      <c r="E1625" t="s">
        <v>155</v>
      </c>
      <c r="F1625" t="str">
        <f>VLOOKUP($C1625,Product_Dim!$A$2:$D$101,3,FALSE)</f>
        <v>Flores-Davis</v>
      </c>
      <c r="G1625" t="str">
        <f>VLOOKUP($C1625,Product_Dim!$A$2:$D$101,2,FALSE)</f>
        <v>Electronics</v>
      </c>
      <c r="H1625">
        <v>2</v>
      </c>
      <c r="I1625">
        <v>849.8</v>
      </c>
      <c r="J1625">
        <v>0.06</v>
      </c>
      <c r="K1625" s="3">
        <v>1597.624</v>
      </c>
      <c r="L1625" t="s">
        <v>857</v>
      </c>
      <c r="M1625" t="str">
        <f>VLOOKUP($E1625,Customer_Dim!$A$2:$F$501,3,FALSE)</f>
        <v>Female</v>
      </c>
      <c r="N1625" t="str">
        <f>VLOOKUP($E1625,Customer_Dim!$A$2:$F$501,5,FALSE)</f>
        <v>USA</v>
      </c>
      <c r="O1625" t="str">
        <f>VLOOKUP($E1625,Customer_Dim!$A$2:$F$501,6,FALSE)</f>
        <v>Gold</v>
      </c>
      <c r="P1625" t="str">
        <f>VLOOKUP($A1625,Store_Dim!$A$2:$F$21,3,FALSE)</f>
        <v>EastPort Josephberg</v>
      </c>
    </row>
    <row r="1626" spans="1:16" x14ac:dyDescent="0.25">
      <c r="A1626" t="s">
        <v>804</v>
      </c>
      <c r="B1626" t="s">
        <v>878</v>
      </c>
      <c r="C1626" t="s">
        <v>710</v>
      </c>
      <c r="D1626" s="2">
        <v>45908</v>
      </c>
      <c r="E1626" t="s">
        <v>251</v>
      </c>
      <c r="F1626" t="str">
        <f>VLOOKUP($C1626,Product_Dim!$A$2:$D$101,3,FALSE)</f>
        <v>Flores-Davis</v>
      </c>
      <c r="G1626" t="str">
        <f>VLOOKUP($C1626,Product_Dim!$A$2:$D$101,2,FALSE)</f>
        <v>Electronics</v>
      </c>
      <c r="H1626">
        <v>3</v>
      </c>
      <c r="I1626">
        <v>77.599999999999994</v>
      </c>
      <c r="J1626">
        <v>7.0000000000000007E-2</v>
      </c>
      <c r="K1626" s="3">
        <v>216.50399999999999</v>
      </c>
      <c r="L1626" t="s">
        <v>852</v>
      </c>
      <c r="M1626" t="str">
        <f>VLOOKUP($E1626,Customer_Dim!$A$2:$F$501,3,FALSE)</f>
        <v>Male</v>
      </c>
      <c r="N1626" t="str">
        <f>VLOOKUP($E1626,Customer_Dim!$A$2:$F$501,5,FALSE)</f>
        <v>USA</v>
      </c>
      <c r="O1626" t="str">
        <f>VLOOKUP($E1626,Customer_Dim!$A$2:$F$501,6,FALSE)</f>
        <v>Silver</v>
      </c>
      <c r="P1626" t="str">
        <f>VLOOKUP($A1626,Store_Dim!$A$2:$F$21,3,FALSE)</f>
        <v>EastPort Josephberg</v>
      </c>
    </row>
    <row r="1627" spans="1:16" hidden="1" x14ac:dyDescent="0.25">
      <c r="A1627" t="s">
        <v>804</v>
      </c>
      <c r="B1627" t="s">
        <v>1769</v>
      </c>
      <c r="C1627" t="s">
        <v>714</v>
      </c>
      <c r="D1627" s="2">
        <v>45869</v>
      </c>
      <c r="E1627" t="s">
        <v>553</v>
      </c>
      <c r="F1627" t="str">
        <f>VLOOKUP($C1627,Product_Dim!$A$2:$D$101,3,FALSE)</f>
        <v>Fitzpatrick Ltd</v>
      </c>
      <c r="G1627" t="str">
        <f>VLOOKUP($C1627,Product_Dim!$A$2:$D$101,2,FALSE)</f>
        <v>Clothing</v>
      </c>
      <c r="H1627">
        <v>2</v>
      </c>
      <c r="I1627">
        <v>354.09</v>
      </c>
      <c r="J1627">
        <v>0.12</v>
      </c>
      <c r="K1627" s="3">
        <v>623.19839999999999</v>
      </c>
      <c r="L1627" t="s">
        <v>857</v>
      </c>
      <c r="M1627" t="str">
        <f>VLOOKUP($E1627,Customer_Dim!$A$2:$F$501,3,FALSE)</f>
        <v>Female</v>
      </c>
      <c r="N1627" t="str">
        <f>VLOOKUP($E1627,Customer_Dim!$A$2:$F$501,5,FALSE)</f>
        <v>USA</v>
      </c>
      <c r="O1627" t="str">
        <f>VLOOKUP($E1627,Customer_Dim!$A$2:$F$501,6,FALSE)</f>
        <v>Bronze</v>
      </c>
      <c r="P1627" t="str">
        <f>VLOOKUP($A1627,Store_Dim!$A$2:$F$21,3,FALSE)</f>
        <v>EastPort Josephberg</v>
      </c>
    </row>
    <row r="1628" spans="1:16" x14ac:dyDescent="0.25">
      <c r="A1628" t="s">
        <v>804</v>
      </c>
      <c r="B1628" t="s">
        <v>2150</v>
      </c>
      <c r="C1628" t="s">
        <v>588</v>
      </c>
      <c r="D1628" s="2">
        <v>45221</v>
      </c>
      <c r="E1628" t="s">
        <v>391</v>
      </c>
      <c r="F1628" t="str">
        <f>VLOOKUP($C1628,Product_Dim!$A$2:$D$101,3,FALSE)</f>
        <v>Harrell LLC</v>
      </c>
      <c r="G1628" t="str">
        <f>VLOOKUP($C1628,Product_Dim!$A$2:$D$101,2,FALSE)</f>
        <v>Home</v>
      </c>
      <c r="H1628">
        <v>4</v>
      </c>
      <c r="I1628">
        <v>547.21</v>
      </c>
      <c r="J1628">
        <v>0.1</v>
      </c>
      <c r="K1628" s="3">
        <v>1969.9559999999999</v>
      </c>
      <c r="L1628" t="s">
        <v>857</v>
      </c>
      <c r="M1628" t="str">
        <f>VLOOKUP($E1628,Customer_Dim!$A$2:$F$501,3,FALSE)</f>
        <v>Male</v>
      </c>
      <c r="N1628" t="str">
        <f>VLOOKUP($E1628,Customer_Dim!$A$2:$F$501,5,FALSE)</f>
        <v>USA</v>
      </c>
      <c r="O1628" t="str">
        <f>VLOOKUP($E1628,Customer_Dim!$A$2:$F$501,6,FALSE)</f>
        <v>Bronze</v>
      </c>
      <c r="P1628" t="str">
        <f>VLOOKUP($A1628,Store_Dim!$A$2:$F$21,3,FALSE)</f>
        <v>EastPort Josephberg</v>
      </c>
    </row>
    <row r="1629" spans="1:16" x14ac:dyDescent="0.25">
      <c r="A1629" t="s">
        <v>804</v>
      </c>
      <c r="B1629" t="s">
        <v>2430</v>
      </c>
      <c r="C1629" t="s">
        <v>588</v>
      </c>
      <c r="D1629" s="2">
        <v>45241</v>
      </c>
      <c r="E1629" t="s">
        <v>545</v>
      </c>
      <c r="F1629" t="str">
        <f>VLOOKUP($C1629,Product_Dim!$A$2:$D$101,3,FALSE)</f>
        <v>Harrell LLC</v>
      </c>
      <c r="G1629" t="str">
        <f>VLOOKUP($C1629,Product_Dim!$A$2:$D$101,2,FALSE)</f>
        <v>Home</v>
      </c>
      <c r="H1629">
        <v>3</v>
      </c>
      <c r="I1629">
        <v>598.82000000000005</v>
      </c>
      <c r="J1629">
        <v>0.19</v>
      </c>
      <c r="K1629" s="3">
        <v>1455.1325999999999</v>
      </c>
      <c r="L1629" t="s">
        <v>857</v>
      </c>
      <c r="M1629" t="str">
        <f>VLOOKUP($E1629,Customer_Dim!$A$2:$F$501,3,FALSE)</f>
        <v>Male</v>
      </c>
      <c r="N1629" t="str">
        <f>VLOOKUP($E1629,Customer_Dim!$A$2:$F$501,5,FALSE)</f>
        <v>USA</v>
      </c>
      <c r="O1629" t="str">
        <f>VLOOKUP($E1629,Customer_Dim!$A$2:$F$501,6,FALSE)</f>
        <v>Gold</v>
      </c>
      <c r="P1629" t="str">
        <f>VLOOKUP($A1629,Store_Dim!$A$2:$F$21,3,FALSE)</f>
        <v>EastPort Josephberg</v>
      </c>
    </row>
    <row r="1630" spans="1:16" x14ac:dyDescent="0.25">
      <c r="A1630" t="s">
        <v>804</v>
      </c>
      <c r="B1630" t="s">
        <v>2838</v>
      </c>
      <c r="C1630" t="s">
        <v>716</v>
      </c>
      <c r="D1630" s="2">
        <v>45365</v>
      </c>
      <c r="E1630" t="s">
        <v>98</v>
      </c>
      <c r="F1630" t="str">
        <f>VLOOKUP($C1630,Product_Dim!$A$2:$D$101,3,FALSE)</f>
        <v>Duran Group</v>
      </c>
      <c r="G1630" t="str">
        <f>VLOOKUP($C1630,Product_Dim!$A$2:$D$101,2,FALSE)</f>
        <v>Home</v>
      </c>
      <c r="H1630">
        <v>4</v>
      </c>
      <c r="I1630">
        <v>167.25</v>
      </c>
      <c r="J1630">
        <v>0.11</v>
      </c>
      <c r="K1630" s="3">
        <v>595.41</v>
      </c>
      <c r="L1630" t="s">
        <v>852</v>
      </c>
      <c r="M1630" t="str">
        <f>VLOOKUP($E1630,Customer_Dim!$A$2:$F$501,3,FALSE)</f>
        <v>Male</v>
      </c>
      <c r="N1630" t="str">
        <f>VLOOKUP($E1630,Customer_Dim!$A$2:$F$501,5,FALSE)</f>
        <v>USA</v>
      </c>
      <c r="O1630" t="str">
        <f>VLOOKUP($E1630,Customer_Dim!$A$2:$F$501,6,FALSE)</f>
        <v>Bronze</v>
      </c>
      <c r="P1630" t="str">
        <f>VLOOKUP($A1630,Store_Dim!$A$2:$F$21,3,FALSE)</f>
        <v>EastPort Josephberg</v>
      </c>
    </row>
    <row r="1631" spans="1:16" hidden="1" x14ac:dyDescent="0.25">
      <c r="A1631" t="s">
        <v>804</v>
      </c>
      <c r="B1631" t="s">
        <v>2085</v>
      </c>
      <c r="C1631" t="s">
        <v>718</v>
      </c>
      <c r="D1631" s="2">
        <v>45259</v>
      </c>
      <c r="E1631" t="s">
        <v>500</v>
      </c>
      <c r="F1631" t="str">
        <f>VLOOKUP($C1631,Product_Dim!$A$2:$D$101,3,FALSE)</f>
        <v>Hopkins Ltd</v>
      </c>
      <c r="G1631" t="str">
        <f>VLOOKUP($C1631,Product_Dim!$A$2:$D$101,2,FALSE)</f>
        <v>Beauty</v>
      </c>
      <c r="H1631">
        <v>3</v>
      </c>
      <c r="I1631">
        <v>664.75</v>
      </c>
      <c r="J1631">
        <v>0.12</v>
      </c>
      <c r="K1631" s="3">
        <v>1754.94</v>
      </c>
      <c r="L1631" t="s">
        <v>852</v>
      </c>
      <c r="M1631" t="str">
        <f>VLOOKUP($E1631,Customer_Dim!$A$2:$F$501,3,FALSE)</f>
        <v>Female</v>
      </c>
      <c r="N1631" t="str">
        <f>VLOOKUP($E1631,Customer_Dim!$A$2:$F$501,5,FALSE)</f>
        <v>USA</v>
      </c>
      <c r="O1631" t="str">
        <f>VLOOKUP($E1631,Customer_Dim!$A$2:$F$501,6,FALSE)</f>
        <v>Silver</v>
      </c>
      <c r="P1631" t="str">
        <f>VLOOKUP($A1631,Store_Dim!$A$2:$F$21,3,FALSE)</f>
        <v>EastPort Josephberg</v>
      </c>
    </row>
    <row r="1632" spans="1:16" x14ac:dyDescent="0.25">
      <c r="A1632" t="s">
        <v>804</v>
      </c>
      <c r="B1632" t="s">
        <v>1016</v>
      </c>
      <c r="C1632" t="s">
        <v>722</v>
      </c>
      <c r="D1632" s="2">
        <v>45276</v>
      </c>
      <c r="E1632" t="s">
        <v>365</v>
      </c>
      <c r="F1632" t="str">
        <f>VLOOKUP($C1632,Product_Dim!$A$2:$D$101,3,FALSE)</f>
        <v>French Ltd</v>
      </c>
      <c r="G1632" t="str">
        <f>VLOOKUP($C1632,Product_Dim!$A$2:$D$101,2,FALSE)</f>
        <v>Sports</v>
      </c>
      <c r="H1632">
        <v>3</v>
      </c>
      <c r="I1632">
        <v>369.32</v>
      </c>
      <c r="J1632">
        <v>0.14000000000000001</v>
      </c>
      <c r="K1632" s="3">
        <v>952.84559999999999</v>
      </c>
      <c r="L1632" t="s">
        <v>854</v>
      </c>
      <c r="M1632" t="str">
        <f>VLOOKUP($E1632,Customer_Dim!$A$2:$F$501,3,FALSE)</f>
        <v>Male</v>
      </c>
      <c r="N1632" t="str">
        <f>VLOOKUP($E1632,Customer_Dim!$A$2:$F$501,5,FALSE)</f>
        <v>USA</v>
      </c>
      <c r="O1632" t="str">
        <f>VLOOKUP($E1632,Customer_Dim!$A$2:$F$501,6,FALSE)</f>
        <v>Platinum</v>
      </c>
      <c r="P1632" t="str">
        <f>VLOOKUP($A1632,Store_Dim!$A$2:$F$21,3,FALSE)</f>
        <v>EastPort Josephberg</v>
      </c>
    </row>
    <row r="1633" spans="1:16" hidden="1" x14ac:dyDescent="0.25">
      <c r="A1633" t="s">
        <v>804</v>
      </c>
      <c r="B1633" t="s">
        <v>1321</v>
      </c>
      <c r="C1633" t="s">
        <v>722</v>
      </c>
      <c r="D1633" s="2">
        <v>45565</v>
      </c>
      <c r="E1633" t="s">
        <v>433</v>
      </c>
      <c r="F1633" t="str">
        <f>VLOOKUP($C1633,Product_Dim!$A$2:$D$101,3,FALSE)</f>
        <v>French Ltd</v>
      </c>
      <c r="G1633" t="str">
        <f>VLOOKUP($C1633,Product_Dim!$A$2:$D$101,2,FALSE)</f>
        <v>Sports</v>
      </c>
      <c r="H1633">
        <v>4</v>
      </c>
      <c r="I1633">
        <v>934.96</v>
      </c>
      <c r="J1633">
        <v>0.18</v>
      </c>
      <c r="K1633" s="3">
        <v>3066.6687999999999</v>
      </c>
      <c r="L1633" t="s">
        <v>854</v>
      </c>
      <c r="M1633" t="str">
        <f>VLOOKUP($E1633,Customer_Dim!$A$2:$F$501,3,FALSE)</f>
        <v>Female</v>
      </c>
      <c r="N1633" t="str">
        <f>VLOOKUP($E1633,Customer_Dim!$A$2:$F$501,5,FALSE)</f>
        <v>USA</v>
      </c>
      <c r="O1633" t="str">
        <f>VLOOKUP($E1633,Customer_Dim!$A$2:$F$501,6,FALSE)</f>
        <v>Platinum</v>
      </c>
      <c r="P1633" t="str">
        <f>VLOOKUP($A1633,Store_Dim!$A$2:$F$21,3,FALSE)</f>
        <v>EastPort Josephberg</v>
      </c>
    </row>
    <row r="1634" spans="1:16" x14ac:dyDescent="0.25">
      <c r="A1634" t="s">
        <v>804</v>
      </c>
      <c r="B1634" t="s">
        <v>1497</v>
      </c>
      <c r="C1634" t="s">
        <v>728</v>
      </c>
      <c r="D1634" s="2">
        <v>45586</v>
      </c>
      <c r="E1634" t="s">
        <v>213</v>
      </c>
      <c r="F1634" t="str">
        <f>VLOOKUP($C1634,Product_Dim!$A$2:$D$101,3,FALSE)</f>
        <v>Larson Ltd</v>
      </c>
      <c r="G1634" t="str">
        <f>VLOOKUP($C1634,Product_Dim!$A$2:$D$101,2,FALSE)</f>
        <v>Electronics</v>
      </c>
      <c r="H1634">
        <v>3</v>
      </c>
      <c r="I1634">
        <v>89.78</v>
      </c>
      <c r="J1634">
        <v>0.2</v>
      </c>
      <c r="K1634" s="3">
        <v>215.47200000000001</v>
      </c>
      <c r="L1634" t="s">
        <v>857</v>
      </c>
      <c r="M1634" t="str">
        <f>VLOOKUP($E1634,Customer_Dim!$A$2:$F$501,3,FALSE)</f>
        <v>Male</v>
      </c>
      <c r="N1634" t="str">
        <f>VLOOKUP($E1634,Customer_Dim!$A$2:$F$501,5,FALSE)</f>
        <v>USA</v>
      </c>
      <c r="O1634" t="str">
        <f>VLOOKUP($E1634,Customer_Dim!$A$2:$F$501,6,FALSE)</f>
        <v>Platinum</v>
      </c>
      <c r="P1634" t="str">
        <f>VLOOKUP($A1634,Store_Dim!$A$2:$F$21,3,FALSE)</f>
        <v>EastPort Josephberg</v>
      </c>
    </row>
    <row r="1635" spans="1:16" x14ac:dyDescent="0.25">
      <c r="A1635" t="s">
        <v>804</v>
      </c>
      <c r="B1635" t="s">
        <v>2078</v>
      </c>
      <c r="C1635" t="s">
        <v>728</v>
      </c>
      <c r="D1635" s="2">
        <v>45880</v>
      </c>
      <c r="E1635" t="s">
        <v>310</v>
      </c>
      <c r="F1635" t="str">
        <f>VLOOKUP($C1635,Product_Dim!$A$2:$D$101,3,FALSE)</f>
        <v>Larson Ltd</v>
      </c>
      <c r="G1635" t="str">
        <f>VLOOKUP($C1635,Product_Dim!$A$2:$D$101,2,FALSE)</f>
        <v>Electronics</v>
      </c>
      <c r="H1635">
        <v>4</v>
      </c>
      <c r="I1635">
        <v>218.01</v>
      </c>
      <c r="J1635">
        <v>0.06</v>
      </c>
      <c r="K1635" s="3">
        <v>819.71759999999995</v>
      </c>
      <c r="L1635" t="s">
        <v>852</v>
      </c>
      <c r="M1635" t="str">
        <f>VLOOKUP($E1635,Customer_Dim!$A$2:$F$501,3,FALSE)</f>
        <v>Male</v>
      </c>
      <c r="N1635" t="str">
        <f>VLOOKUP($E1635,Customer_Dim!$A$2:$F$501,5,FALSE)</f>
        <v>USA</v>
      </c>
      <c r="O1635" t="str">
        <f>VLOOKUP($E1635,Customer_Dim!$A$2:$F$501,6,FALSE)</f>
        <v>Bronze</v>
      </c>
      <c r="P1635" t="str">
        <f>VLOOKUP($A1635,Store_Dim!$A$2:$F$21,3,FALSE)</f>
        <v>EastPort Josephberg</v>
      </c>
    </row>
    <row r="1636" spans="1:16" hidden="1" x14ac:dyDescent="0.25">
      <c r="A1636" t="s">
        <v>804</v>
      </c>
      <c r="B1636" t="s">
        <v>1237</v>
      </c>
      <c r="C1636" t="s">
        <v>728</v>
      </c>
      <c r="D1636" s="2">
        <v>45266</v>
      </c>
      <c r="E1636" t="s">
        <v>401</v>
      </c>
      <c r="F1636" t="str">
        <f>VLOOKUP($C1636,Product_Dim!$A$2:$D$101,3,FALSE)</f>
        <v>Larson Ltd</v>
      </c>
      <c r="G1636" t="str">
        <f>VLOOKUP($C1636,Product_Dim!$A$2:$D$101,2,FALSE)</f>
        <v>Electronics</v>
      </c>
      <c r="H1636">
        <v>1</v>
      </c>
      <c r="I1636">
        <v>141.79</v>
      </c>
      <c r="J1636">
        <v>0.1</v>
      </c>
      <c r="K1636" s="3">
        <v>127.611</v>
      </c>
      <c r="L1636" t="s">
        <v>852</v>
      </c>
      <c r="M1636" t="str">
        <f>VLOOKUP($E1636,Customer_Dim!$A$2:$F$501,3,FALSE)</f>
        <v>Female</v>
      </c>
      <c r="N1636" t="str">
        <f>VLOOKUP($E1636,Customer_Dim!$A$2:$F$501,5,FALSE)</f>
        <v>USA</v>
      </c>
      <c r="O1636" t="str">
        <f>VLOOKUP($E1636,Customer_Dim!$A$2:$F$501,6,FALSE)</f>
        <v>Silver</v>
      </c>
      <c r="P1636" t="str">
        <f>VLOOKUP($A1636,Store_Dim!$A$2:$F$21,3,FALSE)</f>
        <v>EastPort Josephberg</v>
      </c>
    </row>
    <row r="1637" spans="1:16" hidden="1" x14ac:dyDescent="0.25">
      <c r="A1637" t="s">
        <v>804</v>
      </c>
      <c r="B1637" t="s">
        <v>1726</v>
      </c>
      <c r="C1637" t="s">
        <v>728</v>
      </c>
      <c r="D1637" s="2">
        <v>45653</v>
      </c>
      <c r="E1637" t="s">
        <v>446</v>
      </c>
      <c r="F1637" t="str">
        <f>VLOOKUP($C1637,Product_Dim!$A$2:$D$101,3,FALSE)</f>
        <v>Larson Ltd</v>
      </c>
      <c r="G1637" t="str">
        <f>VLOOKUP($C1637,Product_Dim!$A$2:$D$101,2,FALSE)</f>
        <v>Electronics</v>
      </c>
      <c r="H1637">
        <v>4</v>
      </c>
      <c r="I1637">
        <v>282.45</v>
      </c>
      <c r="J1637">
        <v>0.28999999999999998</v>
      </c>
      <c r="K1637" s="3">
        <v>802.1579999999999</v>
      </c>
      <c r="L1637" t="s">
        <v>857</v>
      </c>
      <c r="M1637" t="str">
        <f>VLOOKUP($E1637,Customer_Dim!$A$2:$F$501,3,FALSE)</f>
        <v>Female</v>
      </c>
      <c r="N1637" t="str">
        <f>VLOOKUP($E1637,Customer_Dim!$A$2:$F$501,5,FALSE)</f>
        <v>USA</v>
      </c>
      <c r="O1637" t="str">
        <f>VLOOKUP($E1637,Customer_Dim!$A$2:$F$501,6,FALSE)</f>
        <v>Gold</v>
      </c>
      <c r="P1637" t="str">
        <f>VLOOKUP($A1637,Store_Dim!$A$2:$F$21,3,FALSE)</f>
        <v>EastPort Josephberg</v>
      </c>
    </row>
    <row r="1638" spans="1:16" x14ac:dyDescent="0.25">
      <c r="A1638" t="s">
        <v>804</v>
      </c>
      <c r="B1638" t="s">
        <v>2820</v>
      </c>
      <c r="C1638" t="s">
        <v>730</v>
      </c>
      <c r="D1638" s="2">
        <v>45881</v>
      </c>
      <c r="E1638" t="s">
        <v>72</v>
      </c>
      <c r="F1638" t="str">
        <f>VLOOKUP($C1638,Product_Dim!$A$2:$D$101,3,FALSE)</f>
        <v>White, Reeves and Woods</v>
      </c>
      <c r="G1638" t="str">
        <f>VLOOKUP($C1638,Product_Dim!$A$2:$D$101,2,FALSE)</f>
        <v>Electronics</v>
      </c>
      <c r="H1638">
        <v>1</v>
      </c>
      <c r="I1638">
        <v>918.87</v>
      </c>
      <c r="J1638">
        <v>0.11</v>
      </c>
      <c r="K1638" s="3">
        <v>817.79430000000002</v>
      </c>
      <c r="L1638" t="s">
        <v>854</v>
      </c>
      <c r="M1638" t="str">
        <f>VLOOKUP($E1638,Customer_Dim!$A$2:$F$501,3,FALSE)</f>
        <v>Male</v>
      </c>
      <c r="N1638" t="str">
        <f>VLOOKUP($E1638,Customer_Dim!$A$2:$F$501,5,FALSE)</f>
        <v>USA</v>
      </c>
      <c r="O1638" t="str">
        <f>VLOOKUP($E1638,Customer_Dim!$A$2:$F$501,6,FALSE)</f>
        <v>Platinum</v>
      </c>
      <c r="P1638" t="str">
        <f>VLOOKUP($A1638,Store_Dim!$A$2:$F$21,3,FALSE)</f>
        <v>EastPort Josephberg</v>
      </c>
    </row>
    <row r="1639" spans="1:16" hidden="1" x14ac:dyDescent="0.25">
      <c r="A1639" t="s">
        <v>804</v>
      </c>
      <c r="B1639" t="s">
        <v>2810</v>
      </c>
      <c r="C1639" t="s">
        <v>730</v>
      </c>
      <c r="D1639" s="2">
        <v>45687</v>
      </c>
      <c r="E1639" t="s">
        <v>225</v>
      </c>
      <c r="F1639" t="str">
        <f>VLOOKUP($C1639,Product_Dim!$A$2:$D$101,3,FALSE)</f>
        <v>White, Reeves and Woods</v>
      </c>
      <c r="G1639" t="str">
        <f>VLOOKUP($C1639,Product_Dim!$A$2:$D$101,2,FALSE)</f>
        <v>Electronics</v>
      </c>
      <c r="H1639">
        <v>3</v>
      </c>
      <c r="I1639">
        <v>998.58</v>
      </c>
      <c r="J1639">
        <v>0.02</v>
      </c>
      <c r="K1639" s="3">
        <v>2935.8252000000002</v>
      </c>
      <c r="L1639" t="s">
        <v>852</v>
      </c>
      <c r="M1639" t="str">
        <f>VLOOKUP($E1639,Customer_Dim!$A$2:$F$501,3,FALSE)</f>
        <v>Female</v>
      </c>
      <c r="N1639" t="str">
        <f>VLOOKUP($E1639,Customer_Dim!$A$2:$F$501,5,FALSE)</f>
        <v>USA</v>
      </c>
      <c r="O1639" t="str">
        <f>VLOOKUP($E1639,Customer_Dim!$A$2:$F$501,6,FALSE)</f>
        <v>Silver</v>
      </c>
      <c r="P1639" t="str">
        <f>VLOOKUP($A1639,Store_Dim!$A$2:$F$21,3,FALSE)</f>
        <v>EastPort Josephberg</v>
      </c>
    </row>
    <row r="1640" spans="1:16" hidden="1" x14ac:dyDescent="0.25">
      <c r="A1640" t="s">
        <v>804</v>
      </c>
      <c r="B1640" t="s">
        <v>1182</v>
      </c>
      <c r="C1640" t="s">
        <v>730</v>
      </c>
      <c r="D1640" s="2">
        <v>45349</v>
      </c>
      <c r="E1640" t="s">
        <v>505</v>
      </c>
      <c r="F1640" t="str">
        <f>VLOOKUP($C1640,Product_Dim!$A$2:$D$101,3,FALSE)</f>
        <v>White, Reeves and Woods</v>
      </c>
      <c r="G1640" t="str">
        <f>VLOOKUP($C1640,Product_Dim!$A$2:$D$101,2,FALSE)</f>
        <v>Electronics</v>
      </c>
      <c r="H1640">
        <v>3</v>
      </c>
      <c r="I1640">
        <v>573.1</v>
      </c>
      <c r="J1640">
        <v>0.16</v>
      </c>
      <c r="K1640" s="3">
        <v>1444.212</v>
      </c>
      <c r="L1640" t="s">
        <v>857</v>
      </c>
      <c r="M1640" t="str">
        <f>VLOOKUP($E1640,Customer_Dim!$A$2:$F$501,3,FALSE)</f>
        <v>Female</v>
      </c>
      <c r="N1640" t="str">
        <f>VLOOKUP($E1640,Customer_Dim!$A$2:$F$501,5,FALSE)</f>
        <v>USA</v>
      </c>
      <c r="O1640" t="str">
        <f>VLOOKUP($E1640,Customer_Dim!$A$2:$F$501,6,FALSE)</f>
        <v>Platinum</v>
      </c>
      <c r="P1640" t="str">
        <f>VLOOKUP($A1640,Store_Dim!$A$2:$F$21,3,FALSE)</f>
        <v>EastPort Josephberg</v>
      </c>
    </row>
    <row r="1641" spans="1:16" x14ac:dyDescent="0.25">
      <c r="A1641" t="s">
        <v>804</v>
      </c>
      <c r="B1641" t="s">
        <v>1246</v>
      </c>
      <c r="C1641" t="s">
        <v>732</v>
      </c>
      <c r="D1641" s="2">
        <v>45789</v>
      </c>
      <c r="E1641" t="s">
        <v>217</v>
      </c>
      <c r="F1641" t="str">
        <f>VLOOKUP($C1641,Product_Dim!$A$2:$D$101,3,FALSE)</f>
        <v>Hernandez Inc</v>
      </c>
      <c r="G1641" t="str">
        <f>VLOOKUP($C1641,Product_Dim!$A$2:$D$101,2,FALSE)</f>
        <v>Home</v>
      </c>
      <c r="H1641">
        <v>3</v>
      </c>
      <c r="I1641">
        <v>362.11</v>
      </c>
      <c r="J1641">
        <v>0.23</v>
      </c>
      <c r="K1641" s="3">
        <v>836.47409999999991</v>
      </c>
      <c r="L1641" t="s">
        <v>857</v>
      </c>
      <c r="M1641" t="str">
        <f>VLOOKUP($E1641,Customer_Dim!$A$2:$F$501,3,FALSE)</f>
        <v>Male</v>
      </c>
      <c r="N1641" t="str">
        <f>VLOOKUP($E1641,Customer_Dim!$A$2:$F$501,5,FALSE)</f>
        <v>USA</v>
      </c>
      <c r="O1641" t="str">
        <f>VLOOKUP($E1641,Customer_Dim!$A$2:$F$501,6,FALSE)</f>
        <v>Bronze</v>
      </c>
      <c r="P1641" t="str">
        <f>VLOOKUP($A1641,Store_Dim!$A$2:$F$21,3,FALSE)</f>
        <v>EastPort Josephberg</v>
      </c>
    </row>
    <row r="1642" spans="1:16" x14ac:dyDescent="0.25">
      <c r="A1642" t="s">
        <v>804</v>
      </c>
      <c r="B1642" t="s">
        <v>1374</v>
      </c>
      <c r="C1642" t="s">
        <v>732</v>
      </c>
      <c r="D1642" s="2">
        <v>45229</v>
      </c>
      <c r="E1642" t="s">
        <v>319</v>
      </c>
      <c r="F1642" t="str">
        <f>VLOOKUP($C1642,Product_Dim!$A$2:$D$101,3,FALSE)</f>
        <v>Hernandez Inc</v>
      </c>
      <c r="G1642" t="str">
        <f>VLOOKUP($C1642,Product_Dim!$A$2:$D$101,2,FALSE)</f>
        <v>Home</v>
      </c>
      <c r="H1642">
        <v>3</v>
      </c>
      <c r="I1642">
        <v>679.22</v>
      </c>
      <c r="J1642">
        <v>0.11</v>
      </c>
      <c r="K1642" s="3">
        <v>1813.5174</v>
      </c>
      <c r="L1642" t="s">
        <v>854</v>
      </c>
      <c r="M1642" t="str">
        <f>VLOOKUP($E1642,Customer_Dim!$A$2:$F$501,3,FALSE)</f>
        <v>Male</v>
      </c>
      <c r="N1642" t="str">
        <f>VLOOKUP($E1642,Customer_Dim!$A$2:$F$501,5,FALSE)</f>
        <v>USA</v>
      </c>
      <c r="O1642" t="str">
        <f>VLOOKUP($E1642,Customer_Dim!$A$2:$F$501,6,FALSE)</f>
        <v>Bronze</v>
      </c>
      <c r="P1642" t="str">
        <f>VLOOKUP($A1642,Store_Dim!$A$2:$F$21,3,FALSE)</f>
        <v>EastPort Josephberg</v>
      </c>
    </row>
    <row r="1643" spans="1:16" hidden="1" x14ac:dyDescent="0.25">
      <c r="A1643" t="s">
        <v>804</v>
      </c>
      <c r="B1643" t="s">
        <v>1381</v>
      </c>
      <c r="C1643" t="s">
        <v>732</v>
      </c>
      <c r="D1643" s="2">
        <v>45362</v>
      </c>
      <c r="E1643" t="s">
        <v>520</v>
      </c>
      <c r="F1643" t="str">
        <f>VLOOKUP($C1643,Product_Dim!$A$2:$D$101,3,FALSE)</f>
        <v>Hernandez Inc</v>
      </c>
      <c r="G1643" t="str">
        <f>VLOOKUP($C1643,Product_Dim!$A$2:$D$101,2,FALSE)</f>
        <v>Home</v>
      </c>
      <c r="H1643">
        <v>4</v>
      </c>
      <c r="I1643">
        <v>467.24</v>
      </c>
      <c r="J1643">
        <v>0.08</v>
      </c>
      <c r="K1643" s="3">
        <v>1719.4431999999999</v>
      </c>
      <c r="L1643" t="s">
        <v>854</v>
      </c>
      <c r="M1643" t="str">
        <f>VLOOKUP($E1643,Customer_Dim!$A$2:$F$501,3,FALSE)</f>
        <v>Female</v>
      </c>
      <c r="N1643" t="str">
        <f>VLOOKUP($E1643,Customer_Dim!$A$2:$F$501,5,FALSE)</f>
        <v>USA</v>
      </c>
      <c r="O1643" t="str">
        <f>VLOOKUP($E1643,Customer_Dim!$A$2:$F$501,6,FALSE)</f>
        <v>Platinum</v>
      </c>
      <c r="P1643" t="str">
        <f>VLOOKUP($A1643,Store_Dim!$A$2:$F$21,3,FALSE)</f>
        <v>EastPort Josephberg</v>
      </c>
    </row>
    <row r="1644" spans="1:16" x14ac:dyDescent="0.25">
      <c r="A1644" t="s">
        <v>804</v>
      </c>
      <c r="B1644" t="s">
        <v>2565</v>
      </c>
      <c r="C1644" t="s">
        <v>734</v>
      </c>
      <c r="D1644" s="2">
        <v>45316</v>
      </c>
      <c r="E1644" t="s">
        <v>283</v>
      </c>
      <c r="F1644" t="str">
        <f>VLOOKUP($C1644,Product_Dim!$A$2:$D$101,3,FALSE)</f>
        <v>Ramirez-Hanson</v>
      </c>
      <c r="G1644" t="str">
        <f>VLOOKUP($C1644,Product_Dim!$A$2:$D$101,2,FALSE)</f>
        <v>Home</v>
      </c>
      <c r="H1644">
        <v>1</v>
      </c>
      <c r="I1644">
        <v>502.53</v>
      </c>
      <c r="J1644">
        <v>0</v>
      </c>
      <c r="K1644" s="3">
        <v>502.53</v>
      </c>
      <c r="L1644" t="s">
        <v>854</v>
      </c>
      <c r="M1644" t="str">
        <f>VLOOKUP($E1644,Customer_Dim!$A$2:$F$501,3,FALSE)</f>
        <v>Male</v>
      </c>
      <c r="N1644" t="str">
        <f>VLOOKUP($E1644,Customer_Dim!$A$2:$F$501,5,FALSE)</f>
        <v>USA</v>
      </c>
      <c r="O1644" t="str">
        <f>VLOOKUP($E1644,Customer_Dim!$A$2:$F$501,6,FALSE)</f>
        <v>Platinum</v>
      </c>
      <c r="P1644" t="str">
        <f>VLOOKUP($A1644,Store_Dim!$A$2:$F$21,3,FALSE)</f>
        <v>EastPort Josephberg</v>
      </c>
    </row>
    <row r="1645" spans="1:16" x14ac:dyDescent="0.25">
      <c r="A1645" t="s">
        <v>804</v>
      </c>
      <c r="B1645" t="s">
        <v>979</v>
      </c>
      <c r="C1645" t="s">
        <v>590</v>
      </c>
      <c r="D1645" s="2">
        <v>45598</v>
      </c>
      <c r="E1645" t="s">
        <v>565</v>
      </c>
      <c r="F1645" t="str">
        <f>VLOOKUP($C1645,Product_Dim!$A$2:$D$101,3,FALSE)</f>
        <v>Perez-Johnston</v>
      </c>
      <c r="G1645" t="str">
        <f>VLOOKUP($C1645,Product_Dim!$A$2:$D$101,2,FALSE)</f>
        <v>Electronics</v>
      </c>
      <c r="H1645">
        <v>1</v>
      </c>
      <c r="I1645">
        <v>846.31</v>
      </c>
      <c r="J1645">
        <v>0.05</v>
      </c>
      <c r="K1645" s="3">
        <v>803.9944999999999</v>
      </c>
      <c r="L1645" t="s">
        <v>854</v>
      </c>
      <c r="M1645" t="str">
        <f>VLOOKUP($E1645,Customer_Dim!$A$2:$F$501,3,FALSE)</f>
        <v>Male</v>
      </c>
      <c r="N1645" t="str">
        <f>VLOOKUP($E1645,Customer_Dim!$A$2:$F$501,5,FALSE)</f>
        <v>USA</v>
      </c>
      <c r="O1645" t="str">
        <f>VLOOKUP($E1645,Customer_Dim!$A$2:$F$501,6,FALSE)</f>
        <v>Silver</v>
      </c>
      <c r="P1645" t="str">
        <f>VLOOKUP($A1645,Store_Dim!$A$2:$F$21,3,FALSE)</f>
        <v>EastPort Josephberg</v>
      </c>
    </row>
    <row r="1646" spans="1:16" x14ac:dyDescent="0.25">
      <c r="A1646" t="s">
        <v>804</v>
      </c>
      <c r="B1646" t="s">
        <v>2157</v>
      </c>
      <c r="C1646" t="s">
        <v>738</v>
      </c>
      <c r="D1646" s="2">
        <v>45478</v>
      </c>
      <c r="E1646" t="s">
        <v>68</v>
      </c>
      <c r="F1646" t="str">
        <f>VLOOKUP($C1646,Product_Dim!$A$2:$D$101,3,FALSE)</f>
        <v>Robinson-Brown</v>
      </c>
      <c r="G1646" t="str">
        <f>VLOOKUP($C1646,Product_Dim!$A$2:$D$101,2,FALSE)</f>
        <v>Sports</v>
      </c>
      <c r="H1646">
        <v>3</v>
      </c>
      <c r="I1646">
        <v>438.92</v>
      </c>
      <c r="J1646">
        <v>0.21</v>
      </c>
      <c r="K1646" s="3">
        <v>1040.2403999999999</v>
      </c>
      <c r="L1646" t="s">
        <v>852</v>
      </c>
      <c r="M1646" t="str">
        <f>VLOOKUP($E1646,Customer_Dim!$A$2:$F$501,3,FALSE)</f>
        <v>Male</v>
      </c>
      <c r="N1646" t="str">
        <f>VLOOKUP($E1646,Customer_Dim!$A$2:$F$501,5,FALSE)</f>
        <v>USA</v>
      </c>
      <c r="O1646" t="str">
        <f>VLOOKUP($E1646,Customer_Dim!$A$2:$F$501,6,FALSE)</f>
        <v>Silver</v>
      </c>
      <c r="P1646" t="str">
        <f>VLOOKUP($A1646,Store_Dim!$A$2:$F$21,3,FALSE)</f>
        <v>EastPort Josephberg</v>
      </c>
    </row>
    <row r="1647" spans="1:16" hidden="1" x14ac:dyDescent="0.25">
      <c r="A1647" t="s">
        <v>804</v>
      </c>
      <c r="B1647" t="s">
        <v>1883</v>
      </c>
      <c r="C1647" t="s">
        <v>738</v>
      </c>
      <c r="D1647" s="2">
        <v>45564</v>
      </c>
      <c r="E1647" t="s">
        <v>193</v>
      </c>
      <c r="F1647" t="str">
        <f>VLOOKUP($C1647,Product_Dim!$A$2:$D$101,3,FALSE)</f>
        <v>Robinson-Brown</v>
      </c>
      <c r="G1647" t="str">
        <f>VLOOKUP($C1647,Product_Dim!$A$2:$D$101,2,FALSE)</f>
        <v>Sports</v>
      </c>
      <c r="H1647">
        <v>4</v>
      </c>
      <c r="I1647">
        <v>762.43</v>
      </c>
      <c r="J1647">
        <v>0.05</v>
      </c>
      <c r="K1647" s="3">
        <v>2897.233999999999</v>
      </c>
      <c r="L1647" t="s">
        <v>852</v>
      </c>
      <c r="M1647" t="str">
        <f>VLOOKUP($E1647,Customer_Dim!$A$2:$F$501,3,FALSE)</f>
        <v>Female</v>
      </c>
      <c r="N1647" t="str">
        <f>VLOOKUP($E1647,Customer_Dim!$A$2:$F$501,5,FALSE)</f>
        <v>USA</v>
      </c>
      <c r="O1647" t="str">
        <f>VLOOKUP($E1647,Customer_Dim!$A$2:$F$501,6,FALSE)</f>
        <v>Silver</v>
      </c>
      <c r="P1647" t="str">
        <f>VLOOKUP($A1647,Store_Dim!$A$2:$F$21,3,FALSE)</f>
        <v>EastPort Josephberg</v>
      </c>
    </row>
    <row r="1648" spans="1:16" hidden="1" x14ac:dyDescent="0.25">
      <c r="A1648" t="s">
        <v>804</v>
      </c>
      <c r="B1648" t="s">
        <v>1041</v>
      </c>
      <c r="C1648" t="s">
        <v>738</v>
      </c>
      <c r="D1648" s="2">
        <v>45538</v>
      </c>
      <c r="E1648" t="s">
        <v>339</v>
      </c>
      <c r="F1648" t="str">
        <f>VLOOKUP($C1648,Product_Dim!$A$2:$D$101,3,FALSE)</f>
        <v>Robinson-Brown</v>
      </c>
      <c r="G1648" t="str">
        <f>VLOOKUP($C1648,Product_Dim!$A$2:$D$101,2,FALSE)</f>
        <v>Sports</v>
      </c>
      <c r="H1648">
        <v>2</v>
      </c>
      <c r="I1648">
        <v>549.33000000000004</v>
      </c>
      <c r="J1648">
        <v>0.01</v>
      </c>
      <c r="K1648" s="3">
        <v>1087.6733999999999</v>
      </c>
      <c r="L1648" t="s">
        <v>857</v>
      </c>
      <c r="M1648" t="str">
        <f>VLOOKUP($E1648,Customer_Dim!$A$2:$F$501,3,FALSE)</f>
        <v>Female</v>
      </c>
      <c r="N1648" t="str">
        <f>VLOOKUP($E1648,Customer_Dim!$A$2:$F$501,5,FALSE)</f>
        <v>USA</v>
      </c>
      <c r="O1648" t="str">
        <f>VLOOKUP($E1648,Customer_Dim!$A$2:$F$501,6,FALSE)</f>
        <v>Gold</v>
      </c>
      <c r="P1648" t="str">
        <f>VLOOKUP($A1648,Store_Dim!$A$2:$F$21,3,FALSE)</f>
        <v>EastPort Josephberg</v>
      </c>
    </row>
    <row r="1649" spans="1:16" hidden="1" x14ac:dyDescent="0.25">
      <c r="A1649" t="s">
        <v>804</v>
      </c>
      <c r="B1649" t="s">
        <v>1052</v>
      </c>
      <c r="C1649" t="s">
        <v>738</v>
      </c>
      <c r="D1649" s="2">
        <v>45600</v>
      </c>
      <c r="E1649" t="s">
        <v>515</v>
      </c>
      <c r="F1649" t="str">
        <f>VLOOKUP($C1649,Product_Dim!$A$2:$D$101,3,FALSE)</f>
        <v>Robinson-Brown</v>
      </c>
      <c r="G1649" t="str">
        <f>VLOOKUP($C1649,Product_Dim!$A$2:$D$101,2,FALSE)</f>
        <v>Sports</v>
      </c>
      <c r="H1649">
        <v>1</v>
      </c>
      <c r="I1649">
        <v>454.71</v>
      </c>
      <c r="J1649">
        <v>0.16</v>
      </c>
      <c r="K1649" s="3">
        <v>381.95639999999997</v>
      </c>
      <c r="L1649" t="s">
        <v>854</v>
      </c>
      <c r="M1649" t="str">
        <f>VLOOKUP($E1649,Customer_Dim!$A$2:$F$501,3,FALSE)</f>
        <v>Female</v>
      </c>
      <c r="N1649" t="str">
        <f>VLOOKUP($E1649,Customer_Dim!$A$2:$F$501,5,FALSE)</f>
        <v>USA</v>
      </c>
      <c r="O1649" t="str">
        <f>VLOOKUP($E1649,Customer_Dim!$A$2:$F$501,6,FALSE)</f>
        <v>Bronze</v>
      </c>
      <c r="P1649" t="str">
        <f>VLOOKUP($A1649,Store_Dim!$A$2:$F$21,3,FALSE)</f>
        <v>EastPort Josephberg</v>
      </c>
    </row>
    <row r="1650" spans="1:16" hidden="1" x14ac:dyDescent="0.25">
      <c r="A1650" t="s">
        <v>804</v>
      </c>
      <c r="B1650" t="s">
        <v>2603</v>
      </c>
      <c r="C1650" t="s">
        <v>740</v>
      </c>
      <c r="D1650" s="2">
        <v>45842</v>
      </c>
      <c r="E1650" t="s">
        <v>440</v>
      </c>
      <c r="F1650" t="str">
        <f>VLOOKUP($C1650,Product_Dim!$A$2:$D$101,3,FALSE)</f>
        <v>Reese-Watson</v>
      </c>
      <c r="G1650" t="str">
        <f>VLOOKUP($C1650,Product_Dim!$A$2:$D$101,2,FALSE)</f>
        <v>Sports</v>
      </c>
      <c r="H1650">
        <v>4</v>
      </c>
      <c r="I1650">
        <v>389.22</v>
      </c>
      <c r="J1650">
        <v>0.18</v>
      </c>
      <c r="K1650" s="3">
        <v>1276.6415999999999</v>
      </c>
      <c r="L1650" t="s">
        <v>852</v>
      </c>
      <c r="M1650" t="str">
        <f>VLOOKUP($E1650,Customer_Dim!$A$2:$F$501,3,FALSE)</f>
        <v>Female</v>
      </c>
      <c r="N1650" t="str">
        <f>VLOOKUP($E1650,Customer_Dim!$A$2:$F$501,5,FALSE)</f>
        <v>USA</v>
      </c>
      <c r="O1650" t="str">
        <f>VLOOKUP($E1650,Customer_Dim!$A$2:$F$501,6,FALSE)</f>
        <v>Gold</v>
      </c>
      <c r="P1650" t="str">
        <f>VLOOKUP($A1650,Store_Dim!$A$2:$F$21,3,FALSE)</f>
        <v>EastPort Josephberg</v>
      </c>
    </row>
    <row r="1651" spans="1:16" hidden="1" x14ac:dyDescent="0.25">
      <c r="A1651" t="s">
        <v>804</v>
      </c>
      <c r="B1651" t="s">
        <v>2008</v>
      </c>
      <c r="C1651" t="s">
        <v>742</v>
      </c>
      <c r="D1651" s="2">
        <v>45587</v>
      </c>
      <c r="E1651" t="s">
        <v>55</v>
      </c>
      <c r="F1651" t="str">
        <f>VLOOKUP($C1651,Product_Dim!$A$2:$D$101,3,FALSE)</f>
        <v>Butler Group</v>
      </c>
      <c r="G1651" t="str">
        <f>VLOOKUP($C1651,Product_Dim!$A$2:$D$101,2,FALSE)</f>
        <v>Beauty</v>
      </c>
      <c r="H1651">
        <v>2</v>
      </c>
      <c r="I1651">
        <v>472.18</v>
      </c>
      <c r="J1651">
        <v>0.27</v>
      </c>
      <c r="K1651" s="3">
        <v>689.38279999999997</v>
      </c>
      <c r="L1651" t="s">
        <v>854</v>
      </c>
      <c r="M1651" t="str">
        <f>VLOOKUP($E1651,Customer_Dim!$A$2:$F$501,3,FALSE)</f>
        <v>Female</v>
      </c>
      <c r="N1651" t="str">
        <f>VLOOKUP($E1651,Customer_Dim!$A$2:$F$501,5,FALSE)</f>
        <v>USA</v>
      </c>
      <c r="O1651" t="str">
        <f>VLOOKUP($E1651,Customer_Dim!$A$2:$F$501,6,FALSE)</f>
        <v>Silver</v>
      </c>
      <c r="P1651" t="str">
        <f>VLOOKUP($A1651,Store_Dim!$A$2:$F$21,3,FALSE)</f>
        <v>EastPort Josephberg</v>
      </c>
    </row>
    <row r="1652" spans="1:16" x14ac:dyDescent="0.25">
      <c r="A1652" t="s">
        <v>804</v>
      </c>
      <c r="B1652" t="s">
        <v>2266</v>
      </c>
      <c r="C1652" t="s">
        <v>742</v>
      </c>
      <c r="D1652" s="2">
        <v>45413</v>
      </c>
      <c r="E1652" t="s">
        <v>227</v>
      </c>
      <c r="F1652" t="str">
        <f>VLOOKUP($C1652,Product_Dim!$A$2:$D$101,3,FALSE)</f>
        <v>Butler Group</v>
      </c>
      <c r="G1652" t="str">
        <f>VLOOKUP($C1652,Product_Dim!$A$2:$D$101,2,FALSE)</f>
        <v>Beauty</v>
      </c>
      <c r="H1652">
        <v>1</v>
      </c>
      <c r="I1652">
        <v>254.47</v>
      </c>
      <c r="J1652">
        <v>0.1</v>
      </c>
      <c r="K1652" s="3">
        <v>229.023</v>
      </c>
      <c r="L1652" t="s">
        <v>852</v>
      </c>
      <c r="M1652" t="str">
        <f>VLOOKUP($E1652,Customer_Dim!$A$2:$F$501,3,FALSE)</f>
        <v>Male</v>
      </c>
      <c r="N1652" t="str">
        <f>VLOOKUP($E1652,Customer_Dim!$A$2:$F$501,5,FALSE)</f>
        <v>USA</v>
      </c>
      <c r="O1652" t="str">
        <f>VLOOKUP($E1652,Customer_Dim!$A$2:$F$501,6,FALSE)</f>
        <v>Bronze</v>
      </c>
      <c r="P1652" t="str">
        <f>VLOOKUP($A1652,Store_Dim!$A$2:$F$21,3,FALSE)</f>
        <v>EastPort Josephberg</v>
      </c>
    </row>
    <row r="1653" spans="1:16" x14ac:dyDescent="0.25">
      <c r="A1653" t="s">
        <v>804</v>
      </c>
      <c r="B1653" t="s">
        <v>1054</v>
      </c>
      <c r="C1653" t="s">
        <v>742</v>
      </c>
      <c r="D1653" s="2">
        <v>45725</v>
      </c>
      <c r="E1653" t="s">
        <v>234</v>
      </c>
      <c r="F1653" t="str">
        <f>VLOOKUP($C1653,Product_Dim!$A$2:$D$101,3,FALSE)</f>
        <v>Butler Group</v>
      </c>
      <c r="G1653" t="str">
        <f>VLOOKUP($C1653,Product_Dim!$A$2:$D$101,2,FALSE)</f>
        <v>Beauty</v>
      </c>
      <c r="H1653">
        <v>3</v>
      </c>
      <c r="I1653">
        <v>748.56</v>
      </c>
      <c r="J1653">
        <v>0.26</v>
      </c>
      <c r="K1653" s="3">
        <v>1661.8032000000001</v>
      </c>
      <c r="L1653" t="s">
        <v>854</v>
      </c>
      <c r="M1653" t="str">
        <f>VLOOKUP($E1653,Customer_Dim!$A$2:$F$501,3,FALSE)</f>
        <v>Male</v>
      </c>
      <c r="N1653" t="str">
        <f>VLOOKUP($E1653,Customer_Dim!$A$2:$F$501,5,FALSE)</f>
        <v>USA</v>
      </c>
      <c r="O1653" t="str">
        <f>VLOOKUP($E1653,Customer_Dim!$A$2:$F$501,6,FALSE)</f>
        <v>Gold</v>
      </c>
      <c r="P1653" t="str">
        <f>VLOOKUP($A1653,Store_Dim!$A$2:$F$21,3,FALSE)</f>
        <v>EastPort Josephberg</v>
      </c>
    </row>
    <row r="1654" spans="1:16" x14ac:dyDescent="0.25">
      <c r="A1654" t="s">
        <v>804</v>
      </c>
      <c r="B1654" t="s">
        <v>1275</v>
      </c>
      <c r="C1654" t="s">
        <v>746</v>
      </c>
      <c r="D1654" s="2">
        <v>45909</v>
      </c>
      <c r="E1654" t="s">
        <v>82</v>
      </c>
      <c r="F1654" t="str">
        <f>VLOOKUP($C1654,Product_Dim!$A$2:$D$101,3,FALSE)</f>
        <v>Richardson-Carrillo</v>
      </c>
      <c r="G1654" t="str">
        <f>VLOOKUP($C1654,Product_Dim!$A$2:$D$101,2,FALSE)</f>
        <v>Clothing</v>
      </c>
      <c r="H1654">
        <v>3</v>
      </c>
      <c r="I1654">
        <v>522.78</v>
      </c>
      <c r="J1654">
        <v>0.25</v>
      </c>
      <c r="K1654" s="3">
        <v>1176.2550000000001</v>
      </c>
      <c r="L1654" t="s">
        <v>854</v>
      </c>
      <c r="M1654" t="str">
        <f>VLOOKUP($E1654,Customer_Dim!$A$2:$F$501,3,FALSE)</f>
        <v>Male</v>
      </c>
      <c r="N1654" t="str">
        <f>VLOOKUP($E1654,Customer_Dim!$A$2:$F$501,5,FALSE)</f>
        <v>USA</v>
      </c>
      <c r="O1654" t="str">
        <f>VLOOKUP($E1654,Customer_Dim!$A$2:$F$501,6,FALSE)</f>
        <v>Platinum</v>
      </c>
      <c r="P1654" t="str">
        <f>VLOOKUP($A1654,Store_Dim!$A$2:$F$21,3,FALSE)</f>
        <v>EastPort Josephberg</v>
      </c>
    </row>
    <row r="1655" spans="1:16" x14ac:dyDescent="0.25">
      <c r="A1655" t="s">
        <v>804</v>
      </c>
      <c r="B1655" t="s">
        <v>1753</v>
      </c>
      <c r="C1655" t="s">
        <v>748</v>
      </c>
      <c r="D1655" s="2">
        <v>45456</v>
      </c>
      <c r="E1655" t="s">
        <v>439</v>
      </c>
      <c r="F1655" t="str">
        <f>VLOOKUP($C1655,Product_Dim!$A$2:$D$101,3,FALSE)</f>
        <v>Taylor, Dodson and Johnston</v>
      </c>
      <c r="G1655" t="str">
        <f>VLOOKUP($C1655,Product_Dim!$A$2:$D$101,2,FALSE)</f>
        <v>Home</v>
      </c>
      <c r="H1655">
        <v>3</v>
      </c>
      <c r="I1655">
        <v>619.80999999999995</v>
      </c>
      <c r="J1655">
        <v>0.16</v>
      </c>
      <c r="K1655" s="3">
        <v>1561.9212</v>
      </c>
      <c r="L1655" t="s">
        <v>857</v>
      </c>
      <c r="M1655" t="str">
        <f>VLOOKUP($E1655,Customer_Dim!$A$2:$F$501,3,FALSE)</f>
        <v>Male</v>
      </c>
      <c r="N1655" t="str">
        <f>VLOOKUP($E1655,Customer_Dim!$A$2:$F$501,5,FALSE)</f>
        <v>USA</v>
      </c>
      <c r="O1655" t="str">
        <f>VLOOKUP($E1655,Customer_Dim!$A$2:$F$501,6,FALSE)</f>
        <v>Bronze</v>
      </c>
      <c r="P1655" t="str">
        <f>VLOOKUP($A1655,Store_Dim!$A$2:$F$21,3,FALSE)</f>
        <v>EastPort Josephberg</v>
      </c>
    </row>
    <row r="1656" spans="1:16" hidden="1" x14ac:dyDescent="0.25">
      <c r="A1656" t="s">
        <v>804</v>
      </c>
      <c r="B1656" t="s">
        <v>2751</v>
      </c>
      <c r="C1656" t="s">
        <v>750</v>
      </c>
      <c r="D1656" s="2">
        <v>45345</v>
      </c>
      <c r="E1656" t="s">
        <v>488</v>
      </c>
      <c r="F1656" t="str">
        <f>VLOOKUP($C1656,Product_Dim!$A$2:$D$101,3,FALSE)</f>
        <v>Aguilar, Horton and Lewis</v>
      </c>
      <c r="G1656" t="str">
        <f>VLOOKUP($C1656,Product_Dim!$A$2:$D$101,2,FALSE)</f>
        <v>Home</v>
      </c>
      <c r="H1656">
        <v>2</v>
      </c>
      <c r="I1656">
        <v>152.91</v>
      </c>
      <c r="J1656">
        <v>0.24</v>
      </c>
      <c r="K1656" s="3">
        <v>232.42320000000001</v>
      </c>
      <c r="L1656" t="s">
        <v>854</v>
      </c>
      <c r="M1656" t="str">
        <f>VLOOKUP($E1656,Customer_Dim!$A$2:$F$501,3,FALSE)</f>
        <v>Female</v>
      </c>
      <c r="N1656" t="str">
        <f>VLOOKUP($E1656,Customer_Dim!$A$2:$F$501,5,FALSE)</f>
        <v>USA</v>
      </c>
      <c r="O1656" t="str">
        <f>VLOOKUP($E1656,Customer_Dim!$A$2:$F$501,6,FALSE)</f>
        <v>Platinum</v>
      </c>
      <c r="P1656" t="str">
        <f>VLOOKUP($A1656,Store_Dim!$A$2:$F$21,3,FALSE)</f>
        <v>EastPort Josephberg</v>
      </c>
    </row>
    <row r="1657" spans="1:16" x14ac:dyDescent="0.25">
      <c r="A1657" t="s">
        <v>804</v>
      </c>
      <c r="B1657" t="s">
        <v>1682</v>
      </c>
      <c r="C1657" t="s">
        <v>752</v>
      </c>
      <c r="D1657" s="2">
        <v>45809</v>
      </c>
      <c r="E1657" t="s">
        <v>423</v>
      </c>
      <c r="F1657" t="str">
        <f>VLOOKUP($C1657,Product_Dim!$A$2:$D$101,3,FALSE)</f>
        <v>Olsen-Daniels</v>
      </c>
      <c r="G1657" t="str">
        <f>VLOOKUP($C1657,Product_Dim!$A$2:$D$101,2,FALSE)</f>
        <v>Sports</v>
      </c>
      <c r="H1657">
        <v>1</v>
      </c>
      <c r="I1657">
        <v>539.37</v>
      </c>
      <c r="J1657">
        <v>0.14000000000000001</v>
      </c>
      <c r="K1657" s="3">
        <v>463.85820000000001</v>
      </c>
      <c r="L1657" t="s">
        <v>852</v>
      </c>
      <c r="M1657" t="str">
        <f>VLOOKUP($E1657,Customer_Dim!$A$2:$F$501,3,FALSE)</f>
        <v>Male</v>
      </c>
      <c r="N1657" t="str">
        <f>VLOOKUP($E1657,Customer_Dim!$A$2:$F$501,5,FALSE)</f>
        <v>USA</v>
      </c>
      <c r="O1657" t="str">
        <f>VLOOKUP($E1657,Customer_Dim!$A$2:$F$501,6,FALSE)</f>
        <v>Bronze</v>
      </c>
      <c r="P1657" t="str">
        <f>VLOOKUP($A1657,Store_Dim!$A$2:$F$21,3,FALSE)</f>
        <v>EastPort Josephberg</v>
      </c>
    </row>
    <row r="1658" spans="1:16" x14ac:dyDescent="0.25">
      <c r="A1658" t="s">
        <v>804</v>
      </c>
      <c r="B1658" t="s">
        <v>1810</v>
      </c>
      <c r="C1658" t="s">
        <v>752</v>
      </c>
      <c r="D1658" s="2">
        <v>45486</v>
      </c>
      <c r="E1658" t="s">
        <v>424</v>
      </c>
      <c r="F1658" t="str">
        <f>VLOOKUP($C1658,Product_Dim!$A$2:$D$101,3,FALSE)</f>
        <v>Olsen-Daniels</v>
      </c>
      <c r="G1658" t="str">
        <f>VLOOKUP($C1658,Product_Dim!$A$2:$D$101,2,FALSE)</f>
        <v>Sports</v>
      </c>
      <c r="H1658">
        <v>3</v>
      </c>
      <c r="I1658">
        <v>23.37</v>
      </c>
      <c r="J1658">
        <v>0.15</v>
      </c>
      <c r="K1658" s="3">
        <v>59.593499999999999</v>
      </c>
      <c r="L1658" t="s">
        <v>854</v>
      </c>
      <c r="M1658" t="str">
        <f>VLOOKUP($E1658,Customer_Dim!$A$2:$F$501,3,FALSE)</f>
        <v>Male</v>
      </c>
      <c r="N1658" t="str">
        <f>VLOOKUP($E1658,Customer_Dim!$A$2:$F$501,5,FALSE)</f>
        <v>USA</v>
      </c>
      <c r="O1658" t="str">
        <f>VLOOKUP($E1658,Customer_Dim!$A$2:$F$501,6,FALSE)</f>
        <v>Gold</v>
      </c>
      <c r="P1658" t="str">
        <f>VLOOKUP($A1658,Store_Dim!$A$2:$F$21,3,FALSE)</f>
        <v>EastPort Josephberg</v>
      </c>
    </row>
    <row r="1659" spans="1:16" hidden="1" x14ac:dyDescent="0.25">
      <c r="A1659" t="s">
        <v>804</v>
      </c>
      <c r="B1659" t="s">
        <v>906</v>
      </c>
      <c r="C1659" t="s">
        <v>754</v>
      </c>
      <c r="D1659" s="2">
        <v>45894</v>
      </c>
      <c r="E1659" t="s">
        <v>212</v>
      </c>
      <c r="F1659" t="str">
        <f>VLOOKUP($C1659,Product_Dim!$A$2:$D$101,3,FALSE)</f>
        <v>Taylor-Elliott</v>
      </c>
      <c r="G1659" t="str">
        <f>VLOOKUP($C1659,Product_Dim!$A$2:$D$101,2,FALSE)</f>
        <v>Beauty</v>
      </c>
      <c r="H1659">
        <v>3</v>
      </c>
      <c r="I1659" s="3">
        <f>K1659/H1659-J1659</f>
        <v>162.02110000000002</v>
      </c>
      <c r="J1659">
        <v>0</v>
      </c>
      <c r="K1659" s="3">
        <v>486.06330000000003</v>
      </c>
      <c r="L1659" t="s">
        <v>852</v>
      </c>
      <c r="M1659" t="str">
        <f>VLOOKUP($E1659,Customer_Dim!$A$2:$F$501,3,FALSE)</f>
        <v>Female</v>
      </c>
      <c r="N1659" t="str">
        <f>VLOOKUP($E1659,Customer_Dim!$A$2:$F$501,5,FALSE)</f>
        <v>USA</v>
      </c>
      <c r="O1659" t="str">
        <f>VLOOKUP($E1659,Customer_Dim!$A$2:$F$501,6,FALSE)</f>
        <v>Bronze</v>
      </c>
      <c r="P1659" t="str">
        <f>VLOOKUP($A1659,Store_Dim!$A$2:$F$21,3,FALSE)</f>
        <v>EastPort Josephberg</v>
      </c>
    </row>
    <row r="1660" spans="1:16" x14ac:dyDescent="0.25">
      <c r="A1660" t="s">
        <v>804</v>
      </c>
      <c r="B1660" t="s">
        <v>1989</v>
      </c>
      <c r="C1660" t="s">
        <v>754</v>
      </c>
      <c r="D1660" s="2">
        <v>45722</v>
      </c>
      <c r="E1660" t="s">
        <v>492</v>
      </c>
      <c r="F1660" t="str">
        <f>VLOOKUP($C1660,Product_Dim!$A$2:$D$101,3,FALSE)</f>
        <v>Taylor-Elliott</v>
      </c>
      <c r="G1660" t="str">
        <f>VLOOKUP($C1660,Product_Dim!$A$2:$D$101,2,FALSE)</f>
        <v>Beauty</v>
      </c>
      <c r="H1660">
        <v>4</v>
      </c>
      <c r="I1660">
        <v>630.21</v>
      </c>
      <c r="J1660">
        <v>0.14000000000000001</v>
      </c>
      <c r="K1660" s="3">
        <v>2167.9223999999999</v>
      </c>
      <c r="L1660" t="s">
        <v>857</v>
      </c>
      <c r="M1660" t="str">
        <f>VLOOKUP($E1660,Customer_Dim!$A$2:$F$501,3,FALSE)</f>
        <v>Male</v>
      </c>
      <c r="N1660" t="str">
        <f>VLOOKUP($E1660,Customer_Dim!$A$2:$F$501,5,FALSE)</f>
        <v>USA</v>
      </c>
      <c r="O1660" t="str">
        <f>VLOOKUP($E1660,Customer_Dim!$A$2:$F$501,6,FALSE)</f>
        <v>Bronze</v>
      </c>
      <c r="P1660" t="str">
        <f>VLOOKUP($A1660,Store_Dim!$A$2:$F$21,3,FALSE)</f>
        <v>EastPort Josephberg</v>
      </c>
    </row>
    <row r="1661" spans="1:16" hidden="1" x14ac:dyDescent="0.25">
      <c r="A1661" t="s">
        <v>804</v>
      </c>
      <c r="B1661" t="s">
        <v>2047</v>
      </c>
      <c r="C1661" t="s">
        <v>758</v>
      </c>
      <c r="D1661" s="2">
        <v>45705</v>
      </c>
      <c r="E1661" t="s">
        <v>325</v>
      </c>
      <c r="F1661" t="str">
        <f>VLOOKUP($C1661,Product_Dim!$A$2:$D$101,3,FALSE)</f>
        <v>Smith-Charles</v>
      </c>
      <c r="G1661" t="str">
        <f>VLOOKUP($C1661,Product_Dim!$A$2:$D$101,2,FALSE)</f>
        <v>Clothing</v>
      </c>
      <c r="H1661">
        <v>3</v>
      </c>
      <c r="I1661">
        <v>242.58</v>
      </c>
      <c r="J1661">
        <v>0.25</v>
      </c>
      <c r="K1661" s="3">
        <v>545.80500000000006</v>
      </c>
      <c r="L1661" t="s">
        <v>852</v>
      </c>
      <c r="M1661" t="str">
        <f>VLOOKUP($E1661,Customer_Dim!$A$2:$F$501,3,FALSE)</f>
        <v>Female</v>
      </c>
      <c r="N1661" t="str">
        <f>VLOOKUP($E1661,Customer_Dim!$A$2:$F$501,5,FALSE)</f>
        <v>USA</v>
      </c>
      <c r="O1661" t="str">
        <f>VLOOKUP($E1661,Customer_Dim!$A$2:$F$501,6,FALSE)</f>
        <v>Silver</v>
      </c>
      <c r="P1661" t="str">
        <f>VLOOKUP($A1661,Store_Dim!$A$2:$F$21,3,FALSE)</f>
        <v>EastPort Josephberg</v>
      </c>
    </row>
    <row r="1662" spans="1:16" x14ac:dyDescent="0.25">
      <c r="A1662" t="s">
        <v>804</v>
      </c>
      <c r="B1662" t="s">
        <v>1108</v>
      </c>
      <c r="C1662" t="s">
        <v>760</v>
      </c>
      <c r="D1662" s="2">
        <v>45338</v>
      </c>
      <c r="E1662" t="s">
        <v>139</v>
      </c>
      <c r="F1662" t="str">
        <f>VLOOKUP($C1662,Product_Dim!$A$2:$D$101,3,FALSE)</f>
        <v>Green, Powell and Palmer</v>
      </c>
      <c r="G1662" t="str">
        <f>VLOOKUP($C1662,Product_Dim!$A$2:$D$101,2,FALSE)</f>
        <v>Home</v>
      </c>
      <c r="H1662">
        <v>2</v>
      </c>
      <c r="I1662">
        <v>878.05</v>
      </c>
      <c r="J1662">
        <v>0.11</v>
      </c>
      <c r="K1662" s="3">
        <v>1562.9290000000001</v>
      </c>
      <c r="L1662" t="s">
        <v>854</v>
      </c>
      <c r="M1662" t="str">
        <f>VLOOKUP($E1662,Customer_Dim!$A$2:$F$501,3,FALSE)</f>
        <v>Male</v>
      </c>
      <c r="N1662" t="str">
        <f>VLOOKUP($E1662,Customer_Dim!$A$2:$F$501,5,FALSE)</f>
        <v>USA</v>
      </c>
      <c r="O1662" t="str">
        <f>VLOOKUP($E1662,Customer_Dim!$A$2:$F$501,6,FALSE)</f>
        <v>Bronze</v>
      </c>
      <c r="P1662" t="str">
        <f>VLOOKUP($A1662,Store_Dim!$A$2:$F$21,3,FALSE)</f>
        <v>EastPort Josephberg</v>
      </c>
    </row>
    <row r="1663" spans="1:16" x14ac:dyDescent="0.25">
      <c r="A1663" t="s">
        <v>804</v>
      </c>
      <c r="B1663" t="s">
        <v>1454</v>
      </c>
      <c r="C1663" t="s">
        <v>760</v>
      </c>
      <c r="D1663" s="2">
        <v>45401</v>
      </c>
      <c r="E1663" t="s">
        <v>321</v>
      </c>
      <c r="F1663" t="str">
        <f>VLOOKUP($C1663,Product_Dim!$A$2:$D$101,3,FALSE)</f>
        <v>Green, Powell and Palmer</v>
      </c>
      <c r="G1663" t="str">
        <f>VLOOKUP($C1663,Product_Dim!$A$2:$D$101,2,FALSE)</f>
        <v>Home</v>
      </c>
      <c r="H1663">
        <v>1</v>
      </c>
      <c r="I1663">
        <v>117.37</v>
      </c>
      <c r="J1663">
        <v>0.21</v>
      </c>
      <c r="K1663" s="3">
        <v>92.722300000000004</v>
      </c>
      <c r="L1663" t="s">
        <v>852</v>
      </c>
      <c r="M1663" t="str">
        <f>VLOOKUP($E1663,Customer_Dim!$A$2:$F$501,3,FALSE)</f>
        <v>Male</v>
      </c>
      <c r="N1663" t="str">
        <f>VLOOKUP($E1663,Customer_Dim!$A$2:$F$501,5,FALSE)</f>
        <v>USA</v>
      </c>
      <c r="O1663" t="str">
        <f>VLOOKUP($E1663,Customer_Dim!$A$2:$F$501,6,FALSE)</f>
        <v>Gold</v>
      </c>
      <c r="P1663" t="str">
        <f>VLOOKUP($A1663,Store_Dim!$A$2:$F$21,3,FALSE)</f>
        <v>EastPort Josephberg</v>
      </c>
    </row>
    <row r="1664" spans="1:16" hidden="1" x14ac:dyDescent="0.25">
      <c r="A1664" t="s">
        <v>804</v>
      </c>
      <c r="B1664" t="s">
        <v>2766</v>
      </c>
      <c r="C1664" t="s">
        <v>760</v>
      </c>
      <c r="D1664" s="2">
        <v>45861</v>
      </c>
      <c r="E1664" t="s">
        <v>345</v>
      </c>
      <c r="F1664" t="str">
        <f>VLOOKUP($C1664,Product_Dim!$A$2:$D$101,3,FALSE)</f>
        <v>Green, Powell and Palmer</v>
      </c>
      <c r="G1664" t="str">
        <f>VLOOKUP($C1664,Product_Dim!$A$2:$D$101,2,FALSE)</f>
        <v>Home</v>
      </c>
      <c r="H1664">
        <v>1</v>
      </c>
      <c r="I1664">
        <v>882.03</v>
      </c>
      <c r="J1664">
        <v>0.04</v>
      </c>
      <c r="K1664" s="3">
        <v>846.74879999999996</v>
      </c>
      <c r="L1664" t="s">
        <v>857</v>
      </c>
      <c r="M1664" t="str">
        <f>VLOOKUP($E1664,Customer_Dim!$A$2:$F$501,3,FALSE)</f>
        <v>Female</v>
      </c>
      <c r="N1664" t="str">
        <f>VLOOKUP($E1664,Customer_Dim!$A$2:$F$501,5,FALSE)</f>
        <v>USA</v>
      </c>
      <c r="O1664" t="str">
        <f>VLOOKUP($E1664,Customer_Dim!$A$2:$F$501,6,FALSE)</f>
        <v>Platinum</v>
      </c>
      <c r="P1664" t="str">
        <f>VLOOKUP($A1664,Store_Dim!$A$2:$F$21,3,FALSE)</f>
        <v>EastPort Josephberg</v>
      </c>
    </row>
    <row r="1665" spans="1:16" hidden="1" x14ac:dyDescent="0.25">
      <c r="A1665" t="s">
        <v>804</v>
      </c>
      <c r="B1665" t="s">
        <v>981</v>
      </c>
      <c r="C1665" t="s">
        <v>762</v>
      </c>
      <c r="D1665" s="2">
        <v>45916</v>
      </c>
      <c r="E1665" t="s">
        <v>344</v>
      </c>
      <c r="F1665" t="str">
        <f>VLOOKUP($C1665,Product_Dim!$A$2:$D$101,3,FALSE)</f>
        <v>Martin LLC</v>
      </c>
      <c r="G1665" t="str">
        <f>VLOOKUP($C1665,Product_Dim!$A$2:$D$101,2,FALSE)</f>
        <v>Electronics</v>
      </c>
      <c r="H1665">
        <v>3</v>
      </c>
      <c r="I1665">
        <v>949.19</v>
      </c>
      <c r="J1665">
        <v>0.03</v>
      </c>
      <c r="K1665" s="3">
        <v>2762.1428999999998</v>
      </c>
      <c r="L1665" t="s">
        <v>857</v>
      </c>
      <c r="M1665" t="str">
        <f>VLOOKUP($E1665,Customer_Dim!$A$2:$F$501,3,FALSE)</f>
        <v>Female</v>
      </c>
      <c r="N1665" t="str">
        <f>VLOOKUP($E1665,Customer_Dim!$A$2:$F$501,5,FALSE)</f>
        <v>USA</v>
      </c>
      <c r="O1665" t="str">
        <f>VLOOKUP($E1665,Customer_Dim!$A$2:$F$501,6,FALSE)</f>
        <v>Platinum</v>
      </c>
      <c r="P1665" t="str">
        <f>VLOOKUP($A1665,Store_Dim!$A$2:$F$21,3,FALSE)</f>
        <v>EastPort Josephberg</v>
      </c>
    </row>
    <row r="1666" spans="1:16" hidden="1" x14ac:dyDescent="0.25">
      <c r="A1666" t="s">
        <v>804</v>
      </c>
      <c r="B1666" t="s">
        <v>1089</v>
      </c>
      <c r="C1666" t="s">
        <v>764</v>
      </c>
      <c r="D1666" s="2">
        <v>45671</v>
      </c>
      <c r="E1666" t="s">
        <v>30</v>
      </c>
      <c r="F1666" t="str">
        <f>VLOOKUP($C1666,Product_Dim!$A$2:$D$101,3,FALSE)</f>
        <v>Hoffman-Williams</v>
      </c>
      <c r="G1666" t="str">
        <f>VLOOKUP($C1666,Product_Dim!$A$2:$D$101,2,FALSE)</f>
        <v>Beauty</v>
      </c>
      <c r="H1666">
        <v>1</v>
      </c>
      <c r="I1666">
        <v>946.9</v>
      </c>
      <c r="J1666">
        <v>0.28999999999999998</v>
      </c>
      <c r="K1666" s="3">
        <v>672.29899999999998</v>
      </c>
      <c r="L1666" t="s">
        <v>857</v>
      </c>
      <c r="M1666" t="str">
        <f>VLOOKUP($E1666,Customer_Dim!$A$2:$F$501,3,FALSE)</f>
        <v>Female</v>
      </c>
      <c r="N1666" t="str">
        <f>VLOOKUP($E1666,Customer_Dim!$A$2:$F$501,5,FALSE)</f>
        <v>USA</v>
      </c>
      <c r="O1666" t="str">
        <f>VLOOKUP($E1666,Customer_Dim!$A$2:$F$501,6,FALSE)</f>
        <v>Gold</v>
      </c>
      <c r="P1666" t="str">
        <f>VLOOKUP($A1666,Store_Dim!$A$2:$F$21,3,FALSE)</f>
        <v>EastPort Josephberg</v>
      </c>
    </row>
    <row r="1667" spans="1:16" hidden="1" x14ac:dyDescent="0.25">
      <c r="A1667" t="s">
        <v>804</v>
      </c>
      <c r="B1667" t="s">
        <v>2373</v>
      </c>
      <c r="C1667" t="s">
        <v>764</v>
      </c>
      <c r="D1667" s="2">
        <v>45664</v>
      </c>
      <c r="E1667" t="s">
        <v>235</v>
      </c>
      <c r="F1667" t="str">
        <f>VLOOKUP($C1667,Product_Dim!$A$2:$D$101,3,FALSE)</f>
        <v>Hoffman-Williams</v>
      </c>
      <c r="G1667" t="str">
        <f>VLOOKUP($C1667,Product_Dim!$A$2:$D$101,2,FALSE)</f>
        <v>Beauty</v>
      </c>
      <c r="H1667">
        <v>2</v>
      </c>
      <c r="I1667">
        <v>859.74</v>
      </c>
      <c r="J1667">
        <v>0.25</v>
      </c>
      <c r="K1667" s="3">
        <v>1289.6099999999999</v>
      </c>
      <c r="L1667" t="s">
        <v>857</v>
      </c>
      <c r="M1667" t="str">
        <f>VLOOKUP($E1667,Customer_Dim!$A$2:$F$501,3,FALSE)</f>
        <v>Female</v>
      </c>
      <c r="N1667" t="str">
        <f>VLOOKUP($E1667,Customer_Dim!$A$2:$F$501,5,FALSE)</f>
        <v>USA</v>
      </c>
      <c r="O1667" t="str">
        <f>VLOOKUP($E1667,Customer_Dim!$A$2:$F$501,6,FALSE)</f>
        <v>Platinum</v>
      </c>
      <c r="P1667" t="str">
        <f>VLOOKUP($A1667,Store_Dim!$A$2:$F$21,3,FALSE)</f>
        <v>EastPort Josephberg</v>
      </c>
    </row>
    <row r="1668" spans="1:16" x14ac:dyDescent="0.25">
      <c r="A1668" t="s">
        <v>804</v>
      </c>
      <c r="B1668" t="s">
        <v>2648</v>
      </c>
      <c r="C1668" t="s">
        <v>766</v>
      </c>
      <c r="D1668" s="2">
        <v>45402</v>
      </c>
      <c r="E1668" t="s">
        <v>296</v>
      </c>
      <c r="F1668" t="str">
        <f>VLOOKUP($C1668,Product_Dim!$A$2:$D$101,3,FALSE)</f>
        <v>Wilson Group</v>
      </c>
      <c r="G1668" t="str">
        <f>VLOOKUP($C1668,Product_Dim!$A$2:$D$101,2,FALSE)</f>
        <v>Sports</v>
      </c>
      <c r="H1668">
        <v>1</v>
      </c>
      <c r="I1668">
        <v>779.84</v>
      </c>
      <c r="J1668">
        <v>0.28999999999999998</v>
      </c>
      <c r="K1668" s="3">
        <v>553.68640000000005</v>
      </c>
      <c r="L1668" t="s">
        <v>854</v>
      </c>
      <c r="M1668" t="str">
        <f>VLOOKUP($E1668,Customer_Dim!$A$2:$F$501,3,FALSE)</f>
        <v>Male</v>
      </c>
      <c r="N1668" t="str">
        <f>VLOOKUP($E1668,Customer_Dim!$A$2:$F$501,5,FALSE)</f>
        <v>USA</v>
      </c>
      <c r="O1668" t="str">
        <f>VLOOKUP($E1668,Customer_Dim!$A$2:$F$501,6,FALSE)</f>
        <v>Bronze</v>
      </c>
      <c r="P1668" t="str">
        <f>VLOOKUP($A1668,Store_Dim!$A$2:$F$21,3,FALSE)</f>
        <v>EastPort Josephberg</v>
      </c>
    </row>
    <row r="1669" spans="1:16" x14ac:dyDescent="0.25">
      <c r="A1669" t="s">
        <v>804</v>
      </c>
      <c r="B1669" t="s">
        <v>2198</v>
      </c>
      <c r="C1669" t="s">
        <v>770</v>
      </c>
      <c r="D1669" s="2">
        <v>45362</v>
      </c>
      <c r="E1669" t="s">
        <v>365</v>
      </c>
      <c r="F1669" t="str">
        <f>VLOOKUP($C1669,Product_Dim!$A$2:$D$101,3,FALSE)</f>
        <v>Khan LLC</v>
      </c>
      <c r="G1669" t="str">
        <f>VLOOKUP($C1669,Product_Dim!$A$2:$D$101,2,FALSE)</f>
        <v>Sports</v>
      </c>
      <c r="H1669">
        <v>3</v>
      </c>
      <c r="I1669">
        <v>612.53</v>
      </c>
      <c r="J1669">
        <v>0.21</v>
      </c>
      <c r="K1669" s="3">
        <v>1451.6960999999999</v>
      </c>
      <c r="L1669" t="s">
        <v>857</v>
      </c>
      <c r="M1669" t="str">
        <f>VLOOKUP($E1669,Customer_Dim!$A$2:$F$501,3,FALSE)</f>
        <v>Male</v>
      </c>
      <c r="N1669" t="str">
        <f>VLOOKUP($E1669,Customer_Dim!$A$2:$F$501,5,FALSE)</f>
        <v>USA</v>
      </c>
      <c r="O1669" t="str">
        <f>VLOOKUP($E1669,Customer_Dim!$A$2:$F$501,6,FALSE)</f>
        <v>Platinum</v>
      </c>
      <c r="P1669" t="str">
        <f>VLOOKUP($A1669,Store_Dim!$A$2:$F$21,3,FALSE)</f>
        <v>EastPort Josephberg</v>
      </c>
    </row>
    <row r="1670" spans="1:16" hidden="1" x14ac:dyDescent="0.25">
      <c r="A1670" t="s">
        <v>804</v>
      </c>
      <c r="B1670" t="s">
        <v>949</v>
      </c>
      <c r="C1670" t="s">
        <v>774</v>
      </c>
      <c r="D1670" s="2">
        <v>45556</v>
      </c>
      <c r="E1670" t="s">
        <v>388</v>
      </c>
      <c r="F1670" t="str">
        <f>VLOOKUP($C1670,Product_Dim!$A$2:$D$101,3,FALSE)</f>
        <v>Campbell Ltd</v>
      </c>
      <c r="G1670" t="str">
        <f>VLOOKUP($C1670,Product_Dim!$A$2:$D$101,2,FALSE)</f>
        <v>Home</v>
      </c>
      <c r="H1670">
        <v>2</v>
      </c>
      <c r="I1670">
        <v>68.290000000000006</v>
      </c>
      <c r="J1670">
        <v>0.14000000000000001</v>
      </c>
      <c r="K1670" s="3">
        <v>117.4588</v>
      </c>
      <c r="L1670" t="s">
        <v>857</v>
      </c>
      <c r="M1670" t="str">
        <f>VLOOKUP($E1670,Customer_Dim!$A$2:$F$501,3,FALSE)</f>
        <v>Female</v>
      </c>
      <c r="N1670" t="str">
        <f>VLOOKUP($E1670,Customer_Dim!$A$2:$F$501,5,FALSE)</f>
        <v>USA</v>
      </c>
      <c r="O1670" t="str">
        <f>VLOOKUP($E1670,Customer_Dim!$A$2:$F$501,6,FALSE)</f>
        <v>Bronze</v>
      </c>
      <c r="P1670" t="str">
        <f>VLOOKUP($A1670,Store_Dim!$A$2:$F$21,3,FALSE)</f>
        <v>EastPort Josephberg</v>
      </c>
    </row>
    <row r="1671" spans="1:16" hidden="1" x14ac:dyDescent="0.25">
      <c r="A1671" t="s">
        <v>807</v>
      </c>
      <c r="B1671" t="s">
        <v>1368</v>
      </c>
      <c r="C1671" t="s">
        <v>571</v>
      </c>
      <c r="D1671" s="2">
        <v>45312</v>
      </c>
      <c r="E1671" t="s">
        <v>193</v>
      </c>
      <c r="F1671" t="str">
        <f>VLOOKUP($C1671,Product_Dim!$A$2:$D$101,3,FALSE)</f>
        <v>Hunt Inc</v>
      </c>
      <c r="G1671" t="str">
        <f>VLOOKUP($C1671,Product_Dim!$A$2:$D$101,2,FALSE)</f>
        <v>Electronics</v>
      </c>
      <c r="H1671">
        <v>4</v>
      </c>
      <c r="I1671">
        <v>191.65</v>
      </c>
      <c r="J1671">
        <v>0.19</v>
      </c>
      <c r="K1671" s="3">
        <v>620.94600000000003</v>
      </c>
      <c r="L1671" t="s">
        <v>854</v>
      </c>
      <c r="M1671" t="str">
        <f>VLOOKUP($E1671,Customer_Dim!$A$2:$F$501,3,FALSE)</f>
        <v>Female</v>
      </c>
      <c r="N1671" t="str">
        <f>VLOOKUP($E1671,Customer_Dim!$A$2:$F$501,5,FALSE)</f>
        <v>USA</v>
      </c>
      <c r="O1671" t="str">
        <f>VLOOKUP($E1671,Customer_Dim!$A$2:$F$501,6,FALSE)</f>
        <v>Silver</v>
      </c>
      <c r="P1671" t="str">
        <f>VLOOKUP($A1671,Store_Dim!$A$2:$F$21,3,FALSE)</f>
        <v>SouthWilliamsfurt</v>
      </c>
    </row>
    <row r="1672" spans="1:16" hidden="1" x14ac:dyDescent="0.25">
      <c r="A1672" t="s">
        <v>807</v>
      </c>
      <c r="B1672" t="s">
        <v>2549</v>
      </c>
      <c r="C1672" t="s">
        <v>596</v>
      </c>
      <c r="D1672" s="2">
        <v>45850</v>
      </c>
      <c r="E1672" t="s">
        <v>140</v>
      </c>
      <c r="F1672" t="str">
        <f>VLOOKUP($C1672,Product_Dim!$A$2:$D$101,3,FALSE)</f>
        <v>Hamilton Group</v>
      </c>
      <c r="G1672" t="str">
        <f>VLOOKUP($C1672,Product_Dim!$A$2:$D$101,2,FALSE)</f>
        <v>Home</v>
      </c>
      <c r="H1672">
        <v>1</v>
      </c>
      <c r="I1672">
        <v>66.86</v>
      </c>
      <c r="J1672">
        <v>0.22</v>
      </c>
      <c r="K1672" s="3">
        <v>52.150799999999997</v>
      </c>
      <c r="L1672" t="s">
        <v>857</v>
      </c>
      <c r="M1672" t="str">
        <f>VLOOKUP($E1672,Customer_Dim!$A$2:$F$501,3,FALSE)</f>
        <v>Female</v>
      </c>
      <c r="N1672" t="str">
        <f>VLOOKUP($E1672,Customer_Dim!$A$2:$F$501,5,FALSE)</f>
        <v>USA</v>
      </c>
      <c r="O1672" t="str">
        <f>VLOOKUP($E1672,Customer_Dim!$A$2:$F$501,6,FALSE)</f>
        <v>Bronze</v>
      </c>
      <c r="P1672" t="str">
        <f>VLOOKUP($A1672,Store_Dim!$A$2:$F$21,3,FALSE)</f>
        <v>SouthWilliamsfurt</v>
      </c>
    </row>
    <row r="1673" spans="1:16" hidden="1" x14ac:dyDescent="0.25">
      <c r="A1673" t="s">
        <v>807</v>
      </c>
      <c r="B1673" t="s">
        <v>2077</v>
      </c>
      <c r="C1673" t="s">
        <v>596</v>
      </c>
      <c r="D1673" s="2">
        <v>45416</v>
      </c>
      <c r="E1673" t="s">
        <v>224</v>
      </c>
      <c r="F1673" t="str">
        <f>VLOOKUP($C1673,Product_Dim!$A$2:$D$101,3,FALSE)</f>
        <v>Hamilton Group</v>
      </c>
      <c r="G1673" t="str">
        <f>VLOOKUP($C1673,Product_Dim!$A$2:$D$101,2,FALSE)</f>
        <v>Home</v>
      </c>
      <c r="H1673">
        <v>1</v>
      </c>
      <c r="I1673">
        <v>457.33</v>
      </c>
      <c r="J1673">
        <v>0.27</v>
      </c>
      <c r="K1673" s="3">
        <v>333.85090000000002</v>
      </c>
      <c r="L1673" t="s">
        <v>852</v>
      </c>
      <c r="M1673" t="str">
        <f>VLOOKUP($E1673,Customer_Dim!$A$2:$F$501,3,FALSE)</f>
        <v>Female</v>
      </c>
      <c r="N1673" t="str">
        <f>VLOOKUP($E1673,Customer_Dim!$A$2:$F$501,5,FALSE)</f>
        <v>USA</v>
      </c>
      <c r="O1673" t="str">
        <f>VLOOKUP($E1673,Customer_Dim!$A$2:$F$501,6,FALSE)</f>
        <v>Platinum</v>
      </c>
      <c r="P1673" t="str">
        <f>VLOOKUP($A1673,Store_Dim!$A$2:$F$21,3,FALSE)</f>
        <v>SouthWilliamsfurt</v>
      </c>
    </row>
    <row r="1674" spans="1:16" x14ac:dyDescent="0.25">
      <c r="A1674" t="s">
        <v>807</v>
      </c>
      <c r="B1674" t="s">
        <v>2303</v>
      </c>
      <c r="C1674" t="s">
        <v>596</v>
      </c>
      <c r="D1674" s="2">
        <v>45494</v>
      </c>
      <c r="E1674" t="s">
        <v>287</v>
      </c>
      <c r="F1674" t="str">
        <f>VLOOKUP($C1674,Product_Dim!$A$2:$D$101,3,FALSE)</f>
        <v>Hamilton Group</v>
      </c>
      <c r="G1674" t="str">
        <f>VLOOKUP($C1674,Product_Dim!$A$2:$D$101,2,FALSE)</f>
        <v>Home</v>
      </c>
      <c r="H1674">
        <v>2</v>
      </c>
      <c r="I1674">
        <v>164.23</v>
      </c>
      <c r="J1674">
        <v>0.17</v>
      </c>
      <c r="K1674" s="3">
        <v>272.62180000000001</v>
      </c>
      <c r="L1674" t="s">
        <v>852</v>
      </c>
      <c r="M1674" t="str">
        <f>VLOOKUP($E1674,Customer_Dim!$A$2:$F$501,3,FALSE)</f>
        <v>Male</v>
      </c>
      <c r="N1674" t="str">
        <f>VLOOKUP($E1674,Customer_Dim!$A$2:$F$501,5,FALSE)</f>
        <v>USA</v>
      </c>
      <c r="O1674" t="str">
        <f>VLOOKUP($E1674,Customer_Dim!$A$2:$F$501,6,FALSE)</f>
        <v>Platinum</v>
      </c>
      <c r="P1674" t="str">
        <f>VLOOKUP($A1674,Store_Dim!$A$2:$F$21,3,FALSE)</f>
        <v>SouthWilliamsfurt</v>
      </c>
    </row>
    <row r="1675" spans="1:16" hidden="1" x14ac:dyDescent="0.25">
      <c r="A1675" t="s">
        <v>807</v>
      </c>
      <c r="B1675" t="s">
        <v>2633</v>
      </c>
      <c r="C1675" t="s">
        <v>596</v>
      </c>
      <c r="D1675" s="2">
        <v>45863</v>
      </c>
      <c r="E1675" t="s">
        <v>440</v>
      </c>
      <c r="F1675" t="str">
        <f>VLOOKUP($C1675,Product_Dim!$A$2:$D$101,3,FALSE)</f>
        <v>Hamilton Group</v>
      </c>
      <c r="G1675" t="str">
        <f>VLOOKUP($C1675,Product_Dim!$A$2:$D$101,2,FALSE)</f>
        <v>Home</v>
      </c>
      <c r="H1675">
        <v>4</v>
      </c>
      <c r="I1675">
        <v>499.02</v>
      </c>
      <c r="J1675">
        <v>0.06</v>
      </c>
      <c r="K1675" s="3">
        <v>1876.3152</v>
      </c>
      <c r="L1675" t="s">
        <v>852</v>
      </c>
      <c r="M1675" t="str">
        <f>VLOOKUP($E1675,Customer_Dim!$A$2:$F$501,3,FALSE)</f>
        <v>Female</v>
      </c>
      <c r="N1675" t="str">
        <f>VLOOKUP($E1675,Customer_Dim!$A$2:$F$501,5,FALSE)</f>
        <v>USA</v>
      </c>
      <c r="O1675" t="str">
        <f>VLOOKUP($E1675,Customer_Dim!$A$2:$F$501,6,FALSE)</f>
        <v>Gold</v>
      </c>
      <c r="P1675" t="str">
        <f>VLOOKUP($A1675,Store_Dim!$A$2:$F$21,3,FALSE)</f>
        <v>SouthWilliamsfurt</v>
      </c>
    </row>
    <row r="1676" spans="1:16" hidden="1" x14ac:dyDescent="0.25">
      <c r="A1676" t="s">
        <v>807</v>
      </c>
      <c r="B1676" t="s">
        <v>2548</v>
      </c>
      <c r="C1676" t="s">
        <v>598</v>
      </c>
      <c r="D1676" s="2">
        <v>45490</v>
      </c>
      <c r="E1676" t="s">
        <v>500</v>
      </c>
      <c r="F1676" t="str">
        <f>VLOOKUP($C1676,Product_Dim!$A$2:$D$101,3,FALSE)</f>
        <v>Gibson, Hobbs and Weaver</v>
      </c>
      <c r="G1676" t="str">
        <f>VLOOKUP($C1676,Product_Dim!$A$2:$D$101,2,FALSE)</f>
        <v>Electronics</v>
      </c>
      <c r="H1676">
        <v>3</v>
      </c>
      <c r="I1676">
        <v>110.99</v>
      </c>
      <c r="J1676">
        <v>0.21</v>
      </c>
      <c r="K1676" s="3">
        <v>263.04629999999997</v>
      </c>
      <c r="L1676" t="s">
        <v>852</v>
      </c>
      <c r="M1676" t="str">
        <f>VLOOKUP($E1676,Customer_Dim!$A$2:$F$501,3,FALSE)</f>
        <v>Female</v>
      </c>
      <c r="N1676" t="str">
        <f>VLOOKUP($E1676,Customer_Dim!$A$2:$F$501,5,FALSE)</f>
        <v>USA</v>
      </c>
      <c r="O1676" t="str">
        <f>VLOOKUP($E1676,Customer_Dim!$A$2:$F$501,6,FALSE)</f>
        <v>Silver</v>
      </c>
      <c r="P1676" t="str">
        <f>VLOOKUP($A1676,Store_Dim!$A$2:$F$21,3,FALSE)</f>
        <v>SouthWilliamsfurt</v>
      </c>
    </row>
    <row r="1677" spans="1:16" hidden="1" x14ac:dyDescent="0.25">
      <c r="A1677" t="s">
        <v>807</v>
      </c>
      <c r="B1677" t="s">
        <v>2494</v>
      </c>
      <c r="C1677" t="s">
        <v>604</v>
      </c>
      <c r="D1677" s="2">
        <v>45496</v>
      </c>
      <c r="E1677" t="s">
        <v>237</v>
      </c>
      <c r="F1677" t="str">
        <f>VLOOKUP($C1677,Product_Dim!$A$2:$D$101,3,FALSE)</f>
        <v>Luna, Anderson and Bowman</v>
      </c>
      <c r="G1677" t="str">
        <f>VLOOKUP($C1677,Product_Dim!$A$2:$D$101,2,FALSE)</f>
        <v>Home</v>
      </c>
      <c r="H1677">
        <v>2</v>
      </c>
      <c r="I1677">
        <v>44.65</v>
      </c>
      <c r="J1677">
        <v>0.03</v>
      </c>
      <c r="K1677" s="3">
        <v>86.620999999999995</v>
      </c>
      <c r="L1677" t="s">
        <v>854</v>
      </c>
      <c r="M1677" t="str">
        <f>VLOOKUP($E1677,Customer_Dim!$A$2:$F$501,3,FALSE)</f>
        <v>Female</v>
      </c>
      <c r="N1677" t="str">
        <f>VLOOKUP($E1677,Customer_Dim!$A$2:$F$501,5,FALSE)</f>
        <v>usa</v>
      </c>
      <c r="O1677" t="str">
        <f>VLOOKUP($E1677,Customer_Dim!$A$2:$F$501,6,FALSE)</f>
        <v>Platinum</v>
      </c>
      <c r="P1677" t="str">
        <f>VLOOKUP($A1677,Store_Dim!$A$2:$F$21,3,FALSE)</f>
        <v>SouthWilliamsfurt</v>
      </c>
    </row>
    <row r="1678" spans="1:16" hidden="1" x14ac:dyDescent="0.25">
      <c r="A1678" t="s">
        <v>807</v>
      </c>
      <c r="B1678" t="s">
        <v>859</v>
      </c>
      <c r="C1678" t="s">
        <v>606</v>
      </c>
      <c r="D1678" s="2">
        <v>45499</v>
      </c>
      <c r="E1678" t="s">
        <v>179</v>
      </c>
      <c r="F1678" t="str">
        <f>VLOOKUP($C1678,Product_Dim!$A$2:$D$101,3,FALSE)</f>
        <v>Thomas LLC</v>
      </c>
      <c r="G1678" t="str">
        <f>VLOOKUP($C1678,Product_Dim!$A$2:$D$101,2,FALSE)</f>
        <v>Electronics</v>
      </c>
      <c r="H1678">
        <v>3</v>
      </c>
      <c r="I1678">
        <v>147.01</v>
      </c>
      <c r="J1678">
        <v>0.19</v>
      </c>
      <c r="K1678" s="3">
        <v>357.23430000000002</v>
      </c>
      <c r="L1678" t="s">
        <v>857</v>
      </c>
      <c r="M1678" t="str">
        <f>VLOOKUP($E1678,Customer_Dim!$A$2:$F$501,3,FALSE)</f>
        <v>Female</v>
      </c>
      <c r="N1678" t="str">
        <f>VLOOKUP($E1678,Customer_Dim!$A$2:$F$501,5,FALSE)</f>
        <v>USA</v>
      </c>
      <c r="O1678" t="str">
        <f>VLOOKUP($E1678,Customer_Dim!$A$2:$F$501,6,FALSE)</f>
        <v>Platinum</v>
      </c>
      <c r="P1678" t="str">
        <f>VLOOKUP($A1678,Store_Dim!$A$2:$F$21,3,FALSE)</f>
        <v>SouthWilliamsfurt</v>
      </c>
    </row>
    <row r="1679" spans="1:16" hidden="1" x14ac:dyDescent="0.25">
      <c r="A1679" t="s">
        <v>807</v>
      </c>
      <c r="B1679" t="s">
        <v>2479</v>
      </c>
      <c r="C1679" t="s">
        <v>606</v>
      </c>
      <c r="D1679" s="2">
        <v>45569</v>
      </c>
      <c r="E1679" t="s">
        <v>315</v>
      </c>
      <c r="F1679" t="str">
        <f>VLOOKUP($C1679,Product_Dim!$A$2:$D$101,3,FALSE)</f>
        <v>Thomas LLC</v>
      </c>
      <c r="G1679" t="str">
        <f>VLOOKUP($C1679,Product_Dim!$A$2:$D$101,2,FALSE)</f>
        <v>Electronics</v>
      </c>
      <c r="H1679">
        <v>3</v>
      </c>
      <c r="I1679">
        <v>326.66000000000003</v>
      </c>
      <c r="J1679">
        <v>0.28000000000000003</v>
      </c>
      <c r="K1679" s="3">
        <v>705.5856</v>
      </c>
      <c r="L1679" t="s">
        <v>857</v>
      </c>
      <c r="M1679" t="str">
        <f>VLOOKUP($E1679,Customer_Dim!$A$2:$F$501,3,FALSE)</f>
        <v>Female</v>
      </c>
      <c r="N1679" t="str">
        <f>VLOOKUP($E1679,Customer_Dim!$A$2:$F$501,5,FALSE)</f>
        <v>USA</v>
      </c>
      <c r="O1679" t="str">
        <f>VLOOKUP($E1679,Customer_Dim!$A$2:$F$501,6,FALSE)</f>
        <v>Gold</v>
      </c>
      <c r="P1679" t="str">
        <f>VLOOKUP($A1679,Store_Dim!$A$2:$F$21,3,FALSE)</f>
        <v>SouthWilliamsfurt</v>
      </c>
    </row>
    <row r="1680" spans="1:16" x14ac:dyDescent="0.25">
      <c r="A1680" t="s">
        <v>807</v>
      </c>
      <c r="B1680" t="s">
        <v>2472</v>
      </c>
      <c r="C1680" t="s">
        <v>606</v>
      </c>
      <c r="D1680" s="2">
        <v>45375</v>
      </c>
      <c r="E1680" t="s">
        <v>421</v>
      </c>
      <c r="F1680" t="str">
        <f>VLOOKUP($C1680,Product_Dim!$A$2:$D$101,3,FALSE)</f>
        <v>Thomas LLC</v>
      </c>
      <c r="G1680" t="str">
        <f>VLOOKUP($C1680,Product_Dim!$A$2:$D$101,2,FALSE)</f>
        <v>Electronics</v>
      </c>
      <c r="H1680">
        <v>1</v>
      </c>
      <c r="I1680">
        <v>977.02</v>
      </c>
      <c r="J1680">
        <v>0.2</v>
      </c>
      <c r="K1680" s="3">
        <v>781.61599999999999</v>
      </c>
      <c r="L1680" t="s">
        <v>857</v>
      </c>
      <c r="M1680" t="str">
        <f>VLOOKUP($E1680,Customer_Dim!$A$2:$F$501,3,FALSE)</f>
        <v>Male</v>
      </c>
      <c r="N1680" t="str">
        <f>VLOOKUP($E1680,Customer_Dim!$A$2:$F$501,5,FALSE)</f>
        <v>USA</v>
      </c>
      <c r="O1680" t="str">
        <f>VLOOKUP($E1680,Customer_Dim!$A$2:$F$501,6,FALSE)</f>
        <v>Silver</v>
      </c>
      <c r="P1680" t="str">
        <f>VLOOKUP($A1680,Store_Dim!$A$2:$F$21,3,FALSE)</f>
        <v>SouthWilliamsfurt</v>
      </c>
    </row>
    <row r="1681" spans="1:16" hidden="1" x14ac:dyDescent="0.25">
      <c r="A1681" t="s">
        <v>807</v>
      </c>
      <c r="B1681" t="s">
        <v>912</v>
      </c>
      <c r="C1681" t="s">
        <v>606</v>
      </c>
      <c r="D1681" s="2">
        <v>45633</v>
      </c>
      <c r="E1681" t="s">
        <v>471</v>
      </c>
      <c r="F1681" t="str">
        <f>VLOOKUP($C1681,Product_Dim!$A$2:$D$101,3,FALSE)</f>
        <v>Thomas LLC</v>
      </c>
      <c r="G1681" t="str">
        <f>VLOOKUP($C1681,Product_Dim!$A$2:$D$101,2,FALSE)</f>
        <v>Electronics</v>
      </c>
      <c r="H1681">
        <v>4</v>
      </c>
      <c r="I1681">
        <v>733.42</v>
      </c>
      <c r="J1681">
        <f>K1681/(H1681*I1681)</f>
        <v>0.87</v>
      </c>
      <c r="K1681" s="3">
        <v>2552.3015999999998</v>
      </c>
      <c r="L1681" t="s">
        <v>854</v>
      </c>
      <c r="M1681" t="str">
        <f>VLOOKUP($E1681,Customer_Dim!$A$2:$F$501,3,FALSE)</f>
        <v>Female</v>
      </c>
      <c r="N1681" t="str">
        <f>VLOOKUP($E1681,Customer_Dim!$A$2:$F$501,5,FALSE)</f>
        <v>USA</v>
      </c>
      <c r="O1681" t="str">
        <f>VLOOKUP($E1681,Customer_Dim!$A$2:$F$501,6,FALSE)</f>
        <v>Silver</v>
      </c>
      <c r="P1681" t="str">
        <f>VLOOKUP($A1681,Store_Dim!$A$2:$F$21,3,FALSE)</f>
        <v>SouthWilliamsfurt</v>
      </c>
    </row>
    <row r="1682" spans="1:16" hidden="1" x14ac:dyDescent="0.25">
      <c r="A1682" t="s">
        <v>807</v>
      </c>
      <c r="B1682" t="s">
        <v>1139</v>
      </c>
      <c r="C1682" t="s">
        <v>614</v>
      </c>
      <c r="D1682" s="2">
        <v>45721</v>
      </c>
      <c r="E1682" t="s">
        <v>291</v>
      </c>
      <c r="F1682" t="str">
        <f>VLOOKUP($C1682,Product_Dim!$A$2:$D$101,3,FALSE)</f>
        <v>May-Reese</v>
      </c>
      <c r="G1682" t="str">
        <f>VLOOKUP($C1682,Product_Dim!$A$2:$D$101,2,FALSE)</f>
        <v>Sports</v>
      </c>
      <c r="H1682">
        <v>2</v>
      </c>
      <c r="I1682">
        <v>350.12</v>
      </c>
      <c r="J1682">
        <v>0.21</v>
      </c>
      <c r="K1682" s="3">
        <v>553.18960000000004</v>
      </c>
      <c r="L1682" t="s">
        <v>857</v>
      </c>
      <c r="M1682" t="str">
        <f>VLOOKUP($E1682,Customer_Dim!$A$2:$F$501,3,FALSE)</f>
        <v>Female</v>
      </c>
      <c r="N1682" t="str">
        <f>VLOOKUP($E1682,Customer_Dim!$A$2:$F$501,5,FALSE)</f>
        <v>USA</v>
      </c>
      <c r="O1682" t="str">
        <f>VLOOKUP($E1682,Customer_Dim!$A$2:$F$501,6,FALSE)</f>
        <v>Platinum</v>
      </c>
      <c r="P1682" t="str">
        <f>VLOOKUP($A1682,Store_Dim!$A$2:$F$21,3,FALSE)</f>
        <v>SouthWilliamsfurt</v>
      </c>
    </row>
    <row r="1683" spans="1:16" hidden="1" x14ac:dyDescent="0.25">
      <c r="A1683" t="s">
        <v>807</v>
      </c>
      <c r="B1683" t="s">
        <v>915</v>
      </c>
      <c r="C1683" t="s">
        <v>614</v>
      </c>
      <c r="D1683" s="2">
        <v>45716</v>
      </c>
      <c r="E1683" t="s">
        <v>305</v>
      </c>
      <c r="F1683" t="str">
        <f>VLOOKUP($C1683,Product_Dim!$A$2:$D$101,3,FALSE)</f>
        <v>May-Reese</v>
      </c>
      <c r="G1683" t="str">
        <f>VLOOKUP($C1683,Product_Dim!$A$2:$D$101,2,FALSE)</f>
        <v>Sports</v>
      </c>
      <c r="H1683">
        <v>1</v>
      </c>
      <c r="I1683">
        <v>374.92</v>
      </c>
      <c r="J1683">
        <v>0.18</v>
      </c>
      <c r="K1683" s="3">
        <v>307.43439999999998</v>
      </c>
      <c r="L1683" t="s">
        <v>854</v>
      </c>
      <c r="M1683" t="str">
        <f>VLOOKUP($E1683,Customer_Dim!$A$2:$F$501,3,FALSE)</f>
        <v>Female</v>
      </c>
      <c r="N1683" t="str">
        <f>VLOOKUP($E1683,Customer_Dim!$A$2:$F$501,5,FALSE)</f>
        <v>USA</v>
      </c>
      <c r="O1683" t="str">
        <f>VLOOKUP($E1683,Customer_Dim!$A$2:$F$501,6,FALSE)</f>
        <v>Platinum</v>
      </c>
      <c r="P1683" t="str">
        <f>VLOOKUP($A1683,Store_Dim!$A$2:$F$21,3,FALSE)</f>
        <v>SouthWilliamsfurt</v>
      </c>
    </row>
    <row r="1684" spans="1:16" hidden="1" x14ac:dyDescent="0.25">
      <c r="A1684" t="s">
        <v>807</v>
      </c>
      <c r="B1684" t="s">
        <v>1449</v>
      </c>
      <c r="C1684" t="s">
        <v>616</v>
      </c>
      <c r="D1684" s="2">
        <v>45891</v>
      </c>
      <c r="E1684" t="s">
        <v>237</v>
      </c>
      <c r="F1684" t="str">
        <f>VLOOKUP($C1684,Product_Dim!$A$2:$D$101,3,FALSE)</f>
        <v>Soto-Ellis</v>
      </c>
      <c r="G1684" t="str">
        <f>VLOOKUP($C1684,Product_Dim!$A$2:$D$101,2,FALSE)</f>
        <v>Sports</v>
      </c>
      <c r="H1684">
        <v>4</v>
      </c>
      <c r="I1684">
        <v>894.93</v>
      </c>
      <c r="J1684">
        <v>0.05</v>
      </c>
      <c r="K1684" s="3">
        <v>3400.733999999999</v>
      </c>
      <c r="L1684" t="s">
        <v>857</v>
      </c>
      <c r="M1684" t="str">
        <f>VLOOKUP($E1684,Customer_Dim!$A$2:$F$501,3,FALSE)</f>
        <v>Female</v>
      </c>
      <c r="N1684" t="str">
        <f>VLOOKUP($E1684,Customer_Dim!$A$2:$F$501,5,FALSE)</f>
        <v>usa</v>
      </c>
      <c r="O1684" t="str">
        <f>VLOOKUP($E1684,Customer_Dim!$A$2:$F$501,6,FALSE)</f>
        <v>Platinum</v>
      </c>
      <c r="P1684" t="str">
        <f>VLOOKUP($A1684,Store_Dim!$A$2:$F$21,3,FALSE)</f>
        <v>SouthWilliamsfurt</v>
      </c>
    </row>
    <row r="1685" spans="1:16" hidden="1" x14ac:dyDescent="0.25">
      <c r="A1685" t="s">
        <v>807</v>
      </c>
      <c r="B1685" t="s">
        <v>1028</v>
      </c>
      <c r="C1685" t="s">
        <v>616</v>
      </c>
      <c r="D1685" s="2">
        <v>45267</v>
      </c>
      <c r="E1685" t="s">
        <v>360</v>
      </c>
      <c r="F1685" t="str">
        <f>VLOOKUP($C1685,Product_Dim!$A$2:$D$101,3,FALSE)</f>
        <v>Soto-Ellis</v>
      </c>
      <c r="G1685" t="str">
        <f>VLOOKUP($C1685,Product_Dim!$A$2:$D$101,2,FALSE)</f>
        <v>Sports</v>
      </c>
      <c r="H1685">
        <v>4</v>
      </c>
      <c r="I1685">
        <v>756.28</v>
      </c>
      <c r="J1685">
        <v>0.05</v>
      </c>
      <c r="K1685" s="3">
        <v>2873.864</v>
      </c>
      <c r="L1685" t="s">
        <v>857</v>
      </c>
      <c r="M1685" t="str">
        <f>VLOOKUP($E1685,Customer_Dim!$A$2:$F$501,3,FALSE)</f>
        <v>Female</v>
      </c>
      <c r="N1685" t="str">
        <f>VLOOKUP($E1685,Customer_Dim!$A$2:$F$501,5,FALSE)</f>
        <v>USA</v>
      </c>
      <c r="O1685" t="str">
        <f>VLOOKUP($E1685,Customer_Dim!$A$2:$F$501,6,FALSE)</f>
        <v>Platinum</v>
      </c>
      <c r="P1685" t="str">
        <f>VLOOKUP($A1685,Store_Dim!$A$2:$F$21,3,FALSE)</f>
        <v>SouthWilliamsfurt</v>
      </c>
    </row>
    <row r="1686" spans="1:16" hidden="1" x14ac:dyDescent="0.25">
      <c r="A1686" t="s">
        <v>807</v>
      </c>
      <c r="B1686" t="s">
        <v>2010</v>
      </c>
      <c r="C1686" t="s">
        <v>620</v>
      </c>
      <c r="D1686" s="2">
        <v>45923</v>
      </c>
      <c r="E1686" t="s">
        <v>57</v>
      </c>
      <c r="F1686" t="str">
        <f>VLOOKUP($C1686,Product_Dim!$A$2:$D$101,3,FALSE)</f>
        <v>Flores, Pineda and Rodriguez</v>
      </c>
      <c r="G1686" t="str">
        <f>VLOOKUP($C1686,Product_Dim!$A$2:$D$101,2,FALSE)</f>
        <v>Sports</v>
      </c>
      <c r="H1686">
        <v>3</v>
      </c>
      <c r="I1686">
        <v>235.41</v>
      </c>
      <c r="J1686">
        <v>0.15</v>
      </c>
      <c r="K1686" s="3">
        <v>600.29549999999995</v>
      </c>
      <c r="L1686" t="s">
        <v>854</v>
      </c>
      <c r="M1686" t="str">
        <f>VLOOKUP($E1686,Customer_Dim!$A$2:$F$501,3,FALSE)</f>
        <v>Female</v>
      </c>
      <c r="N1686" t="str">
        <f>VLOOKUP($E1686,Customer_Dim!$A$2:$F$501,5,FALSE)</f>
        <v>USA</v>
      </c>
      <c r="O1686" t="str">
        <f>VLOOKUP($E1686,Customer_Dim!$A$2:$F$501,6,FALSE)</f>
        <v>Silver</v>
      </c>
      <c r="P1686" t="str">
        <f>VLOOKUP($A1686,Store_Dim!$A$2:$F$21,3,FALSE)</f>
        <v>SouthWilliamsfurt</v>
      </c>
    </row>
    <row r="1687" spans="1:16" x14ac:dyDescent="0.25">
      <c r="A1687" t="s">
        <v>807</v>
      </c>
      <c r="B1687" t="s">
        <v>2227</v>
      </c>
      <c r="C1687" t="s">
        <v>622</v>
      </c>
      <c r="D1687" s="2">
        <v>45272</v>
      </c>
      <c r="E1687" t="s">
        <v>320</v>
      </c>
      <c r="F1687" t="str">
        <f>VLOOKUP($C1687,Product_Dim!$A$2:$D$101,3,FALSE)</f>
        <v>Moon, Mora and Santos</v>
      </c>
      <c r="G1687" t="str">
        <f>VLOOKUP($C1687,Product_Dim!$A$2:$D$101,2,FALSE)</f>
        <v>Clothing</v>
      </c>
      <c r="H1687">
        <v>2</v>
      </c>
      <c r="I1687">
        <v>608.46</v>
      </c>
      <c r="J1687">
        <v>0.16</v>
      </c>
      <c r="K1687" s="3">
        <v>1022.2128</v>
      </c>
      <c r="L1687" t="s">
        <v>852</v>
      </c>
      <c r="M1687" t="str">
        <f>VLOOKUP($E1687,Customer_Dim!$A$2:$F$501,3,FALSE)</f>
        <v>Male</v>
      </c>
      <c r="N1687" t="str">
        <f>VLOOKUP($E1687,Customer_Dim!$A$2:$F$501,5,FALSE)</f>
        <v>USA</v>
      </c>
      <c r="O1687" t="str">
        <f>VLOOKUP($E1687,Customer_Dim!$A$2:$F$501,6,FALSE)</f>
        <v>Silver</v>
      </c>
      <c r="P1687" t="str">
        <f>VLOOKUP($A1687,Store_Dim!$A$2:$F$21,3,FALSE)</f>
        <v>SouthWilliamsfurt</v>
      </c>
    </row>
    <row r="1688" spans="1:16" x14ac:dyDescent="0.25">
      <c r="A1688" t="s">
        <v>807</v>
      </c>
      <c r="B1688" t="s">
        <v>1600</v>
      </c>
      <c r="C1688" t="s">
        <v>624</v>
      </c>
      <c r="D1688" s="2">
        <v>45687</v>
      </c>
      <c r="E1688" t="s">
        <v>160</v>
      </c>
      <c r="F1688" t="str">
        <f>VLOOKUP($C1688,Product_Dim!$A$2:$D$101,3,FALSE)</f>
        <v>Cook Ltd</v>
      </c>
      <c r="G1688" t="str">
        <f>VLOOKUP($C1688,Product_Dim!$A$2:$D$101,2,FALSE)</f>
        <v>Sports</v>
      </c>
      <c r="H1688">
        <v>1</v>
      </c>
      <c r="I1688">
        <v>412.11</v>
      </c>
      <c r="J1688">
        <v>0.23</v>
      </c>
      <c r="K1688" s="3">
        <v>317.32470000000001</v>
      </c>
      <c r="L1688" t="s">
        <v>854</v>
      </c>
      <c r="M1688" t="str">
        <f>VLOOKUP($E1688,Customer_Dim!$A$2:$F$501,3,FALSE)</f>
        <v>Male</v>
      </c>
      <c r="N1688" t="str">
        <f>VLOOKUP($E1688,Customer_Dim!$A$2:$F$501,5,FALSE)</f>
        <v>USA</v>
      </c>
      <c r="O1688" t="str">
        <f>VLOOKUP($E1688,Customer_Dim!$A$2:$F$501,6,FALSE)</f>
        <v>Silver</v>
      </c>
      <c r="P1688" t="str">
        <f>VLOOKUP($A1688,Store_Dim!$A$2:$F$21,3,FALSE)</f>
        <v>SouthWilliamsfurt</v>
      </c>
    </row>
    <row r="1689" spans="1:16" x14ac:dyDescent="0.25">
      <c r="A1689" t="s">
        <v>807</v>
      </c>
      <c r="B1689" t="s">
        <v>1132</v>
      </c>
      <c r="C1689" t="s">
        <v>626</v>
      </c>
      <c r="D1689" s="2">
        <v>45798</v>
      </c>
      <c r="E1689" t="s">
        <v>383</v>
      </c>
      <c r="F1689" t="str">
        <f>VLOOKUP($C1689,Product_Dim!$A$2:$D$101,3,FALSE)</f>
        <v>Brown and Sons</v>
      </c>
      <c r="G1689" t="str">
        <f>VLOOKUP($C1689,Product_Dim!$A$2:$D$101,2,FALSE)</f>
        <v>Clothing</v>
      </c>
      <c r="H1689">
        <v>4</v>
      </c>
      <c r="I1689">
        <v>285.82</v>
      </c>
      <c r="J1689">
        <v>0.18</v>
      </c>
      <c r="K1689" s="3">
        <v>937.4896</v>
      </c>
      <c r="L1689" t="s">
        <v>854</v>
      </c>
      <c r="M1689" t="str">
        <f>VLOOKUP($E1689,Customer_Dim!$A$2:$F$501,3,FALSE)</f>
        <v>Male</v>
      </c>
      <c r="N1689" t="str">
        <f>VLOOKUP($E1689,Customer_Dim!$A$2:$F$501,5,FALSE)</f>
        <v>USA</v>
      </c>
      <c r="O1689" t="str">
        <f>VLOOKUP($E1689,Customer_Dim!$A$2:$F$501,6,FALSE)</f>
        <v>Gold</v>
      </c>
      <c r="P1689" t="str">
        <f>VLOOKUP($A1689,Store_Dim!$A$2:$F$21,3,FALSE)</f>
        <v>SouthWilliamsfurt</v>
      </c>
    </row>
    <row r="1690" spans="1:16" x14ac:dyDescent="0.25">
      <c r="A1690" t="s">
        <v>807</v>
      </c>
      <c r="B1690" t="s">
        <v>1502</v>
      </c>
      <c r="C1690" t="s">
        <v>628</v>
      </c>
      <c r="D1690" s="2">
        <v>45259</v>
      </c>
      <c r="E1690" t="s">
        <v>448</v>
      </c>
      <c r="F1690" t="str">
        <f>VLOOKUP($C1690,Product_Dim!$A$2:$D$101,3,FALSE)</f>
        <v>Reed-Schmidt</v>
      </c>
      <c r="G1690" t="str">
        <f>VLOOKUP($C1690,Product_Dim!$A$2:$D$101,2,FALSE)</f>
        <v>Electronics</v>
      </c>
      <c r="H1690">
        <v>1</v>
      </c>
      <c r="I1690">
        <v>566.5</v>
      </c>
      <c r="J1690">
        <v>0.25</v>
      </c>
      <c r="K1690" s="3">
        <v>424.875</v>
      </c>
      <c r="L1690" t="s">
        <v>857</v>
      </c>
      <c r="M1690" t="str">
        <f>VLOOKUP($E1690,Customer_Dim!$A$2:$F$501,3,FALSE)</f>
        <v>Male</v>
      </c>
      <c r="N1690" t="str">
        <f>VLOOKUP($E1690,Customer_Dim!$A$2:$F$501,5,FALSE)</f>
        <v>USA</v>
      </c>
      <c r="O1690" t="str">
        <f>VLOOKUP($E1690,Customer_Dim!$A$2:$F$501,6,FALSE)</f>
        <v>Silver</v>
      </c>
      <c r="P1690" t="str">
        <f>VLOOKUP($A1690,Store_Dim!$A$2:$F$21,3,FALSE)</f>
        <v>SouthWilliamsfurt</v>
      </c>
    </row>
    <row r="1691" spans="1:16" hidden="1" x14ac:dyDescent="0.25">
      <c r="A1691" t="s">
        <v>807</v>
      </c>
      <c r="B1691" t="s">
        <v>1190</v>
      </c>
      <c r="C1691" t="s">
        <v>632</v>
      </c>
      <c r="D1691" s="2">
        <v>45519</v>
      </c>
      <c r="E1691" t="s">
        <v>73</v>
      </c>
      <c r="F1691" t="str">
        <f>VLOOKUP($C1691,Product_Dim!$A$2:$D$101,3,FALSE)</f>
        <v>Burns-Hansen</v>
      </c>
      <c r="G1691" t="str">
        <f>VLOOKUP($C1691,Product_Dim!$A$2:$D$101,2,FALSE)</f>
        <v>Sports</v>
      </c>
      <c r="H1691">
        <v>3</v>
      </c>
      <c r="I1691">
        <v>884.92</v>
      </c>
      <c r="J1691">
        <v>0.06</v>
      </c>
      <c r="K1691" s="3">
        <v>2495.4744000000001</v>
      </c>
      <c r="L1691" t="s">
        <v>854</v>
      </c>
      <c r="M1691" t="str">
        <f>VLOOKUP($E1691,Customer_Dim!$A$2:$F$501,3,FALSE)</f>
        <v>Female</v>
      </c>
      <c r="N1691" t="str">
        <f>VLOOKUP($E1691,Customer_Dim!$A$2:$F$501,5,FALSE)</f>
        <v>USA</v>
      </c>
      <c r="O1691" t="str">
        <f>VLOOKUP($E1691,Customer_Dim!$A$2:$F$501,6,FALSE)</f>
        <v>Platinum</v>
      </c>
      <c r="P1691" t="str">
        <f>VLOOKUP($A1691,Store_Dim!$A$2:$F$21,3,FALSE)</f>
        <v>SouthWilliamsfurt</v>
      </c>
    </row>
    <row r="1692" spans="1:16" hidden="1" x14ac:dyDescent="0.25">
      <c r="A1692" t="s">
        <v>807</v>
      </c>
      <c r="B1692" t="s">
        <v>2126</v>
      </c>
      <c r="C1692" t="s">
        <v>634</v>
      </c>
      <c r="D1692" s="2">
        <v>45876</v>
      </c>
      <c r="E1692" t="s">
        <v>479</v>
      </c>
      <c r="F1692" t="str">
        <f>VLOOKUP($C1692,Product_Dim!$A$2:$D$101,3,FALSE)</f>
        <v>Hoffman Group</v>
      </c>
      <c r="G1692" t="str">
        <f>VLOOKUP($C1692,Product_Dim!$A$2:$D$101,2,FALSE)</f>
        <v>Home</v>
      </c>
      <c r="H1692">
        <v>3</v>
      </c>
      <c r="I1692">
        <v>310.36</v>
      </c>
      <c r="J1692">
        <v>0.14000000000000001</v>
      </c>
      <c r="K1692" s="3">
        <v>800.72879999999998</v>
      </c>
      <c r="L1692" t="s">
        <v>857</v>
      </c>
      <c r="M1692" t="str">
        <f>VLOOKUP($E1692,Customer_Dim!$A$2:$F$501,3,FALSE)</f>
        <v>Female</v>
      </c>
      <c r="N1692" t="str">
        <f>VLOOKUP($E1692,Customer_Dim!$A$2:$F$501,5,FALSE)</f>
        <v>USA</v>
      </c>
      <c r="O1692" t="str">
        <f>VLOOKUP($E1692,Customer_Dim!$A$2:$F$501,6,FALSE)</f>
        <v>Gold</v>
      </c>
      <c r="P1692" t="str">
        <f>VLOOKUP($A1692,Store_Dim!$A$2:$F$21,3,FALSE)</f>
        <v>SouthWilliamsfurt</v>
      </c>
    </row>
    <row r="1693" spans="1:16" x14ac:dyDescent="0.25">
      <c r="A1693" t="s">
        <v>807</v>
      </c>
      <c r="B1693" t="s">
        <v>2732</v>
      </c>
      <c r="C1693" t="s">
        <v>579</v>
      </c>
      <c r="D1693" s="2">
        <v>45584</v>
      </c>
      <c r="E1693" t="s">
        <v>170</v>
      </c>
      <c r="F1693" t="str">
        <f>VLOOKUP($C1693,Product_Dim!$A$2:$D$101,3,FALSE)</f>
        <v>Pineda Ltd</v>
      </c>
      <c r="G1693" t="str">
        <f>VLOOKUP($C1693,Product_Dim!$A$2:$D$101,2,FALSE)</f>
        <v>Clothing</v>
      </c>
      <c r="H1693">
        <v>3</v>
      </c>
      <c r="I1693">
        <v>604.66</v>
      </c>
      <c r="J1693">
        <v>0.18</v>
      </c>
      <c r="K1693" s="3">
        <v>1487.4636</v>
      </c>
      <c r="L1693" t="s">
        <v>857</v>
      </c>
      <c r="M1693" t="str">
        <f>VLOOKUP($E1693,Customer_Dim!$A$2:$F$501,3,FALSE)</f>
        <v>Male</v>
      </c>
      <c r="N1693" t="str">
        <f>VLOOKUP($E1693,Customer_Dim!$A$2:$F$501,5,FALSE)</f>
        <v>USA</v>
      </c>
      <c r="O1693" t="str">
        <f>VLOOKUP($E1693,Customer_Dim!$A$2:$F$501,6,FALSE)</f>
        <v>Bronze</v>
      </c>
      <c r="P1693" t="str">
        <f>VLOOKUP($A1693,Store_Dim!$A$2:$F$21,3,FALSE)</f>
        <v>SouthWilliamsfurt</v>
      </c>
    </row>
    <row r="1694" spans="1:16" hidden="1" x14ac:dyDescent="0.25">
      <c r="A1694" t="s">
        <v>807</v>
      </c>
      <c r="B1694" t="s">
        <v>2544</v>
      </c>
      <c r="C1694" t="s">
        <v>636</v>
      </c>
      <c r="D1694" s="2">
        <v>45445</v>
      </c>
      <c r="E1694" t="s">
        <v>125</v>
      </c>
      <c r="F1694" t="str">
        <f>VLOOKUP($C1694,Product_Dim!$A$2:$D$101,3,FALSE)</f>
        <v>Stevens, Fernandez and Martin</v>
      </c>
      <c r="G1694" t="str">
        <f>VLOOKUP($C1694,Product_Dim!$A$2:$D$101,2,FALSE)</f>
        <v>Home</v>
      </c>
      <c r="H1694">
        <v>1</v>
      </c>
      <c r="I1694">
        <v>637.39</v>
      </c>
      <c r="J1694">
        <v>0.22</v>
      </c>
      <c r="K1694" s="3">
        <v>497.16419999999999</v>
      </c>
      <c r="L1694" t="s">
        <v>854</v>
      </c>
      <c r="M1694" t="str">
        <f>VLOOKUP($E1694,Customer_Dim!$A$2:$F$501,3,FALSE)</f>
        <v>Female</v>
      </c>
      <c r="N1694" t="str">
        <f>VLOOKUP($E1694,Customer_Dim!$A$2:$F$501,5,FALSE)</f>
        <v>USA</v>
      </c>
      <c r="O1694" t="str">
        <f>VLOOKUP($E1694,Customer_Dim!$A$2:$F$501,6,FALSE)</f>
        <v>Gold</v>
      </c>
      <c r="P1694" t="str">
        <f>VLOOKUP($A1694,Store_Dim!$A$2:$F$21,3,FALSE)</f>
        <v>SouthWilliamsfurt</v>
      </c>
    </row>
    <row r="1695" spans="1:16" x14ac:dyDescent="0.25">
      <c r="A1695" t="s">
        <v>807</v>
      </c>
      <c r="B1695" t="s">
        <v>1917</v>
      </c>
      <c r="C1695" t="s">
        <v>644</v>
      </c>
      <c r="D1695" s="2">
        <v>45704</v>
      </c>
      <c r="E1695" t="s">
        <v>287</v>
      </c>
      <c r="F1695" t="str">
        <f>VLOOKUP($C1695,Product_Dim!$A$2:$D$101,3,FALSE)</f>
        <v>Lucero LLC</v>
      </c>
      <c r="G1695" t="str">
        <f>VLOOKUP($C1695,Product_Dim!$A$2:$D$101,2,FALSE)</f>
        <v>Electronics</v>
      </c>
      <c r="H1695">
        <v>4</v>
      </c>
      <c r="I1695">
        <v>36.72</v>
      </c>
      <c r="J1695">
        <v>7.0000000000000007E-2</v>
      </c>
      <c r="K1695" s="3">
        <v>136.5984</v>
      </c>
      <c r="L1695" t="s">
        <v>857</v>
      </c>
      <c r="M1695" t="str">
        <f>VLOOKUP($E1695,Customer_Dim!$A$2:$F$501,3,FALSE)</f>
        <v>Male</v>
      </c>
      <c r="N1695" t="str">
        <f>VLOOKUP($E1695,Customer_Dim!$A$2:$F$501,5,FALSE)</f>
        <v>USA</v>
      </c>
      <c r="O1695" t="str">
        <f>VLOOKUP($E1695,Customer_Dim!$A$2:$F$501,6,FALSE)</f>
        <v>Platinum</v>
      </c>
      <c r="P1695" t="str">
        <f>VLOOKUP($A1695,Store_Dim!$A$2:$F$21,3,FALSE)</f>
        <v>SouthWilliamsfurt</v>
      </c>
    </row>
    <row r="1696" spans="1:16" hidden="1" x14ac:dyDescent="0.25">
      <c r="A1696" t="s">
        <v>807</v>
      </c>
      <c r="B1696" t="s">
        <v>2022</v>
      </c>
      <c r="C1696" t="s">
        <v>644</v>
      </c>
      <c r="D1696" s="2">
        <v>45346</v>
      </c>
      <c r="E1696" t="s">
        <v>297</v>
      </c>
      <c r="F1696" t="str">
        <f>VLOOKUP($C1696,Product_Dim!$A$2:$D$101,3,FALSE)</f>
        <v>Lucero LLC</v>
      </c>
      <c r="G1696" t="str">
        <f>VLOOKUP($C1696,Product_Dim!$A$2:$D$101,2,FALSE)</f>
        <v>Electronics</v>
      </c>
      <c r="H1696">
        <v>1</v>
      </c>
      <c r="I1696">
        <v>168.29</v>
      </c>
      <c r="J1696">
        <v>0.05</v>
      </c>
      <c r="K1696" s="3">
        <v>159.87549999999999</v>
      </c>
      <c r="L1696" t="s">
        <v>854</v>
      </c>
      <c r="M1696" t="str">
        <f>VLOOKUP($E1696,Customer_Dim!$A$2:$F$501,3,FALSE)</f>
        <v>Female</v>
      </c>
      <c r="N1696" t="str">
        <f>VLOOKUP($E1696,Customer_Dim!$A$2:$F$501,5,FALSE)</f>
        <v>USA</v>
      </c>
      <c r="O1696" t="str">
        <f>VLOOKUP($E1696,Customer_Dim!$A$2:$F$501,6,FALSE)</f>
        <v>Bronze</v>
      </c>
      <c r="P1696" t="str">
        <f>VLOOKUP($A1696,Store_Dim!$A$2:$F$21,3,FALSE)</f>
        <v>SouthWilliamsfurt</v>
      </c>
    </row>
    <row r="1697" spans="1:16" x14ac:dyDescent="0.25">
      <c r="A1697" t="s">
        <v>807</v>
      </c>
      <c r="B1697" t="s">
        <v>2223</v>
      </c>
      <c r="C1697" t="s">
        <v>646</v>
      </c>
      <c r="D1697" s="2">
        <v>45798</v>
      </c>
      <c r="E1697" t="s">
        <v>24</v>
      </c>
      <c r="F1697" t="str">
        <f>VLOOKUP($C1697,Product_Dim!$A$2:$D$101,3,FALSE)</f>
        <v>Jones LLC</v>
      </c>
      <c r="G1697" t="str">
        <f>VLOOKUP($C1697,Product_Dim!$A$2:$D$101,2,FALSE)</f>
        <v>Home</v>
      </c>
      <c r="H1697">
        <v>4</v>
      </c>
      <c r="I1697">
        <v>185.67</v>
      </c>
      <c r="J1697">
        <v>0.21</v>
      </c>
      <c r="K1697" s="3">
        <v>586.71719999999993</v>
      </c>
      <c r="L1697" t="s">
        <v>854</v>
      </c>
      <c r="M1697" t="str">
        <f>VLOOKUP($E1697,Customer_Dim!$A$2:$F$501,3,FALSE)</f>
        <v>Male</v>
      </c>
      <c r="N1697" t="str">
        <f>VLOOKUP($E1697,Customer_Dim!$A$2:$F$501,5,FALSE)</f>
        <v>USA</v>
      </c>
      <c r="O1697" t="str">
        <f>VLOOKUP($E1697,Customer_Dim!$A$2:$F$501,6,FALSE)</f>
        <v>Bronze</v>
      </c>
      <c r="P1697" t="str">
        <f>VLOOKUP($A1697,Store_Dim!$A$2:$F$21,3,FALSE)</f>
        <v>SouthWilliamsfurt</v>
      </c>
    </row>
    <row r="1698" spans="1:16" x14ac:dyDescent="0.25">
      <c r="A1698" t="s">
        <v>807</v>
      </c>
      <c r="B1698" t="s">
        <v>2664</v>
      </c>
      <c r="C1698" t="s">
        <v>646</v>
      </c>
      <c r="D1698" s="2">
        <v>45520</v>
      </c>
      <c r="E1698" t="s">
        <v>373</v>
      </c>
      <c r="F1698" t="str">
        <f>VLOOKUP($C1698,Product_Dim!$A$2:$D$101,3,FALSE)</f>
        <v>Jones LLC</v>
      </c>
      <c r="G1698" t="str">
        <f>VLOOKUP($C1698,Product_Dim!$A$2:$D$101,2,FALSE)</f>
        <v>Home</v>
      </c>
      <c r="H1698">
        <v>1</v>
      </c>
      <c r="I1698">
        <v>617.4</v>
      </c>
      <c r="J1698">
        <v>0.21</v>
      </c>
      <c r="K1698" s="3">
        <v>487.74599999999998</v>
      </c>
      <c r="L1698" t="s">
        <v>852</v>
      </c>
      <c r="M1698" t="str">
        <f>VLOOKUP($E1698,Customer_Dim!$A$2:$F$501,3,FALSE)</f>
        <v>Male</v>
      </c>
      <c r="N1698" t="str">
        <f>VLOOKUP($E1698,Customer_Dim!$A$2:$F$501,5,FALSE)</f>
        <v>USA</v>
      </c>
      <c r="O1698" t="str">
        <f>VLOOKUP($E1698,Customer_Dim!$A$2:$F$501,6,FALSE)</f>
        <v>Platinum</v>
      </c>
      <c r="P1698" t="str">
        <f>VLOOKUP($A1698,Store_Dim!$A$2:$F$21,3,FALSE)</f>
        <v>SouthWilliamsfurt</v>
      </c>
    </row>
    <row r="1699" spans="1:16" x14ac:dyDescent="0.25">
      <c r="A1699" t="s">
        <v>807</v>
      </c>
      <c r="B1699" t="s">
        <v>2835</v>
      </c>
      <c r="C1699" t="s">
        <v>648</v>
      </c>
      <c r="D1699" s="2">
        <v>45648</v>
      </c>
      <c r="E1699" t="s">
        <v>330</v>
      </c>
      <c r="F1699" t="str">
        <f>VLOOKUP($C1699,Product_Dim!$A$2:$D$101,3,FALSE)</f>
        <v>Smith-Mills</v>
      </c>
      <c r="G1699" t="str">
        <f>VLOOKUP($C1699,Product_Dim!$A$2:$D$101,2,FALSE)</f>
        <v>Clothing</v>
      </c>
      <c r="H1699">
        <v>1</v>
      </c>
      <c r="I1699">
        <v>377.52</v>
      </c>
      <c r="J1699">
        <v>0.15</v>
      </c>
      <c r="K1699" s="3">
        <v>320.892</v>
      </c>
      <c r="L1699" t="s">
        <v>852</v>
      </c>
      <c r="M1699" t="str">
        <f>VLOOKUP($E1699,Customer_Dim!$A$2:$F$501,3,FALSE)</f>
        <v>Male</v>
      </c>
      <c r="N1699" t="str">
        <f>VLOOKUP($E1699,Customer_Dim!$A$2:$F$501,5,FALSE)</f>
        <v>USA</v>
      </c>
      <c r="O1699" t="str">
        <f>VLOOKUP($E1699,Customer_Dim!$A$2:$F$501,6,FALSE)</f>
        <v>Gold</v>
      </c>
      <c r="P1699" t="str">
        <f>VLOOKUP($A1699,Store_Dim!$A$2:$F$21,3,FALSE)</f>
        <v>SouthWilliamsfurt</v>
      </c>
    </row>
    <row r="1700" spans="1:16" hidden="1" x14ac:dyDescent="0.25">
      <c r="A1700" t="s">
        <v>807</v>
      </c>
      <c r="B1700" t="s">
        <v>2036</v>
      </c>
      <c r="C1700" t="s">
        <v>648</v>
      </c>
      <c r="D1700" s="2">
        <v>45321</v>
      </c>
      <c r="E1700" t="s">
        <v>520</v>
      </c>
      <c r="F1700" t="str">
        <f>VLOOKUP($C1700,Product_Dim!$A$2:$D$101,3,FALSE)</f>
        <v>Smith-Mills</v>
      </c>
      <c r="G1700" t="str">
        <f>VLOOKUP($C1700,Product_Dim!$A$2:$D$101,2,FALSE)</f>
        <v>Clothing</v>
      </c>
      <c r="H1700">
        <v>1</v>
      </c>
      <c r="I1700">
        <v>514.65</v>
      </c>
      <c r="J1700">
        <v>0.18</v>
      </c>
      <c r="K1700" s="3">
        <v>422.01299999999998</v>
      </c>
      <c r="L1700" t="s">
        <v>852</v>
      </c>
      <c r="M1700" t="str">
        <f>VLOOKUP($E1700,Customer_Dim!$A$2:$F$501,3,FALSE)</f>
        <v>Female</v>
      </c>
      <c r="N1700" t="str">
        <f>VLOOKUP($E1700,Customer_Dim!$A$2:$F$501,5,FALSE)</f>
        <v>USA</v>
      </c>
      <c r="O1700" t="str">
        <f>VLOOKUP($E1700,Customer_Dim!$A$2:$F$501,6,FALSE)</f>
        <v>Platinum</v>
      </c>
      <c r="P1700" t="str">
        <f>VLOOKUP($A1700,Store_Dim!$A$2:$F$21,3,FALSE)</f>
        <v>SouthWilliamsfurt</v>
      </c>
    </row>
    <row r="1701" spans="1:16" hidden="1" x14ac:dyDescent="0.25">
      <c r="A1701" t="s">
        <v>807</v>
      </c>
      <c r="B1701" t="s">
        <v>1552</v>
      </c>
      <c r="C1701" t="s">
        <v>650</v>
      </c>
      <c r="D1701" s="2">
        <v>45530</v>
      </c>
      <c r="E1701" t="s">
        <v>79</v>
      </c>
      <c r="F1701" t="str">
        <f>VLOOKUP($C1701,Product_Dim!$A$2:$D$101,3,FALSE)</f>
        <v>Hogan-Lee</v>
      </c>
      <c r="G1701" t="str">
        <f>VLOOKUP($C1701,Product_Dim!$A$2:$D$101,2,FALSE)</f>
        <v>Clothing</v>
      </c>
      <c r="H1701">
        <v>3</v>
      </c>
      <c r="I1701">
        <v>346.77</v>
      </c>
      <c r="J1701">
        <v>0.18</v>
      </c>
      <c r="K1701" s="3">
        <v>853.05420000000004</v>
      </c>
      <c r="L1701" t="s">
        <v>854</v>
      </c>
      <c r="M1701" t="str">
        <f>VLOOKUP($E1701,Customer_Dim!$A$2:$F$501,3,FALSE)</f>
        <v>Female</v>
      </c>
      <c r="N1701" t="str">
        <f>VLOOKUP($E1701,Customer_Dim!$A$2:$F$501,5,FALSE)</f>
        <v>USA</v>
      </c>
      <c r="O1701" t="str">
        <f>VLOOKUP($E1701,Customer_Dim!$A$2:$F$501,6,FALSE)</f>
        <v>Gold</v>
      </c>
      <c r="P1701" t="str">
        <f>VLOOKUP($A1701,Store_Dim!$A$2:$F$21,3,FALSE)</f>
        <v>SouthWilliamsfurt</v>
      </c>
    </row>
    <row r="1702" spans="1:16" x14ac:dyDescent="0.25">
      <c r="A1702" t="s">
        <v>807</v>
      </c>
      <c r="B1702" t="s">
        <v>1922</v>
      </c>
      <c r="C1702" t="s">
        <v>650</v>
      </c>
      <c r="D1702" s="2">
        <v>45690</v>
      </c>
      <c r="E1702" t="s">
        <v>111</v>
      </c>
      <c r="F1702" t="str">
        <f>VLOOKUP($C1702,Product_Dim!$A$2:$D$101,3,FALSE)</f>
        <v>Hogan-Lee</v>
      </c>
      <c r="G1702" t="str">
        <f>VLOOKUP($C1702,Product_Dim!$A$2:$D$101,2,FALSE)</f>
        <v>Clothing</v>
      </c>
      <c r="H1702">
        <v>2</v>
      </c>
      <c r="I1702">
        <v>606.35</v>
      </c>
      <c r="J1702">
        <v>0.16</v>
      </c>
      <c r="K1702" s="3">
        <v>1018.668</v>
      </c>
      <c r="L1702" t="s">
        <v>857</v>
      </c>
      <c r="M1702" t="str">
        <f>VLOOKUP($E1702,Customer_Dim!$A$2:$F$501,3,FALSE)</f>
        <v>Male</v>
      </c>
      <c r="N1702" t="str">
        <f>VLOOKUP($E1702,Customer_Dim!$A$2:$F$501,5,FALSE)</f>
        <v>USA</v>
      </c>
      <c r="O1702" t="str">
        <f>VLOOKUP($E1702,Customer_Dim!$A$2:$F$501,6,FALSE)</f>
        <v>Bronze</v>
      </c>
      <c r="P1702" t="str">
        <f>VLOOKUP($A1702,Store_Dim!$A$2:$F$21,3,FALSE)</f>
        <v>SouthWilliamsfurt</v>
      </c>
    </row>
    <row r="1703" spans="1:16" hidden="1" x14ac:dyDescent="0.25">
      <c r="A1703" t="s">
        <v>807</v>
      </c>
      <c r="B1703" t="s">
        <v>2537</v>
      </c>
      <c r="C1703" t="s">
        <v>650</v>
      </c>
      <c r="D1703" s="2">
        <v>45475</v>
      </c>
      <c r="E1703" t="s">
        <v>164</v>
      </c>
      <c r="F1703" t="str">
        <f>VLOOKUP($C1703,Product_Dim!$A$2:$D$101,3,FALSE)</f>
        <v>Hogan-Lee</v>
      </c>
      <c r="G1703" t="str">
        <f>VLOOKUP($C1703,Product_Dim!$A$2:$D$101,2,FALSE)</f>
        <v>Clothing</v>
      </c>
      <c r="H1703">
        <v>2</v>
      </c>
      <c r="I1703">
        <v>78.27</v>
      </c>
      <c r="J1703">
        <v>0.28999999999999998</v>
      </c>
      <c r="K1703" s="3">
        <v>111.1434</v>
      </c>
      <c r="L1703" t="s">
        <v>857</v>
      </c>
      <c r="M1703" t="str">
        <f>VLOOKUP($E1703,Customer_Dim!$A$2:$F$501,3,FALSE)</f>
        <v>Female</v>
      </c>
      <c r="N1703" t="str">
        <f>VLOOKUP($E1703,Customer_Dim!$A$2:$F$501,5,FALSE)</f>
        <v>USA</v>
      </c>
      <c r="O1703" t="str">
        <f>VLOOKUP($E1703,Customer_Dim!$A$2:$F$501,6,FALSE)</f>
        <v>Bronze</v>
      </c>
      <c r="P1703" t="str">
        <f>VLOOKUP($A1703,Store_Dim!$A$2:$F$21,3,FALSE)</f>
        <v>SouthWilliamsfurt</v>
      </c>
    </row>
    <row r="1704" spans="1:16" x14ac:dyDescent="0.25">
      <c r="A1704" t="s">
        <v>807</v>
      </c>
      <c r="B1704" t="s">
        <v>2556</v>
      </c>
      <c r="C1704" t="s">
        <v>650</v>
      </c>
      <c r="D1704" s="2">
        <v>45268</v>
      </c>
      <c r="E1704" t="s">
        <v>282</v>
      </c>
      <c r="F1704" t="str">
        <f>VLOOKUP($C1704,Product_Dim!$A$2:$D$101,3,FALSE)</f>
        <v>Hogan-Lee</v>
      </c>
      <c r="G1704" t="str">
        <f>VLOOKUP($C1704,Product_Dim!$A$2:$D$101,2,FALSE)</f>
        <v>Clothing</v>
      </c>
      <c r="H1704">
        <v>2</v>
      </c>
      <c r="I1704">
        <v>985.79</v>
      </c>
      <c r="J1704">
        <v>0.04</v>
      </c>
      <c r="K1704" s="3">
        <v>1892.7167999999999</v>
      </c>
      <c r="L1704" t="s">
        <v>854</v>
      </c>
      <c r="M1704" t="str">
        <f>VLOOKUP($E1704,Customer_Dim!$A$2:$F$501,3,FALSE)</f>
        <v>Male</v>
      </c>
      <c r="N1704" t="str">
        <f>VLOOKUP($E1704,Customer_Dim!$A$2:$F$501,5,FALSE)</f>
        <v>USA</v>
      </c>
      <c r="O1704" t="str">
        <f>VLOOKUP($E1704,Customer_Dim!$A$2:$F$501,6,FALSE)</f>
        <v>Silver</v>
      </c>
      <c r="P1704" t="str">
        <f>VLOOKUP($A1704,Store_Dim!$A$2:$F$21,3,FALSE)</f>
        <v>SouthWilliamsfurt</v>
      </c>
    </row>
    <row r="1705" spans="1:16" hidden="1" x14ac:dyDescent="0.25">
      <c r="A1705" t="s">
        <v>807</v>
      </c>
      <c r="B1705" t="s">
        <v>1243</v>
      </c>
      <c r="C1705" t="s">
        <v>650</v>
      </c>
      <c r="D1705" s="2">
        <v>45233</v>
      </c>
      <c r="E1705" t="s">
        <v>414</v>
      </c>
      <c r="F1705" t="str">
        <f>VLOOKUP($C1705,Product_Dim!$A$2:$D$101,3,FALSE)</f>
        <v>Hogan-Lee</v>
      </c>
      <c r="G1705" t="str">
        <f>VLOOKUP($C1705,Product_Dim!$A$2:$D$101,2,FALSE)</f>
        <v>Clothing</v>
      </c>
      <c r="H1705">
        <v>4</v>
      </c>
      <c r="I1705">
        <v>482.06</v>
      </c>
      <c r="J1705">
        <v>7.0000000000000007E-2</v>
      </c>
      <c r="K1705" s="3">
        <v>1793.2632000000001</v>
      </c>
      <c r="L1705" t="s">
        <v>854</v>
      </c>
      <c r="M1705" t="str">
        <f>VLOOKUP($E1705,Customer_Dim!$A$2:$F$501,3,FALSE)</f>
        <v>Female</v>
      </c>
      <c r="N1705" t="str">
        <f>VLOOKUP($E1705,Customer_Dim!$A$2:$F$501,5,FALSE)</f>
        <v>USA</v>
      </c>
      <c r="O1705" t="str">
        <f>VLOOKUP($E1705,Customer_Dim!$A$2:$F$501,6,FALSE)</f>
        <v>Gold</v>
      </c>
      <c r="P1705" t="str">
        <f>VLOOKUP($A1705,Store_Dim!$A$2:$F$21,3,FALSE)</f>
        <v>SouthWilliamsfurt</v>
      </c>
    </row>
    <row r="1706" spans="1:16" hidden="1" x14ac:dyDescent="0.25">
      <c r="A1706" t="s">
        <v>807</v>
      </c>
      <c r="B1706" t="s">
        <v>1561</v>
      </c>
      <c r="C1706" t="s">
        <v>652</v>
      </c>
      <c r="D1706" s="2">
        <v>45267</v>
      </c>
      <c r="E1706" t="s">
        <v>223</v>
      </c>
      <c r="F1706" t="str">
        <f>VLOOKUP($C1706,Product_Dim!$A$2:$D$101,3,FALSE)</f>
        <v>Sims-Smith</v>
      </c>
      <c r="G1706" t="str">
        <f>VLOOKUP($C1706,Product_Dim!$A$2:$D$101,2,FALSE)</f>
        <v>Sports</v>
      </c>
      <c r="H1706">
        <v>3</v>
      </c>
      <c r="I1706">
        <v>179.7</v>
      </c>
      <c r="J1706">
        <v>0.17</v>
      </c>
      <c r="K1706" s="3">
        <v>447.45299999999992</v>
      </c>
      <c r="L1706" t="s">
        <v>857</v>
      </c>
      <c r="M1706" t="str">
        <f>VLOOKUP($E1706,Customer_Dim!$A$2:$F$501,3,FALSE)</f>
        <v>Female</v>
      </c>
      <c r="N1706" t="str">
        <f>VLOOKUP($E1706,Customer_Dim!$A$2:$F$501,5,FALSE)</f>
        <v>USA</v>
      </c>
      <c r="O1706" t="str">
        <f>VLOOKUP($E1706,Customer_Dim!$A$2:$F$501,6,FALSE)</f>
        <v>Gold</v>
      </c>
      <c r="P1706" t="str">
        <f>VLOOKUP($A1706,Store_Dim!$A$2:$F$21,3,FALSE)</f>
        <v>SouthWilliamsfurt</v>
      </c>
    </row>
    <row r="1707" spans="1:16" x14ac:dyDescent="0.25">
      <c r="A1707" t="s">
        <v>807</v>
      </c>
      <c r="B1707" t="s">
        <v>1387</v>
      </c>
      <c r="C1707" t="s">
        <v>652</v>
      </c>
      <c r="D1707" s="2">
        <v>45578</v>
      </c>
      <c r="E1707" t="s">
        <v>392</v>
      </c>
      <c r="F1707" t="str">
        <f>VLOOKUP($C1707,Product_Dim!$A$2:$D$101,3,FALSE)</f>
        <v>Sims-Smith</v>
      </c>
      <c r="G1707" t="str">
        <f>VLOOKUP($C1707,Product_Dim!$A$2:$D$101,2,FALSE)</f>
        <v>Sports</v>
      </c>
      <c r="H1707">
        <v>2</v>
      </c>
      <c r="I1707">
        <v>358.45</v>
      </c>
      <c r="J1707">
        <v>7.0000000000000007E-2</v>
      </c>
      <c r="K1707" s="3">
        <v>666.71699999999998</v>
      </c>
      <c r="L1707" t="s">
        <v>857</v>
      </c>
      <c r="M1707" t="str">
        <f>VLOOKUP($E1707,Customer_Dim!$A$2:$F$501,3,FALSE)</f>
        <v>Male</v>
      </c>
      <c r="N1707" t="str">
        <f>VLOOKUP($E1707,Customer_Dim!$A$2:$F$501,5,FALSE)</f>
        <v>USA</v>
      </c>
      <c r="O1707" t="str">
        <f>VLOOKUP($E1707,Customer_Dim!$A$2:$F$501,6,FALSE)</f>
        <v>Bronze</v>
      </c>
      <c r="P1707" t="str">
        <f>VLOOKUP($A1707,Store_Dim!$A$2:$F$21,3,FALSE)</f>
        <v>SouthWilliamsfurt</v>
      </c>
    </row>
    <row r="1708" spans="1:16" x14ac:dyDescent="0.25">
      <c r="A1708" t="s">
        <v>807</v>
      </c>
      <c r="B1708" t="s">
        <v>1433</v>
      </c>
      <c r="C1708" t="s">
        <v>654</v>
      </c>
      <c r="D1708" s="2">
        <v>45709</v>
      </c>
      <c r="E1708" t="s">
        <v>200</v>
      </c>
      <c r="F1708" t="str">
        <f>VLOOKUP($C1708,Product_Dim!$A$2:$D$101,3,FALSE)</f>
        <v>Cummings and Sons</v>
      </c>
      <c r="G1708" t="str">
        <f>VLOOKUP($C1708,Product_Dim!$A$2:$D$101,2,FALSE)</f>
        <v>Electronics</v>
      </c>
      <c r="H1708">
        <v>2</v>
      </c>
      <c r="I1708">
        <v>507.66</v>
      </c>
      <c r="J1708">
        <v>0</v>
      </c>
      <c r="K1708" s="3">
        <v>1015.32</v>
      </c>
      <c r="L1708" t="s">
        <v>857</v>
      </c>
      <c r="M1708" t="str">
        <f>VLOOKUP($E1708,Customer_Dim!$A$2:$F$501,3,FALSE)</f>
        <v>Male</v>
      </c>
      <c r="N1708" t="str">
        <f>VLOOKUP($E1708,Customer_Dim!$A$2:$F$501,5,FALSE)</f>
        <v>USA</v>
      </c>
      <c r="O1708" t="str">
        <f>VLOOKUP($E1708,Customer_Dim!$A$2:$F$501,6,FALSE)</f>
        <v>Silver</v>
      </c>
      <c r="P1708" t="str">
        <f>VLOOKUP($A1708,Store_Dim!$A$2:$F$21,3,FALSE)</f>
        <v>SouthWilliamsfurt</v>
      </c>
    </row>
    <row r="1709" spans="1:16" x14ac:dyDescent="0.25">
      <c r="A1709" t="s">
        <v>807</v>
      </c>
      <c r="B1709" t="s">
        <v>1341</v>
      </c>
      <c r="C1709" t="s">
        <v>654</v>
      </c>
      <c r="D1709" s="2">
        <v>45811</v>
      </c>
      <c r="E1709" t="s">
        <v>415</v>
      </c>
      <c r="F1709" t="str">
        <f>VLOOKUP($C1709,Product_Dim!$A$2:$D$101,3,FALSE)</f>
        <v>Cummings and Sons</v>
      </c>
      <c r="G1709" t="str">
        <f>VLOOKUP($C1709,Product_Dim!$A$2:$D$101,2,FALSE)</f>
        <v>Electronics</v>
      </c>
      <c r="H1709">
        <v>4</v>
      </c>
      <c r="I1709">
        <v>284.44</v>
      </c>
      <c r="J1709">
        <v>0.02</v>
      </c>
      <c r="K1709" s="3">
        <v>1115.0047999999999</v>
      </c>
      <c r="L1709" t="s">
        <v>852</v>
      </c>
      <c r="M1709" t="str">
        <f>VLOOKUP($E1709,Customer_Dim!$A$2:$F$501,3,FALSE)</f>
        <v>Male</v>
      </c>
      <c r="N1709" t="str">
        <f>VLOOKUP($E1709,Customer_Dim!$A$2:$F$501,5,FALSE)</f>
        <v>USA</v>
      </c>
      <c r="O1709" t="str">
        <f>VLOOKUP($E1709,Customer_Dim!$A$2:$F$501,6,FALSE)</f>
        <v>Silver</v>
      </c>
      <c r="P1709" t="str">
        <f>VLOOKUP($A1709,Store_Dim!$A$2:$F$21,3,FALSE)</f>
        <v>SouthWilliamsfurt</v>
      </c>
    </row>
    <row r="1710" spans="1:16" x14ac:dyDescent="0.25">
      <c r="A1710" t="s">
        <v>807</v>
      </c>
      <c r="B1710" t="s">
        <v>1563</v>
      </c>
      <c r="C1710" t="s">
        <v>581</v>
      </c>
      <c r="D1710" s="2">
        <v>45252</v>
      </c>
      <c r="E1710" t="s">
        <v>470</v>
      </c>
      <c r="F1710" t="str">
        <f>VLOOKUP($C1710,Product_Dim!$A$2:$D$101,3,FALSE)</f>
        <v>Gonzales-Davis</v>
      </c>
      <c r="G1710" t="str">
        <f>VLOOKUP($C1710,Product_Dim!$A$2:$D$101,2,FALSE)</f>
        <v>Clothing</v>
      </c>
      <c r="H1710">
        <v>4</v>
      </c>
      <c r="I1710">
        <v>723.44</v>
      </c>
      <c r="J1710">
        <v>0.14000000000000001</v>
      </c>
      <c r="K1710" s="3">
        <v>2488.6336000000001</v>
      </c>
      <c r="L1710" t="s">
        <v>854</v>
      </c>
      <c r="M1710" t="str">
        <f>VLOOKUP($E1710,Customer_Dim!$A$2:$F$501,3,FALSE)</f>
        <v>Male</v>
      </c>
      <c r="N1710" t="str">
        <f>VLOOKUP($E1710,Customer_Dim!$A$2:$F$501,5,FALSE)</f>
        <v>USA</v>
      </c>
      <c r="O1710" t="str">
        <f>VLOOKUP($E1710,Customer_Dim!$A$2:$F$501,6,FALSE)</f>
        <v>Bronze</v>
      </c>
      <c r="P1710" t="str">
        <f>VLOOKUP($A1710,Store_Dim!$A$2:$F$21,3,FALSE)</f>
        <v>SouthWilliamsfurt</v>
      </c>
    </row>
    <row r="1711" spans="1:16" x14ac:dyDescent="0.25">
      <c r="A1711" t="s">
        <v>807</v>
      </c>
      <c r="B1711" t="s">
        <v>1846</v>
      </c>
      <c r="C1711" t="s">
        <v>656</v>
      </c>
      <c r="D1711" s="2">
        <v>45575</v>
      </c>
      <c r="E1711" t="s">
        <v>7</v>
      </c>
      <c r="F1711" t="str">
        <f>VLOOKUP($C1711,Product_Dim!$A$2:$D$101,3,FALSE)</f>
        <v>Taylor-Hart</v>
      </c>
      <c r="G1711" t="str">
        <f>VLOOKUP($C1711,Product_Dim!$A$2:$D$101,2,FALSE)</f>
        <v>Electronics</v>
      </c>
      <c r="H1711">
        <v>3</v>
      </c>
      <c r="I1711">
        <v>490.02</v>
      </c>
      <c r="J1711">
        <v>0.26</v>
      </c>
      <c r="K1711" s="3">
        <v>1087.8444</v>
      </c>
      <c r="L1711" t="s">
        <v>852</v>
      </c>
      <c r="M1711" t="str">
        <f>VLOOKUP($E1711,Customer_Dim!$A$2:$F$501,3,FALSE)</f>
        <v>Male</v>
      </c>
      <c r="N1711" t="str">
        <f>VLOOKUP($E1711,Customer_Dim!$A$2:$F$501,5,FALSE)</f>
        <v>USA</v>
      </c>
      <c r="O1711" t="str">
        <f>VLOOKUP($E1711,Customer_Dim!$A$2:$F$501,6,FALSE)</f>
        <v>UNKNOWN</v>
      </c>
      <c r="P1711" t="str">
        <f>VLOOKUP($A1711,Store_Dim!$A$2:$F$21,3,FALSE)</f>
        <v>SouthWilliamsfurt</v>
      </c>
    </row>
    <row r="1712" spans="1:16" x14ac:dyDescent="0.25">
      <c r="A1712" t="s">
        <v>807</v>
      </c>
      <c r="B1712" t="s">
        <v>1767</v>
      </c>
      <c r="C1712" t="s">
        <v>660</v>
      </c>
      <c r="D1712" s="2">
        <v>45773</v>
      </c>
      <c r="E1712" t="s">
        <v>171</v>
      </c>
      <c r="F1712" t="str">
        <f>VLOOKUP($C1712,Product_Dim!$A$2:$D$101,3,FALSE)</f>
        <v>Holmes LLC</v>
      </c>
      <c r="G1712" t="str">
        <f>VLOOKUP($C1712,Product_Dim!$A$2:$D$101,2,FALSE)</f>
        <v>Electronics</v>
      </c>
      <c r="H1712">
        <v>3</v>
      </c>
      <c r="I1712">
        <v>94.55</v>
      </c>
      <c r="J1712">
        <v>0.13</v>
      </c>
      <c r="K1712" s="3">
        <v>246.77549999999999</v>
      </c>
      <c r="L1712" t="s">
        <v>857</v>
      </c>
      <c r="M1712" t="str">
        <f>VLOOKUP($E1712,Customer_Dim!$A$2:$F$501,3,FALSE)</f>
        <v>Male</v>
      </c>
      <c r="N1712" t="str">
        <f>VLOOKUP($E1712,Customer_Dim!$A$2:$F$501,5,FALSE)</f>
        <v>USA</v>
      </c>
      <c r="O1712" t="str">
        <f>VLOOKUP($E1712,Customer_Dim!$A$2:$F$501,6,FALSE)</f>
        <v>Silver</v>
      </c>
      <c r="P1712" t="str">
        <f>VLOOKUP($A1712,Store_Dim!$A$2:$F$21,3,FALSE)</f>
        <v>SouthWilliamsfurt</v>
      </c>
    </row>
    <row r="1713" spans="1:16" hidden="1" x14ac:dyDescent="0.25">
      <c r="A1713" t="s">
        <v>807</v>
      </c>
      <c r="B1713" t="s">
        <v>1116</v>
      </c>
      <c r="C1713" t="s">
        <v>660</v>
      </c>
      <c r="D1713" s="2">
        <v>45713</v>
      </c>
      <c r="E1713" t="s">
        <v>274</v>
      </c>
      <c r="F1713" t="str">
        <f>VLOOKUP($C1713,Product_Dim!$A$2:$D$101,3,FALSE)</f>
        <v>Holmes LLC</v>
      </c>
      <c r="G1713" t="str">
        <f>VLOOKUP($C1713,Product_Dim!$A$2:$D$101,2,FALSE)</f>
        <v>Electronics</v>
      </c>
      <c r="H1713">
        <v>3</v>
      </c>
      <c r="I1713">
        <v>553.12</v>
      </c>
      <c r="J1713">
        <v>0.28000000000000003</v>
      </c>
      <c r="K1713" s="3">
        <v>1194.7392</v>
      </c>
      <c r="L1713" t="s">
        <v>857</v>
      </c>
      <c r="M1713" t="str">
        <f>VLOOKUP($E1713,Customer_Dim!$A$2:$F$501,3,FALSE)</f>
        <v>Female</v>
      </c>
      <c r="N1713" t="str">
        <f>VLOOKUP($E1713,Customer_Dim!$A$2:$F$501,5,FALSE)</f>
        <v>USA</v>
      </c>
      <c r="O1713" t="str">
        <f>VLOOKUP($E1713,Customer_Dim!$A$2:$F$501,6,FALSE)</f>
        <v>Platinum</v>
      </c>
      <c r="P1713" t="str">
        <f>VLOOKUP($A1713,Store_Dim!$A$2:$F$21,3,FALSE)</f>
        <v>SouthWilliamsfurt</v>
      </c>
    </row>
    <row r="1714" spans="1:16" x14ac:dyDescent="0.25">
      <c r="A1714" t="s">
        <v>807</v>
      </c>
      <c r="B1714" t="s">
        <v>2575</v>
      </c>
      <c r="C1714" t="s">
        <v>662</v>
      </c>
      <c r="D1714" s="2">
        <v>45736</v>
      </c>
      <c r="E1714" t="s">
        <v>356</v>
      </c>
      <c r="F1714" t="str">
        <f>VLOOKUP($C1714,Product_Dim!$A$2:$D$101,3,FALSE)</f>
        <v>Robinson Inc</v>
      </c>
      <c r="G1714" t="str">
        <f>VLOOKUP($C1714,Product_Dim!$A$2:$D$101,2,FALSE)</f>
        <v>Electronics</v>
      </c>
      <c r="H1714">
        <v>2</v>
      </c>
      <c r="I1714">
        <v>536.61</v>
      </c>
      <c r="J1714">
        <v>0.14000000000000001</v>
      </c>
      <c r="K1714" s="3">
        <v>922.9692</v>
      </c>
      <c r="L1714" t="s">
        <v>852</v>
      </c>
      <c r="M1714" t="str">
        <f>VLOOKUP($E1714,Customer_Dim!$A$2:$F$501,3,FALSE)</f>
        <v>Male</v>
      </c>
      <c r="N1714" t="str">
        <f>VLOOKUP($E1714,Customer_Dim!$A$2:$F$501,5,FALSE)</f>
        <v>USA</v>
      </c>
      <c r="O1714" t="str">
        <f>VLOOKUP($E1714,Customer_Dim!$A$2:$F$501,6,FALSE)</f>
        <v>Bronze</v>
      </c>
      <c r="P1714" t="str">
        <f>VLOOKUP($A1714,Store_Dim!$A$2:$F$21,3,FALSE)</f>
        <v>SouthWilliamsfurt</v>
      </c>
    </row>
    <row r="1715" spans="1:16" hidden="1" x14ac:dyDescent="0.25">
      <c r="A1715" t="s">
        <v>807</v>
      </c>
      <c r="B1715" t="s">
        <v>1995</v>
      </c>
      <c r="C1715" t="s">
        <v>668</v>
      </c>
      <c r="D1715" s="2">
        <v>45416</v>
      </c>
      <c r="E1715" t="s">
        <v>440</v>
      </c>
      <c r="F1715" t="str">
        <f>VLOOKUP($C1715,Product_Dim!$A$2:$D$101,3,FALSE)</f>
        <v>Kelly, Smith and Perez</v>
      </c>
      <c r="G1715" t="str">
        <f>VLOOKUP($C1715,Product_Dim!$A$2:$D$101,2,FALSE)</f>
        <v>Clothing</v>
      </c>
      <c r="H1715">
        <v>2</v>
      </c>
      <c r="I1715">
        <v>143.79</v>
      </c>
      <c r="J1715">
        <v>0.1</v>
      </c>
      <c r="K1715" s="3">
        <v>258.822</v>
      </c>
      <c r="L1715" t="s">
        <v>854</v>
      </c>
      <c r="M1715" t="str">
        <f>VLOOKUP($E1715,Customer_Dim!$A$2:$F$501,3,FALSE)</f>
        <v>Female</v>
      </c>
      <c r="N1715" t="str">
        <f>VLOOKUP($E1715,Customer_Dim!$A$2:$F$501,5,FALSE)</f>
        <v>USA</v>
      </c>
      <c r="O1715" t="str">
        <f>VLOOKUP($E1715,Customer_Dim!$A$2:$F$501,6,FALSE)</f>
        <v>Gold</v>
      </c>
      <c r="P1715" t="str">
        <f>VLOOKUP($A1715,Store_Dim!$A$2:$F$21,3,FALSE)</f>
        <v>SouthWilliamsfurt</v>
      </c>
    </row>
    <row r="1716" spans="1:16" x14ac:dyDescent="0.25">
      <c r="A1716" t="s">
        <v>807</v>
      </c>
      <c r="B1716" t="s">
        <v>1569</v>
      </c>
      <c r="C1716" t="s">
        <v>670</v>
      </c>
      <c r="D1716" s="2">
        <v>45795</v>
      </c>
      <c r="E1716" t="s">
        <v>341</v>
      </c>
      <c r="F1716" t="str">
        <f>VLOOKUP($C1716,Product_Dim!$A$2:$D$101,3,FALSE)</f>
        <v>Cook Inc</v>
      </c>
      <c r="G1716" t="str">
        <f>VLOOKUP($C1716,Product_Dim!$A$2:$D$101,2,FALSE)</f>
        <v>Beauty</v>
      </c>
      <c r="H1716">
        <v>3</v>
      </c>
      <c r="I1716">
        <v>79.77</v>
      </c>
      <c r="J1716">
        <v>0.09</v>
      </c>
      <c r="K1716" s="3">
        <v>217.77209999999999</v>
      </c>
      <c r="L1716" t="s">
        <v>852</v>
      </c>
      <c r="M1716" t="str">
        <f>VLOOKUP($E1716,Customer_Dim!$A$2:$F$501,3,FALSE)</f>
        <v>Male</v>
      </c>
      <c r="N1716" t="str">
        <f>VLOOKUP($E1716,Customer_Dim!$A$2:$F$501,5,FALSE)</f>
        <v>USA</v>
      </c>
      <c r="O1716" t="str">
        <f>VLOOKUP($E1716,Customer_Dim!$A$2:$F$501,6,FALSE)</f>
        <v>Silver</v>
      </c>
      <c r="P1716" t="str">
        <f>VLOOKUP($A1716,Store_Dim!$A$2:$F$21,3,FALSE)</f>
        <v>SouthWilliamsfurt</v>
      </c>
    </row>
    <row r="1717" spans="1:16" hidden="1" x14ac:dyDescent="0.25">
      <c r="A1717" t="s">
        <v>807</v>
      </c>
      <c r="B1717" t="s">
        <v>2396</v>
      </c>
      <c r="C1717" t="s">
        <v>672</v>
      </c>
      <c r="D1717" s="2">
        <v>45356</v>
      </c>
      <c r="E1717" t="s">
        <v>315</v>
      </c>
      <c r="F1717" t="str">
        <f>VLOOKUP($C1717,Product_Dim!$A$2:$D$101,3,FALSE)</f>
        <v>Byrd, Stewart and Valdez</v>
      </c>
      <c r="G1717" t="str">
        <f>VLOOKUP($C1717,Product_Dim!$A$2:$D$101,2,FALSE)</f>
        <v>Electronics</v>
      </c>
      <c r="H1717">
        <v>3</v>
      </c>
      <c r="I1717">
        <v>855.96</v>
      </c>
      <c r="J1717">
        <v>0.28999999999999998</v>
      </c>
      <c r="K1717" s="3">
        <v>1823.1948</v>
      </c>
      <c r="L1717" t="s">
        <v>857</v>
      </c>
      <c r="M1717" t="str">
        <f>VLOOKUP($E1717,Customer_Dim!$A$2:$F$501,3,FALSE)</f>
        <v>Female</v>
      </c>
      <c r="N1717" t="str">
        <f>VLOOKUP($E1717,Customer_Dim!$A$2:$F$501,5,FALSE)</f>
        <v>USA</v>
      </c>
      <c r="O1717" t="str">
        <f>VLOOKUP($E1717,Customer_Dim!$A$2:$F$501,6,FALSE)</f>
        <v>Gold</v>
      </c>
      <c r="P1717" t="str">
        <f>VLOOKUP($A1717,Store_Dim!$A$2:$F$21,3,FALSE)</f>
        <v>SouthWilliamsfurt</v>
      </c>
    </row>
    <row r="1718" spans="1:16" x14ac:dyDescent="0.25">
      <c r="A1718" t="s">
        <v>807</v>
      </c>
      <c r="B1718" t="s">
        <v>2172</v>
      </c>
      <c r="C1718" t="s">
        <v>672</v>
      </c>
      <c r="D1718" s="2">
        <v>45838</v>
      </c>
      <c r="E1718" t="s">
        <v>322</v>
      </c>
      <c r="F1718" t="str">
        <f>VLOOKUP($C1718,Product_Dim!$A$2:$D$101,3,FALSE)</f>
        <v>Byrd, Stewart and Valdez</v>
      </c>
      <c r="G1718" t="str">
        <f>VLOOKUP($C1718,Product_Dim!$A$2:$D$101,2,FALSE)</f>
        <v>Electronics</v>
      </c>
      <c r="H1718">
        <v>2</v>
      </c>
      <c r="I1718">
        <v>271.39999999999998</v>
      </c>
      <c r="J1718">
        <v>0.17</v>
      </c>
      <c r="K1718" s="3">
        <v>450.52399999999989</v>
      </c>
      <c r="L1718" t="s">
        <v>854</v>
      </c>
      <c r="M1718" t="str">
        <f>VLOOKUP($E1718,Customer_Dim!$A$2:$F$501,3,FALSE)</f>
        <v>Male</v>
      </c>
      <c r="N1718" t="str">
        <f>VLOOKUP($E1718,Customer_Dim!$A$2:$F$501,5,FALSE)</f>
        <v>USA</v>
      </c>
      <c r="O1718" t="str">
        <f>VLOOKUP($E1718,Customer_Dim!$A$2:$F$501,6,FALSE)</f>
        <v>Platinum</v>
      </c>
      <c r="P1718" t="str">
        <f>VLOOKUP($A1718,Store_Dim!$A$2:$F$21,3,FALSE)</f>
        <v>SouthWilliamsfurt</v>
      </c>
    </row>
    <row r="1719" spans="1:16" hidden="1" x14ac:dyDescent="0.25">
      <c r="A1719" t="s">
        <v>807</v>
      </c>
      <c r="B1719" t="s">
        <v>2246</v>
      </c>
      <c r="C1719" t="s">
        <v>674</v>
      </c>
      <c r="D1719" s="2">
        <v>45368</v>
      </c>
      <c r="E1719" t="s">
        <v>178</v>
      </c>
      <c r="F1719" t="str">
        <f>VLOOKUP($C1719,Product_Dim!$A$2:$D$101,3,FALSE)</f>
        <v>Sullivan and Sons</v>
      </c>
      <c r="G1719" t="str">
        <f>VLOOKUP($C1719,Product_Dim!$A$2:$D$101,2,FALSE)</f>
        <v>Beauty</v>
      </c>
      <c r="H1719">
        <v>3</v>
      </c>
      <c r="I1719">
        <v>847.44</v>
      </c>
      <c r="J1719">
        <v>0.17</v>
      </c>
      <c r="K1719" s="3">
        <v>2110.1255999999998</v>
      </c>
      <c r="L1719" t="s">
        <v>852</v>
      </c>
      <c r="M1719" t="str">
        <f>VLOOKUP($E1719,Customer_Dim!$A$2:$F$501,3,FALSE)</f>
        <v>Female</v>
      </c>
      <c r="N1719" t="str">
        <f>VLOOKUP($E1719,Customer_Dim!$A$2:$F$501,5,FALSE)</f>
        <v>USA</v>
      </c>
      <c r="O1719" t="str">
        <f>VLOOKUP($E1719,Customer_Dim!$A$2:$F$501,6,FALSE)</f>
        <v>Platinum</v>
      </c>
      <c r="P1719" t="str">
        <f>VLOOKUP($A1719,Store_Dim!$A$2:$F$21,3,FALSE)</f>
        <v>SouthWilliamsfurt</v>
      </c>
    </row>
    <row r="1720" spans="1:16" x14ac:dyDescent="0.25">
      <c r="A1720" t="s">
        <v>807</v>
      </c>
      <c r="B1720" t="s">
        <v>1346</v>
      </c>
      <c r="C1720" t="s">
        <v>674</v>
      </c>
      <c r="D1720" s="2">
        <v>45632</v>
      </c>
      <c r="E1720" t="s">
        <v>220</v>
      </c>
      <c r="F1720" t="str">
        <f>VLOOKUP($C1720,Product_Dim!$A$2:$D$101,3,FALSE)</f>
        <v>Sullivan and Sons</v>
      </c>
      <c r="G1720" t="str">
        <f>VLOOKUP($C1720,Product_Dim!$A$2:$D$101,2,FALSE)</f>
        <v>Beauty</v>
      </c>
      <c r="H1720">
        <v>2</v>
      </c>
      <c r="I1720">
        <v>955.66</v>
      </c>
      <c r="J1720">
        <v>0.28999999999999998</v>
      </c>
      <c r="K1720" s="3">
        <v>1357.0372</v>
      </c>
      <c r="L1720" t="s">
        <v>857</v>
      </c>
      <c r="M1720" t="str">
        <f>VLOOKUP($E1720,Customer_Dim!$A$2:$F$501,3,FALSE)</f>
        <v>Male</v>
      </c>
      <c r="N1720" t="str">
        <f>VLOOKUP($E1720,Customer_Dim!$A$2:$F$501,5,FALSE)</f>
        <v>USA</v>
      </c>
      <c r="O1720" t="str">
        <f>VLOOKUP($E1720,Customer_Dim!$A$2:$F$501,6,FALSE)</f>
        <v>Bronze</v>
      </c>
      <c r="P1720" t="str">
        <f>VLOOKUP($A1720,Store_Dim!$A$2:$F$21,3,FALSE)</f>
        <v>SouthWilliamsfurt</v>
      </c>
    </row>
    <row r="1721" spans="1:16" hidden="1" x14ac:dyDescent="0.25">
      <c r="A1721" t="s">
        <v>807</v>
      </c>
      <c r="B1721" t="s">
        <v>890</v>
      </c>
      <c r="C1721" t="s">
        <v>583</v>
      </c>
      <c r="D1721" s="2">
        <v>45635</v>
      </c>
      <c r="E1721" t="s">
        <v>143</v>
      </c>
      <c r="F1721" t="str">
        <f>VLOOKUP($C1721,Product_Dim!$A$2:$D$101,3,FALSE)</f>
        <v>Baldwin, Garza and Gonzalez</v>
      </c>
      <c r="G1721" t="str">
        <f>VLOOKUP($C1721,Product_Dim!$A$2:$D$101,2,FALSE)</f>
        <v>Clothing</v>
      </c>
      <c r="H1721">
        <v>3</v>
      </c>
      <c r="I1721">
        <v>559.52</v>
      </c>
      <c r="J1721">
        <v>0.16</v>
      </c>
      <c r="K1721" s="3">
        <v>1409.9903999999999</v>
      </c>
      <c r="L1721" t="s">
        <v>854</v>
      </c>
      <c r="M1721" t="str">
        <f>VLOOKUP($E1721,Customer_Dim!$A$2:$F$501,3,FALSE)</f>
        <v>Female</v>
      </c>
      <c r="N1721" t="str">
        <f>VLOOKUP($E1721,Customer_Dim!$A$2:$F$501,5,FALSE)</f>
        <v>USA</v>
      </c>
      <c r="O1721" t="str">
        <f>VLOOKUP($E1721,Customer_Dim!$A$2:$F$501,6,FALSE)</f>
        <v>Gold</v>
      </c>
      <c r="P1721" t="str">
        <f>VLOOKUP($A1721,Store_Dim!$A$2:$F$21,3,FALSE)</f>
        <v>SouthWilliamsfurt</v>
      </c>
    </row>
    <row r="1722" spans="1:16" hidden="1" x14ac:dyDescent="0.25">
      <c r="A1722" t="s">
        <v>807</v>
      </c>
      <c r="B1722" t="s">
        <v>976</v>
      </c>
      <c r="C1722" t="s">
        <v>676</v>
      </c>
      <c r="D1722" s="2">
        <v>45886</v>
      </c>
      <c r="E1722" t="s">
        <v>405</v>
      </c>
      <c r="F1722" t="str">
        <f>VLOOKUP($C1722,Product_Dim!$A$2:$D$101,3,FALSE)</f>
        <v>Smith-King</v>
      </c>
      <c r="G1722" t="str">
        <f>VLOOKUP($C1722,Product_Dim!$A$2:$D$101,2,FALSE)</f>
        <v>Sports</v>
      </c>
      <c r="H1722">
        <v>2</v>
      </c>
      <c r="I1722">
        <v>197.76</v>
      </c>
      <c r="J1722">
        <v>0.04</v>
      </c>
      <c r="K1722" s="3">
        <v>379.69920000000002</v>
      </c>
      <c r="L1722" t="s">
        <v>852</v>
      </c>
      <c r="M1722" t="str">
        <f>VLOOKUP($E1722,Customer_Dim!$A$2:$F$501,3,FALSE)</f>
        <v>Female</v>
      </c>
      <c r="N1722" t="str">
        <f>VLOOKUP($E1722,Customer_Dim!$A$2:$F$501,5,FALSE)</f>
        <v>USA</v>
      </c>
      <c r="O1722" t="str">
        <f>VLOOKUP($E1722,Customer_Dim!$A$2:$F$501,6,FALSE)</f>
        <v>Silver</v>
      </c>
      <c r="P1722" t="str">
        <f>VLOOKUP($A1722,Store_Dim!$A$2:$F$21,3,FALSE)</f>
        <v>SouthWilliamsfurt</v>
      </c>
    </row>
    <row r="1723" spans="1:16" x14ac:dyDescent="0.25">
      <c r="A1723" t="s">
        <v>807</v>
      </c>
      <c r="B1723" t="s">
        <v>2789</v>
      </c>
      <c r="C1723" t="s">
        <v>678</v>
      </c>
      <c r="D1723" s="2">
        <v>45258</v>
      </c>
      <c r="E1723" t="s">
        <v>503</v>
      </c>
      <c r="F1723" t="str">
        <f>VLOOKUP($C1723,Product_Dim!$A$2:$D$101,3,FALSE)</f>
        <v>Bautista, Green and Hale</v>
      </c>
      <c r="G1723" t="str">
        <f>VLOOKUP($C1723,Product_Dim!$A$2:$D$101,2,FALSE)</f>
        <v>Electronics</v>
      </c>
      <c r="H1723">
        <v>4</v>
      </c>
      <c r="I1723">
        <v>581.34</v>
      </c>
      <c r="J1723">
        <v>0.08</v>
      </c>
      <c r="K1723" s="3">
        <v>2139.3312000000001</v>
      </c>
      <c r="L1723" t="s">
        <v>852</v>
      </c>
      <c r="M1723" t="str">
        <f>VLOOKUP($E1723,Customer_Dim!$A$2:$F$501,3,FALSE)</f>
        <v>Male</v>
      </c>
      <c r="N1723" t="str">
        <f>VLOOKUP($E1723,Customer_Dim!$A$2:$F$501,5,FALSE)</f>
        <v>USA</v>
      </c>
      <c r="O1723" t="str">
        <f>VLOOKUP($E1723,Customer_Dim!$A$2:$F$501,6,FALSE)</f>
        <v>Gold</v>
      </c>
      <c r="P1723" t="str">
        <f>VLOOKUP($A1723,Store_Dim!$A$2:$F$21,3,FALSE)</f>
        <v>SouthWilliamsfurt</v>
      </c>
    </row>
    <row r="1724" spans="1:16" hidden="1" x14ac:dyDescent="0.25">
      <c r="A1724" t="s">
        <v>807</v>
      </c>
      <c r="B1724" t="s">
        <v>1441</v>
      </c>
      <c r="C1724" t="s">
        <v>680</v>
      </c>
      <c r="D1724" s="2">
        <v>45354</v>
      </c>
      <c r="E1724" t="s">
        <v>211</v>
      </c>
      <c r="F1724" t="str">
        <f>VLOOKUP($C1724,Product_Dim!$A$2:$D$101,3,FALSE)</f>
        <v>Harris Inc</v>
      </c>
      <c r="G1724" t="str">
        <f>VLOOKUP($C1724,Product_Dim!$A$2:$D$101,2,FALSE)</f>
        <v>Sports</v>
      </c>
      <c r="H1724">
        <v>4</v>
      </c>
      <c r="I1724">
        <v>915.17</v>
      </c>
      <c r="J1724">
        <v>0.19</v>
      </c>
      <c r="K1724" s="3">
        <v>2965.1507999999999</v>
      </c>
      <c r="L1724" t="s">
        <v>857</v>
      </c>
      <c r="M1724" t="str">
        <f>VLOOKUP($E1724,Customer_Dim!$A$2:$F$501,3,FALSE)</f>
        <v>Female</v>
      </c>
      <c r="N1724" t="str">
        <f>VLOOKUP($E1724,Customer_Dim!$A$2:$F$501,5,FALSE)</f>
        <v>USA</v>
      </c>
      <c r="O1724" t="str">
        <f>VLOOKUP($E1724,Customer_Dim!$A$2:$F$501,6,FALSE)</f>
        <v>Platinum</v>
      </c>
      <c r="P1724" t="str">
        <f>VLOOKUP($A1724,Store_Dim!$A$2:$F$21,3,FALSE)</f>
        <v>SouthWilliamsfurt</v>
      </c>
    </row>
    <row r="1725" spans="1:16" x14ac:dyDescent="0.25">
      <c r="A1725" t="s">
        <v>807</v>
      </c>
      <c r="B1725" t="s">
        <v>1892</v>
      </c>
      <c r="C1725" t="s">
        <v>682</v>
      </c>
      <c r="D1725" s="2">
        <v>45400</v>
      </c>
      <c r="E1725" t="s">
        <v>98</v>
      </c>
      <c r="F1725" t="str">
        <f>VLOOKUP($C1725,Product_Dim!$A$2:$D$101,3,FALSE)</f>
        <v>Hamilton, Woods and Walker</v>
      </c>
      <c r="G1725" t="str">
        <f>VLOOKUP($C1725,Product_Dim!$A$2:$D$101,2,FALSE)</f>
        <v>Clothing</v>
      </c>
      <c r="H1725">
        <v>2</v>
      </c>
      <c r="I1725">
        <v>314.29000000000002</v>
      </c>
      <c r="J1725">
        <v>0.19</v>
      </c>
      <c r="K1725" s="3">
        <v>509.14980000000008</v>
      </c>
      <c r="L1725" t="s">
        <v>857</v>
      </c>
      <c r="M1725" t="str">
        <f>VLOOKUP($E1725,Customer_Dim!$A$2:$F$501,3,FALSE)</f>
        <v>Male</v>
      </c>
      <c r="N1725" t="str">
        <f>VLOOKUP($E1725,Customer_Dim!$A$2:$F$501,5,FALSE)</f>
        <v>USA</v>
      </c>
      <c r="O1725" t="str">
        <f>VLOOKUP($E1725,Customer_Dim!$A$2:$F$501,6,FALSE)</f>
        <v>Bronze</v>
      </c>
      <c r="P1725" t="str">
        <f>VLOOKUP($A1725,Store_Dim!$A$2:$F$21,3,FALSE)</f>
        <v>SouthWilliamsfurt</v>
      </c>
    </row>
    <row r="1726" spans="1:16" hidden="1" x14ac:dyDescent="0.25">
      <c r="A1726" t="s">
        <v>807</v>
      </c>
      <c r="B1726" t="s">
        <v>2828</v>
      </c>
      <c r="C1726" t="s">
        <v>682</v>
      </c>
      <c r="D1726" s="2">
        <v>45886</v>
      </c>
      <c r="E1726" t="s">
        <v>199</v>
      </c>
      <c r="F1726" t="str">
        <f>VLOOKUP($C1726,Product_Dim!$A$2:$D$101,3,FALSE)</f>
        <v>Hamilton, Woods and Walker</v>
      </c>
      <c r="G1726" t="str">
        <f>VLOOKUP($C1726,Product_Dim!$A$2:$D$101,2,FALSE)</f>
        <v>Clothing</v>
      </c>
      <c r="H1726">
        <v>2</v>
      </c>
      <c r="I1726">
        <v>842.89</v>
      </c>
      <c r="J1726">
        <v>0.25</v>
      </c>
      <c r="K1726" s="3">
        <v>1264.335</v>
      </c>
      <c r="L1726" t="s">
        <v>857</v>
      </c>
      <c r="M1726" t="str">
        <f>VLOOKUP($E1726,Customer_Dim!$A$2:$F$501,3,FALSE)</f>
        <v>Female</v>
      </c>
      <c r="N1726" t="str">
        <f>VLOOKUP($E1726,Customer_Dim!$A$2:$F$501,5,FALSE)</f>
        <v>USA</v>
      </c>
      <c r="O1726" t="str">
        <f>VLOOKUP($E1726,Customer_Dim!$A$2:$F$501,6,FALSE)</f>
        <v>Platinum</v>
      </c>
      <c r="P1726" t="str">
        <f>VLOOKUP($A1726,Store_Dim!$A$2:$F$21,3,FALSE)</f>
        <v>SouthWilliamsfurt</v>
      </c>
    </row>
    <row r="1727" spans="1:16" x14ac:dyDescent="0.25">
      <c r="A1727" t="s">
        <v>807</v>
      </c>
      <c r="B1727" t="s">
        <v>1403</v>
      </c>
      <c r="C1727" t="s">
        <v>686</v>
      </c>
      <c r="D1727" s="2">
        <v>45260</v>
      </c>
      <c r="E1727" t="s">
        <v>221</v>
      </c>
      <c r="F1727" t="str">
        <f>VLOOKUP($C1727,Product_Dim!$A$2:$D$101,3,FALSE)</f>
        <v>Hatfield, Baird and Torres</v>
      </c>
      <c r="G1727" t="str">
        <f>VLOOKUP($C1727,Product_Dim!$A$2:$D$101,2,FALSE)</f>
        <v>Home</v>
      </c>
      <c r="H1727">
        <v>1</v>
      </c>
      <c r="I1727">
        <v>522.85</v>
      </c>
      <c r="J1727">
        <v>0.12</v>
      </c>
      <c r="K1727" s="3">
        <v>460.108</v>
      </c>
      <c r="L1727" t="s">
        <v>854</v>
      </c>
      <c r="M1727" t="str">
        <f>VLOOKUP($E1727,Customer_Dim!$A$2:$F$501,3,FALSE)</f>
        <v>Male</v>
      </c>
      <c r="N1727" t="str">
        <f>VLOOKUP($E1727,Customer_Dim!$A$2:$F$501,5,FALSE)</f>
        <v>USA</v>
      </c>
      <c r="O1727" t="str">
        <f>VLOOKUP($E1727,Customer_Dim!$A$2:$F$501,6,FALSE)</f>
        <v>Platinum</v>
      </c>
      <c r="P1727" t="str">
        <f>VLOOKUP($A1727,Store_Dim!$A$2:$F$21,3,FALSE)</f>
        <v>SouthWilliamsfurt</v>
      </c>
    </row>
    <row r="1728" spans="1:16" x14ac:dyDescent="0.25">
      <c r="A1728" t="s">
        <v>807</v>
      </c>
      <c r="B1728" t="s">
        <v>1428</v>
      </c>
      <c r="C1728" t="s">
        <v>686</v>
      </c>
      <c r="D1728" s="2">
        <v>45283</v>
      </c>
      <c r="E1728" t="s">
        <v>410</v>
      </c>
      <c r="F1728" t="str">
        <f>VLOOKUP($C1728,Product_Dim!$A$2:$D$101,3,FALSE)</f>
        <v>Hatfield, Baird and Torres</v>
      </c>
      <c r="G1728" t="str">
        <f>VLOOKUP($C1728,Product_Dim!$A$2:$D$101,2,FALSE)</f>
        <v>Home</v>
      </c>
      <c r="H1728">
        <v>2</v>
      </c>
      <c r="I1728">
        <v>778.56</v>
      </c>
      <c r="J1728">
        <v>0.11</v>
      </c>
      <c r="K1728" s="3">
        <v>1385.8368</v>
      </c>
      <c r="L1728" t="s">
        <v>857</v>
      </c>
      <c r="M1728" t="str">
        <f>VLOOKUP($E1728,Customer_Dim!$A$2:$F$501,3,FALSE)</f>
        <v>Male</v>
      </c>
      <c r="N1728" t="str">
        <f>VLOOKUP($E1728,Customer_Dim!$A$2:$F$501,5,FALSE)</f>
        <v>USA</v>
      </c>
      <c r="O1728" t="str">
        <f>VLOOKUP($E1728,Customer_Dim!$A$2:$F$501,6,FALSE)</f>
        <v>Bronze</v>
      </c>
      <c r="P1728" t="str">
        <f>VLOOKUP($A1728,Store_Dim!$A$2:$F$21,3,FALSE)</f>
        <v>SouthWilliamsfurt</v>
      </c>
    </row>
    <row r="1729" spans="1:16" hidden="1" x14ac:dyDescent="0.25">
      <c r="A1729" t="s">
        <v>807</v>
      </c>
      <c r="B1729" t="s">
        <v>2341</v>
      </c>
      <c r="C1729" t="s">
        <v>686</v>
      </c>
      <c r="D1729" s="2">
        <v>45645</v>
      </c>
      <c r="E1729" t="s">
        <v>529</v>
      </c>
      <c r="F1729" t="str">
        <f>VLOOKUP($C1729,Product_Dim!$A$2:$D$101,3,FALSE)</f>
        <v>Hatfield, Baird and Torres</v>
      </c>
      <c r="G1729" t="str">
        <f>VLOOKUP($C1729,Product_Dim!$A$2:$D$101,2,FALSE)</f>
        <v>Home</v>
      </c>
      <c r="H1729">
        <v>1</v>
      </c>
      <c r="I1729">
        <v>917.26</v>
      </c>
      <c r="J1729">
        <v>0.05</v>
      </c>
      <c r="K1729" s="3">
        <v>871.39699999999993</v>
      </c>
      <c r="L1729" t="s">
        <v>854</v>
      </c>
      <c r="M1729" t="str">
        <f>VLOOKUP($E1729,Customer_Dim!$A$2:$F$501,3,FALSE)</f>
        <v>Female</v>
      </c>
      <c r="N1729" t="str">
        <f>VLOOKUP($E1729,Customer_Dim!$A$2:$F$501,5,FALSE)</f>
        <v>USA</v>
      </c>
      <c r="O1729" t="str">
        <f>VLOOKUP($E1729,Customer_Dim!$A$2:$F$501,6,FALSE)</f>
        <v>Silver</v>
      </c>
      <c r="P1729" t="str">
        <f>VLOOKUP($A1729,Store_Dim!$A$2:$F$21,3,FALSE)</f>
        <v>SouthWilliamsfurt</v>
      </c>
    </row>
    <row r="1730" spans="1:16" hidden="1" x14ac:dyDescent="0.25">
      <c r="A1730" t="s">
        <v>807</v>
      </c>
      <c r="B1730" t="s">
        <v>952</v>
      </c>
      <c r="C1730" t="s">
        <v>688</v>
      </c>
      <c r="D1730" s="2">
        <v>45580</v>
      </c>
      <c r="E1730" t="s">
        <v>195</v>
      </c>
      <c r="F1730" t="str">
        <f>VLOOKUP($C1730,Product_Dim!$A$2:$D$101,3,FALSE)</f>
        <v>Hernandez, Kennedy and Porter</v>
      </c>
      <c r="G1730" t="str">
        <f>VLOOKUP($C1730,Product_Dim!$A$2:$D$101,2,FALSE)</f>
        <v>Home</v>
      </c>
      <c r="H1730">
        <v>4</v>
      </c>
      <c r="I1730">
        <v>476.28</v>
      </c>
      <c r="J1730">
        <v>0.17</v>
      </c>
      <c r="K1730" s="3">
        <v>1581.2496000000001</v>
      </c>
      <c r="L1730" t="s">
        <v>852</v>
      </c>
      <c r="M1730" t="str">
        <f>VLOOKUP($E1730,Customer_Dim!$A$2:$F$501,3,FALSE)</f>
        <v>Female</v>
      </c>
      <c r="N1730" t="str">
        <f>VLOOKUP($E1730,Customer_Dim!$A$2:$F$501,5,FALSE)</f>
        <v>USA</v>
      </c>
      <c r="O1730" t="str">
        <f>VLOOKUP($E1730,Customer_Dim!$A$2:$F$501,6,FALSE)</f>
        <v>Bronze</v>
      </c>
      <c r="P1730" t="str">
        <f>VLOOKUP($A1730,Store_Dim!$A$2:$F$21,3,FALSE)</f>
        <v>SouthWilliamsfurt</v>
      </c>
    </row>
    <row r="1731" spans="1:16" hidden="1" x14ac:dyDescent="0.25">
      <c r="A1731" t="s">
        <v>807</v>
      </c>
      <c r="B1731" t="s">
        <v>1542</v>
      </c>
      <c r="C1731" t="s">
        <v>688</v>
      </c>
      <c r="D1731" s="2">
        <v>45300</v>
      </c>
      <c r="E1731" t="s">
        <v>531</v>
      </c>
      <c r="F1731" t="str">
        <f>VLOOKUP($C1731,Product_Dim!$A$2:$D$101,3,FALSE)</f>
        <v>Hernandez, Kennedy and Porter</v>
      </c>
      <c r="G1731" t="str">
        <f>VLOOKUP($C1731,Product_Dim!$A$2:$D$101,2,FALSE)</f>
        <v>Home</v>
      </c>
      <c r="H1731">
        <v>4</v>
      </c>
      <c r="I1731">
        <v>263.58999999999997</v>
      </c>
      <c r="J1731">
        <v>0.04</v>
      </c>
      <c r="K1731" s="3">
        <v>1012.1856</v>
      </c>
      <c r="L1731" t="s">
        <v>852</v>
      </c>
      <c r="M1731" t="str">
        <f>VLOOKUP($E1731,Customer_Dim!$A$2:$F$501,3,FALSE)</f>
        <v>Female</v>
      </c>
      <c r="N1731" t="str">
        <f>VLOOKUP($E1731,Customer_Dim!$A$2:$F$501,5,FALSE)</f>
        <v>USA</v>
      </c>
      <c r="O1731" t="str">
        <f>VLOOKUP($E1731,Customer_Dim!$A$2:$F$501,6,FALSE)</f>
        <v>Platinum</v>
      </c>
      <c r="P1731" t="str">
        <f>VLOOKUP($A1731,Store_Dim!$A$2:$F$21,3,FALSE)</f>
        <v>SouthWilliamsfurt</v>
      </c>
    </row>
    <row r="1732" spans="1:16" hidden="1" x14ac:dyDescent="0.25">
      <c r="A1732" t="s">
        <v>807</v>
      </c>
      <c r="B1732" t="s">
        <v>2021</v>
      </c>
      <c r="C1732" t="s">
        <v>692</v>
      </c>
      <c r="D1732" s="2">
        <v>45689</v>
      </c>
      <c r="E1732" t="s">
        <v>109</v>
      </c>
      <c r="F1732" t="str">
        <f>VLOOKUP($C1732,Product_Dim!$A$2:$D$101,3,FALSE)</f>
        <v>Shepherd-Gould</v>
      </c>
      <c r="G1732" t="str">
        <f>VLOOKUP($C1732,Product_Dim!$A$2:$D$101,2,FALSE)</f>
        <v>Clothing</v>
      </c>
      <c r="H1732">
        <v>1</v>
      </c>
      <c r="I1732">
        <v>458.69</v>
      </c>
      <c r="J1732">
        <v>0.16</v>
      </c>
      <c r="K1732" s="3">
        <v>385.2996</v>
      </c>
      <c r="L1732" t="s">
        <v>854</v>
      </c>
      <c r="M1732" t="str">
        <f>VLOOKUP($E1732,Customer_Dim!$A$2:$F$501,3,FALSE)</f>
        <v>Female</v>
      </c>
      <c r="N1732" t="str">
        <f>VLOOKUP($E1732,Customer_Dim!$A$2:$F$501,5,FALSE)</f>
        <v>USA</v>
      </c>
      <c r="O1732" t="str">
        <f>VLOOKUP($E1732,Customer_Dim!$A$2:$F$501,6,FALSE)</f>
        <v>Silver</v>
      </c>
      <c r="P1732" t="str">
        <f>VLOOKUP($A1732,Store_Dim!$A$2:$F$21,3,FALSE)</f>
        <v>SouthWilliamsfurt</v>
      </c>
    </row>
    <row r="1733" spans="1:16" hidden="1" x14ac:dyDescent="0.25">
      <c r="A1733" t="s">
        <v>807</v>
      </c>
      <c r="B1733" t="s">
        <v>2124</v>
      </c>
      <c r="C1733" t="s">
        <v>692</v>
      </c>
      <c r="D1733" s="2">
        <v>45609</v>
      </c>
      <c r="E1733" t="s">
        <v>468</v>
      </c>
      <c r="F1733" t="str">
        <f>VLOOKUP($C1733,Product_Dim!$A$2:$D$101,3,FALSE)</f>
        <v>Shepherd-Gould</v>
      </c>
      <c r="G1733" t="str">
        <f>VLOOKUP($C1733,Product_Dim!$A$2:$D$101,2,FALSE)</f>
        <v>Clothing</v>
      </c>
      <c r="H1733">
        <v>3</v>
      </c>
      <c r="I1733">
        <v>742.45</v>
      </c>
      <c r="J1733">
        <v>0.23</v>
      </c>
      <c r="K1733" s="3">
        <v>1715.0595000000001</v>
      </c>
      <c r="L1733" t="s">
        <v>857</v>
      </c>
      <c r="M1733" t="str">
        <f>VLOOKUP($E1733,Customer_Dim!$A$2:$F$501,3,FALSE)</f>
        <v>Female</v>
      </c>
      <c r="N1733" t="str">
        <f>VLOOKUP($E1733,Customer_Dim!$A$2:$F$501,5,FALSE)</f>
        <v>USA</v>
      </c>
      <c r="O1733" t="str">
        <f>VLOOKUP($E1733,Customer_Dim!$A$2:$F$501,6,FALSE)</f>
        <v>Platinum</v>
      </c>
      <c r="P1733" t="str">
        <f>VLOOKUP($A1733,Store_Dim!$A$2:$F$21,3,FALSE)</f>
        <v>SouthWilliamsfurt</v>
      </c>
    </row>
    <row r="1734" spans="1:16" x14ac:dyDescent="0.25">
      <c r="A1734" t="s">
        <v>807</v>
      </c>
      <c r="B1734" t="s">
        <v>2352</v>
      </c>
      <c r="C1734" t="s">
        <v>694</v>
      </c>
      <c r="D1734" s="2">
        <v>45822</v>
      </c>
      <c r="E1734" t="s">
        <v>273</v>
      </c>
      <c r="F1734" t="str">
        <f>VLOOKUP($C1734,Product_Dim!$A$2:$D$101,3,FALSE)</f>
        <v>Cline-Mccarthy</v>
      </c>
      <c r="G1734" t="str">
        <f>VLOOKUP($C1734,Product_Dim!$A$2:$D$101,2,FALSE)</f>
        <v>Beauty</v>
      </c>
      <c r="H1734">
        <v>2</v>
      </c>
      <c r="I1734">
        <v>958.64</v>
      </c>
      <c r="J1734">
        <v>0.2</v>
      </c>
      <c r="K1734" s="3">
        <v>1533.8240000000001</v>
      </c>
      <c r="L1734" t="s">
        <v>854</v>
      </c>
      <c r="M1734" t="str">
        <f>VLOOKUP($E1734,Customer_Dim!$A$2:$F$501,3,FALSE)</f>
        <v>Male</v>
      </c>
      <c r="N1734" t="str">
        <f>VLOOKUP($E1734,Customer_Dim!$A$2:$F$501,5,FALSE)</f>
        <v>USA</v>
      </c>
      <c r="O1734" t="str">
        <f>VLOOKUP($E1734,Customer_Dim!$A$2:$F$501,6,FALSE)</f>
        <v>Platinum</v>
      </c>
      <c r="P1734" t="str">
        <f>VLOOKUP($A1734,Store_Dim!$A$2:$F$21,3,FALSE)</f>
        <v>SouthWilliamsfurt</v>
      </c>
    </row>
    <row r="1735" spans="1:16" hidden="1" x14ac:dyDescent="0.25">
      <c r="A1735" t="s">
        <v>807</v>
      </c>
      <c r="B1735" t="s">
        <v>1418</v>
      </c>
      <c r="C1735" t="s">
        <v>694</v>
      </c>
      <c r="D1735" s="2">
        <v>45507</v>
      </c>
      <c r="E1735" t="s">
        <v>519</v>
      </c>
      <c r="F1735" t="str">
        <f>VLOOKUP($C1735,Product_Dim!$A$2:$D$101,3,FALSE)</f>
        <v>Cline-Mccarthy</v>
      </c>
      <c r="G1735" t="str">
        <f>VLOOKUP($C1735,Product_Dim!$A$2:$D$101,2,FALSE)</f>
        <v>Beauty</v>
      </c>
      <c r="H1735">
        <v>3</v>
      </c>
      <c r="I1735">
        <v>836.4</v>
      </c>
      <c r="J1735">
        <v>0</v>
      </c>
      <c r="K1735" s="3">
        <v>2509.1999999999998</v>
      </c>
      <c r="L1735" t="s">
        <v>852</v>
      </c>
      <c r="M1735" t="str">
        <f>VLOOKUP($E1735,Customer_Dim!$A$2:$F$501,3,FALSE)</f>
        <v>Female</v>
      </c>
      <c r="N1735" t="str">
        <f>VLOOKUP($E1735,Customer_Dim!$A$2:$F$501,5,FALSE)</f>
        <v>USA</v>
      </c>
      <c r="O1735" t="str">
        <f>VLOOKUP($E1735,Customer_Dim!$A$2:$F$501,6,FALSE)</f>
        <v>Bronze</v>
      </c>
      <c r="P1735" t="str">
        <f>VLOOKUP($A1735,Store_Dim!$A$2:$F$21,3,FALSE)</f>
        <v>SouthWilliamsfurt</v>
      </c>
    </row>
    <row r="1736" spans="1:16" hidden="1" x14ac:dyDescent="0.25">
      <c r="A1736" t="s">
        <v>807</v>
      </c>
      <c r="B1736" t="s">
        <v>1610</v>
      </c>
      <c r="C1736" t="s">
        <v>585</v>
      </c>
      <c r="D1736" s="2">
        <v>45786</v>
      </c>
      <c r="E1736" t="s">
        <v>271</v>
      </c>
      <c r="F1736" t="str">
        <f>VLOOKUP($C1736,Product_Dim!$A$2:$D$101,3,FALSE)</f>
        <v>Davidson PLC</v>
      </c>
      <c r="G1736" t="str">
        <f>VLOOKUP($C1736,Product_Dim!$A$2:$D$101,2,FALSE)</f>
        <v>Beauty</v>
      </c>
      <c r="H1736">
        <v>2</v>
      </c>
      <c r="I1736">
        <v>257.95999999999998</v>
      </c>
      <c r="J1736">
        <v>0.21</v>
      </c>
      <c r="K1736" s="3">
        <v>407.57679999999999</v>
      </c>
      <c r="L1736" t="s">
        <v>854</v>
      </c>
      <c r="M1736" t="str">
        <f>VLOOKUP($E1736,Customer_Dim!$A$2:$F$501,3,FALSE)</f>
        <v>Female</v>
      </c>
      <c r="N1736" t="str">
        <f>VLOOKUP($E1736,Customer_Dim!$A$2:$F$501,5,FALSE)</f>
        <v>USA</v>
      </c>
      <c r="O1736" t="str">
        <f>VLOOKUP($E1736,Customer_Dim!$A$2:$F$501,6,FALSE)</f>
        <v>Silver</v>
      </c>
      <c r="P1736" t="str">
        <f>VLOOKUP($A1736,Store_Dim!$A$2:$F$21,3,FALSE)</f>
        <v>SouthWilliamsfurt</v>
      </c>
    </row>
    <row r="1737" spans="1:16" x14ac:dyDescent="0.25">
      <c r="A1737" t="s">
        <v>807</v>
      </c>
      <c r="B1737" t="s">
        <v>1915</v>
      </c>
      <c r="C1737" t="s">
        <v>698</v>
      </c>
      <c r="D1737" s="2">
        <v>45554</v>
      </c>
      <c r="E1737" t="s">
        <v>447</v>
      </c>
      <c r="F1737" t="str">
        <f>VLOOKUP($C1737,Product_Dim!$A$2:$D$101,3,FALSE)</f>
        <v>Lopez LLC</v>
      </c>
      <c r="G1737" t="str">
        <f>VLOOKUP($C1737,Product_Dim!$A$2:$D$101,2,FALSE)</f>
        <v>Sports</v>
      </c>
      <c r="H1737">
        <v>2</v>
      </c>
      <c r="I1737">
        <v>654.12</v>
      </c>
      <c r="J1737">
        <v>0.27</v>
      </c>
      <c r="K1737" s="3">
        <v>955.01519999999994</v>
      </c>
      <c r="L1737" t="s">
        <v>854</v>
      </c>
      <c r="M1737" t="str">
        <f>VLOOKUP($E1737,Customer_Dim!$A$2:$F$501,3,FALSE)</f>
        <v>Male</v>
      </c>
      <c r="N1737" t="str">
        <f>VLOOKUP($E1737,Customer_Dim!$A$2:$F$501,5,FALSE)</f>
        <v>USA</v>
      </c>
      <c r="O1737" t="str">
        <f>VLOOKUP($E1737,Customer_Dim!$A$2:$F$501,6,FALSE)</f>
        <v>Gold</v>
      </c>
      <c r="P1737" t="str">
        <f>VLOOKUP($A1737,Store_Dim!$A$2:$F$21,3,FALSE)</f>
        <v>SouthWilliamsfurt</v>
      </c>
    </row>
    <row r="1738" spans="1:16" x14ac:dyDescent="0.25">
      <c r="A1738" t="s">
        <v>807</v>
      </c>
      <c r="B1738" t="s">
        <v>1754</v>
      </c>
      <c r="C1738" t="s">
        <v>700</v>
      </c>
      <c r="D1738" s="2">
        <v>45713</v>
      </c>
      <c r="E1738" t="s">
        <v>170</v>
      </c>
      <c r="F1738" t="str">
        <f>VLOOKUP($C1738,Product_Dim!$A$2:$D$101,3,FALSE)</f>
        <v>Murray, Gould and Ware</v>
      </c>
      <c r="G1738" t="str">
        <f>VLOOKUP($C1738,Product_Dim!$A$2:$D$101,2,FALSE)</f>
        <v>Electronics</v>
      </c>
      <c r="H1738">
        <v>4</v>
      </c>
      <c r="I1738">
        <v>46.97</v>
      </c>
      <c r="J1738">
        <v>0.26</v>
      </c>
      <c r="K1738" s="3">
        <v>139.03120000000001</v>
      </c>
      <c r="L1738" t="s">
        <v>854</v>
      </c>
      <c r="M1738" t="str">
        <f>VLOOKUP($E1738,Customer_Dim!$A$2:$F$501,3,FALSE)</f>
        <v>Male</v>
      </c>
      <c r="N1738" t="str">
        <f>VLOOKUP($E1738,Customer_Dim!$A$2:$F$501,5,FALSE)</f>
        <v>USA</v>
      </c>
      <c r="O1738" t="str">
        <f>VLOOKUP($E1738,Customer_Dim!$A$2:$F$501,6,FALSE)</f>
        <v>Bronze</v>
      </c>
      <c r="P1738" t="str">
        <f>VLOOKUP($A1738,Store_Dim!$A$2:$F$21,3,FALSE)</f>
        <v>SouthWilliamsfurt</v>
      </c>
    </row>
    <row r="1739" spans="1:16" hidden="1" x14ac:dyDescent="0.25">
      <c r="A1739" t="s">
        <v>807</v>
      </c>
      <c r="B1739" t="s">
        <v>1522</v>
      </c>
      <c r="C1739" t="s">
        <v>702</v>
      </c>
      <c r="D1739" s="2">
        <v>45581</v>
      </c>
      <c r="E1739" t="s">
        <v>105</v>
      </c>
      <c r="F1739" t="str">
        <f>VLOOKUP($C1739,Product_Dim!$A$2:$D$101,3,FALSE)</f>
        <v>Anderson-Riley</v>
      </c>
      <c r="G1739" t="str">
        <f>VLOOKUP($C1739,Product_Dim!$A$2:$D$101,2,FALSE)</f>
        <v>Beauty</v>
      </c>
      <c r="H1739">
        <v>1</v>
      </c>
      <c r="I1739">
        <v>536.67999999999995</v>
      </c>
      <c r="J1739">
        <v>0.27</v>
      </c>
      <c r="K1739" s="3">
        <v>391.77640000000002</v>
      </c>
      <c r="L1739" t="s">
        <v>852</v>
      </c>
      <c r="M1739" t="str">
        <f>VLOOKUP($E1739,Customer_Dim!$A$2:$F$501,3,FALSE)</f>
        <v>Female</v>
      </c>
      <c r="N1739" t="str">
        <f>VLOOKUP($E1739,Customer_Dim!$A$2:$F$501,5,FALSE)</f>
        <v>USA</v>
      </c>
      <c r="O1739" t="str">
        <f>VLOOKUP($E1739,Customer_Dim!$A$2:$F$501,6,FALSE)</f>
        <v>Platinum</v>
      </c>
      <c r="P1739" t="str">
        <f>VLOOKUP($A1739,Store_Dim!$A$2:$F$21,3,FALSE)</f>
        <v>SouthWilliamsfurt</v>
      </c>
    </row>
    <row r="1740" spans="1:16" x14ac:dyDescent="0.25">
      <c r="A1740" t="s">
        <v>807</v>
      </c>
      <c r="B1740" t="s">
        <v>1766</v>
      </c>
      <c r="C1740" t="s">
        <v>704</v>
      </c>
      <c r="D1740" s="2">
        <v>45625</v>
      </c>
      <c r="E1740" t="s">
        <v>258</v>
      </c>
      <c r="F1740" t="str">
        <f>VLOOKUP($C1740,Product_Dim!$A$2:$D$101,3,FALSE)</f>
        <v>Zhang Inc</v>
      </c>
      <c r="G1740" t="str">
        <f>VLOOKUP($C1740,Product_Dim!$A$2:$D$101,2,FALSE)</f>
        <v>Beauty</v>
      </c>
      <c r="H1740">
        <v>2</v>
      </c>
      <c r="I1740">
        <v>747.65</v>
      </c>
      <c r="J1740">
        <v>0.08</v>
      </c>
      <c r="K1740" s="3">
        <v>1375.6759999999999</v>
      </c>
      <c r="L1740" t="s">
        <v>852</v>
      </c>
      <c r="M1740" t="str">
        <f>VLOOKUP($E1740,Customer_Dim!$A$2:$F$501,3,FALSE)</f>
        <v>Male</v>
      </c>
      <c r="N1740" t="str">
        <f>VLOOKUP($E1740,Customer_Dim!$A$2:$F$501,5,FALSE)</f>
        <v>USA</v>
      </c>
      <c r="O1740" t="str">
        <f>VLOOKUP($E1740,Customer_Dim!$A$2:$F$501,6,FALSE)</f>
        <v>Gold</v>
      </c>
      <c r="P1740" t="str">
        <f>VLOOKUP($A1740,Store_Dim!$A$2:$F$21,3,FALSE)</f>
        <v>SouthWilliamsfurt</v>
      </c>
    </row>
    <row r="1741" spans="1:16" x14ac:dyDescent="0.25">
      <c r="A1741" t="s">
        <v>807</v>
      </c>
      <c r="B1741" t="s">
        <v>1143</v>
      </c>
      <c r="C1741" t="s">
        <v>706</v>
      </c>
      <c r="D1741" s="2">
        <v>45438</v>
      </c>
      <c r="E1741" t="s">
        <v>329</v>
      </c>
      <c r="F1741" t="str">
        <f>VLOOKUP($C1741,Product_Dim!$A$2:$D$101,3,FALSE)</f>
        <v>Montgomery, Benton and Miller</v>
      </c>
      <c r="G1741" t="str">
        <f>VLOOKUP($C1741,Product_Dim!$A$2:$D$101,2,FALSE)</f>
        <v>Sports</v>
      </c>
      <c r="H1741">
        <v>1</v>
      </c>
      <c r="I1741">
        <v>203.61</v>
      </c>
      <c r="J1741">
        <v>0.24</v>
      </c>
      <c r="K1741" s="3">
        <v>154.74359999999999</v>
      </c>
      <c r="L1741" t="s">
        <v>857</v>
      </c>
      <c r="M1741" t="str">
        <f>VLOOKUP($E1741,Customer_Dim!$A$2:$F$501,3,FALSE)</f>
        <v>Male</v>
      </c>
      <c r="N1741" t="str">
        <f>VLOOKUP($E1741,Customer_Dim!$A$2:$F$501,5,FALSE)</f>
        <v>USA</v>
      </c>
      <c r="O1741" t="str">
        <f>VLOOKUP($E1741,Customer_Dim!$A$2:$F$501,6,FALSE)</f>
        <v>Bronze</v>
      </c>
      <c r="P1741" t="str">
        <f>VLOOKUP($A1741,Store_Dim!$A$2:$F$21,3,FALSE)</f>
        <v>SouthWilliamsfurt</v>
      </c>
    </row>
    <row r="1742" spans="1:16" hidden="1" x14ac:dyDescent="0.25">
      <c r="A1742" t="s">
        <v>807</v>
      </c>
      <c r="B1742" t="s">
        <v>1823</v>
      </c>
      <c r="C1742" t="s">
        <v>706</v>
      </c>
      <c r="D1742" s="2">
        <v>45274</v>
      </c>
      <c r="E1742" t="s">
        <v>390</v>
      </c>
      <c r="F1742" t="str">
        <f>VLOOKUP($C1742,Product_Dim!$A$2:$D$101,3,FALSE)</f>
        <v>Montgomery, Benton and Miller</v>
      </c>
      <c r="G1742" t="str">
        <f>VLOOKUP($C1742,Product_Dim!$A$2:$D$101,2,FALSE)</f>
        <v>Sports</v>
      </c>
      <c r="H1742">
        <v>1</v>
      </c>
      <c r="I1742">
        <v>370.04</v>
      </c>
      <c r="J1742">
        <v>0.04</v>
      </c>
      <c r="K1742" s="3">
        <v>355.23840000000001</v>
      </c>
      <c r="L1742" t="s">
        <v>857</v>
      </c>
      <c r="M1742" t="str">
        <f>VLOOKUP($E1742,Customer_Dim!$A$2:$F$501,3,FALSE)</f>
        <v>Female</v>
      </c>
      <c r="N1742" t="str">
        <f>VLOOKUP($E1742,Customer_Dim!$A$2:$F$501,5,FALSE)</f>
        <v>USA</v>
      </c>
      <c r="O1742" t="str">
        <f>VLOOKUP($E1742,Customer_Dim!$A$2:$F$501,6,FALSE)</f>
        <v>Platinum</v>
      </c>
      <c r="P1742" t="str">
        <f>VLOOKUP($A1742,Store_Dim!$A$2:$F$21,3,FALSE)</f>
        <v>SouthWilliamsfurt</v>
      </c>
    </row>
    <row r="1743" spans="1:16" x14ac:dyDescent="0.25">
      <c r="A1743" t="s">
        <v>807</v>
      </c>
      <c r="B1743" t="s">
        <v>905</v>
      </c>
      <c r="C1743" t="s">
        <v>714</v>
      </c>
      <c r="D1743" s="2">
        <v>45689</v>
      </c>
      <c r="E1743" t="s">
        <v>206</v>
      </c>
      <c r="F1743" t="str">
        <f>VLOOKUP($C1743,Product_Dim!$A$2:$D$101,3,FALSE)</f>
        <v>Fitzpatrick Ltd</v>
      </c>
      <c r="G1743" t="str">
        <f>VLOOKUP($C1743,Product_Dim!$A$2:$D$101,2,FALSE)</f>
        <v>Clothing</v>
      </c>
      <c r="H1743">
        <v>3</v>
      </c>
      <c r="I1743">
        <v>76.569999999999993</v>
      </c>
      <c r="J1743">
        <v>0.26</v>
      </c>
      <c r="K1743" s="3">
        <v>169.9854</v>
      </c>
      <c r="L1743" t="s">
        <v>852</v>
      </c>
      <c r="M1743" t="str">
        <f>VLOOKUP($E1743,Customer_Dim!$A$2:$F$501,3,FALSE)</f>
        <v>Male</v>
      </c>
      <c r="N1743" t="str">
        <f>VLOOKUP($E1743,Customer_Dim!$A$2:$F$501,5,FALSE)</f>
        <v>USA</v>
      </c>
      <c r="O1743" t="str">
        <f>VLOOKUP($E1743,Customer_Dim!$A$2:$F$501,6,FALSE)</f>
        <v>Bronze</v>
      </c>
      <c r="P1743" t="str">
        <f>VLOOKUP($A1743,Store_Dim!$A$2:$F$21,3,FALSE)</f>
        <v>SouthWilliamsfurt</v>
      </c>
    </row>
    <row r="1744" spans="1:16" hidden="1" x14ac:dyDescent="0.25">
      <c r="A1744" t="s">
        <v>807</v>
      </c>
      <c r="B1744" t="s">
        <v>2485</v>
      </c>
      <c r="C1744" t="s">
        <v>588</v>
      </c>
      <c r="D1744" s="2">
        <v>45739</v>
      </c>
      <c r="E1744" t="s">
        <v>564</v>
      </c>
      <c r="F1744" t="str">
        <f>VLOOKUP($C1744,Product_Dim!$A$2:$D$101,3,FALSE)</f>
        <v>Harrell LLC</v>
      </c>
      <c r="G1744" t="str">
        <f>VLOOKUP($C1744,Product_Dim!$A$2:$D$101,2,FALSE)</f>
        <v>Home</v>
      </c>
      <c r="H1744">
        <v>2</v>
      </c>
      <c r="I1744">
        <v>784.26</v>
      </c>
      <c r="J1744">
        <v>0.23</v>
      </c>
      <c r="K1744" s="3">
        <v>1207.7603999999999</v>
      </c>
      <c r="L1744" t="s">
        <v>854</v>
      </c>
      <c r="M1744" t="str">
        <f>VLOOKUP($E1744,Customer_Dim!$A$2:$F$501,3,FALSE)</f>
        <v>Female</v>
      </c>
      <c r="N1744" t="str">
        <f>VLOOKUP($E1744,Customer_Dim!$A$2:$F$501,5,FALSE)</f>
        <v>USA</v>
      </c>
      <c r="O1744" t="str">
        <f>VLOOKUP($E1744,Customer_Dim!$A$2:$F$501,6,FALSE)</f>
        <v>Gold</v>
      </c>
      <c r="P1744" t="str">
        <f>VLOOKUP($A1744,Store_Dim!$A$2:$F$21,3,FALSE)</f>
        <v>SouthWilliamsfurt</v>
      </c>
    </row>
    <row r="1745" spans="1:16" hidden="1" x14ac:dyDescent="0.25">
      <c r="A1745" t="s">
        <v>807</v>
      </c>
      <c r="B1745" t="s">
        <v>2468</v>
      </c>
      <c r="C1745" t="s">
        <v>716</v>
      </c>
      <c r="D1745" s="2">
        <v>45628</v>
      </c>
      <c r="E1745" t="s">
        <v>95</v>
      </c>
      <c r="F1745" t="str">
        <f>VLOOKUP($C1745,Product_Dim!$A$2:$D$101,3,FALSE)</f>
        <v>Duran Group</v>
      </c>
      <c r="G1745" t="str">
        <f>VLOOKUP($C1745,Product_Dim!$A$2:$D$101,2,FALSE)</f>
        <v>Home</v>
      </c>
      <c r="H1745">
        <v>3</v>
      </c>
      <c r="I1745">
        <v>687.66</v>
      </c>
      <c r="J1745">
        <v>0.06</v>
      </c>
      <c r="K1745" s="3">
        <v>1939.2012</v>
      </c>
      <c r="L1745" t="s">
        <v>854</v>
      </c>
      <c r="M1745" t="str">
        <f>VLOOKUP($E1745,Customer_Dim!$A$2:$F$501,3,FALSE)</f>
        <v>Female</v>
      </c>
      <c r="N1745" t="str">
        <f>VLOOKUP($E1745,Customer_Dim!$A$2:$F$501,5,FALSE)</f>
        <v>USA</v>
      </c>
      <c r="O1745" t="str">
        <f>VLOOKUP($E1745,Customer_Dim!$A$2:$F$501,6,FALSE)</f>
        <v>Gold</v>
      </c>
      <c r="P1745" t="str">
        <f>VLOOKUP($A1745,Store_Dim!$A$2:$F$21,3,FALSE)</f>
        <v>SouthWilliamsfurt</v>
      </c>
    </row>
    <row r="1746" spans="1:16" x14ac:dyDescent="0.25">
      <c r="A1746" t="s">
        <v>807</v>
      </c>
      <c r="B1746" t="s">
        <v>2470</v>
      </c>
      <c r="C1746" t="s">
        <v>718</v>
      </c>
      <c r="D1746" s="2">
        <v>45456</v>
      </c>
      <c r="E1746" t="s">
        <v>118</v>
      </c>
      <c r="F1746" t="str">
        <f>VLOOKUP($C1746,Product_Dim!$A$2:$D$101,3,FALSE)</f>
        <v>Hopkins Ltd</v>
      </c>
      <c r="G1746" t="str">
        <f>VLOOKUP($C1746,Product_Dim!$A$2:$D$101,2,FALSE)</f>
        <v>Beauty</v>
      </c>
      <c r="H1746">
        <v>1</v>
      </c>
      <c r="I1746">
        <v>475.15</v>
      </c>
      <c r="J1746">
        <v>0.04</v>
      </c>
      <c r="K1746" s="3">
        <v>456.14399999999989</v>
      </c>
      <c r="L1746" t="s">
        <v>857</v>
      </c>
      <c r="M1746" t="str">
        <f>VLOOKUP($E1746,Customer_Dim!$A$2:$F$501,3,FALSE)</f>
        <v>Male</v>
      </c>
      <c r="N1746" t="str">
        <f>VLOOKUP($E1746,Customer_Dim!$A$2:$F$501,5,FALSE)</f>
        <v>USA</v>
      </c>
      <c r="O1746" t="str">
        <f>VLOOKUP($E1746,Customer_Dim!$A$2:$F$501,6,FALSE)</f>
        <v>Silver</v>
      </c>
      <c r="P1746" t="str">
        <f>VLOOKUP($A1746,Store_Dim!$A$2:$F$21,3,FALSE)</f>
        <v>SouthWilliamsfurt</v>
      </c>
    </row>
    <row r="1747" spans="1:16" hidden="1" x14ac:dyDescent="0.25">
      <c r="A1747" t="s">
        <v>807</v>
      </c>
      <c r="B1747" t="s">
        <v>1023</v>
      </c>
      <c r="C1747" t="s">
        <v>720</v>
      </c>
      <c r="D1747" s="2">
        <v>45313</v>
      </c>
      <c r="E1747" t="s">
        <v>440</v>
      </c>
      <c r="F1747" t="str">
        <f>VLOOKUP($C1747,Product_Dim!$A$2:$D$101,3,FALSE)</f>
        <v>Davis PLC</v>
      </c>
      <c r="G1747" t="str">
        <f>VLOOKUP($C1747,Product_Dim!$A$2:$D$101,2,FALSE)</f>
        <v>Sports</v>
      </c>
      <c r="H1747">
        <v>2</v>
      </c>
      <c r="I1747">
        <v>343.42</v>
      </c>
      <c r="J1747">
        <v>0.12</v>
      </c>
      <c r="K1747" s="3">
        <v>604.41920000000005</v>
      </c>
      <c r="L1747" t="s">
        <v>857</v>
      </c>
      <c r="M1747" t="str">
        <f>VLOOKUP($E1747,Customer_Dim!$A$2:$F$501,3,FALSE)</f>
        <v>Female</v>
      </c>
      <c r="N1747" t="str">
        <f>VLOOKUP($E1747,Customer_Dim!$A$2:$F$501,5,FALSE)</f>
        <v>USA</v>
      </c>
      <c r="O1747" t="str">
        <f>VLOOKUP($E1747,Customer_Dim!$A$2:$F$501,6,FALSE)</f>
        <v>Gold</v>
      </c>
      <c r="P1747" t="str">
        <f>VLOOKUP($A1747,Store_Dim!$A$2:$F$21,3,FALSE)</f>
        <v>SouthWilliamsfurt</v>
      </c>
    </row>
    <row r="1748" spans="1:16" hidden="1" x14ac:dyDescent="0.25">
      <c r="A1748" t="s">
        <v>807</v>
      </c>
      <c r="B1748" t="s">
        <v>2259</v>
      </c>
      <c r="C1748" t="s">
        <v>720</v>
      </c>
      <c r="D1748" s="2">
        <v>45351</v>
      </c>
      <c r="E1748" t="s">
        <v>485</v>
      </c>
      <c r="F1748" t="str">
        <f>VLOOKUP($C1748,Product_Dim!$A$2:$D$101,3,FALSE)</f>
        <v>Davis PLC</v>
      </c>
      <c r="G1748" t="str">
        <f>VLOOKUP($C1748,Product_Dim!$A$2:$D$101,2,FALSE)</f>
        <v>Sports</v>
      </c>
      <c r="H1748">
        <v>4</v>
      </c>
      <c r="I1748">
        <v>282.07</v>
      </c>
      <c r="J1748">
        <v>0.18</v>
      </c>
      <c r="K1748" s="3">
        <v>925.18960000000004</v>
      </c>
      <c r="L1748" t="s">
        <v>854</v>
      </c>
      <c r="M1748" t="str">
        <f>VLOOKUP($E1748,Customer_Dim!$A$2:$F$501,3,FALSE)</f>
        <v>Female</v>
      </c>
      <c r="N1748" t="str">
        <f>VLOOKUP($E1748,Customer_Dim!$A$2:$F$501,5,FALSE)</f>
        <v>USA</v>
      </c>
      <c r="O1748" t="str">
        <f>VLOOKUP($E1748,Customer_Dim!$A$2:$F$501,6,FALSE)</f>
        <v>Silver</v>
      </c>
      <c r="P1748" t="str">
        <f>VLOOKUP($A1748,Store_Dim!$A$2:$F$21,3,FALSE)</f>
        <v>SouthWilliamsfurt</v>
      </c>
    </row>
    <row r="1749" spans="1:16" hidden="1" x14ac:dyDescent="0.25">
      <c r="A1749" t="s">
        <v>807</v>
      </c>
      <c r="B1749" t="s">
        <v>1655</v>
      </c>
      <c r="C1749" t="s">
        <v>722</v>
      </c>
      <c r="D1749" s="2">
        <v>45277</v>
      </c>
      <c r="E1749" t="s">
        <v>414</v>
      </c>
      <c r="F1749" t="str">
        <f>VLOOKUP($C1749,Product_Dim!$A$2:$D$101,3,FALSE)</f>
        <v>French Ltd</v>
      </c>
      <c r="G1749" t="str">
        <f>VLOOKUP($C1749,Product_Dim!$A$2:$D$101,2,FALSE)</f>
        <v>Sports</v>
      </c>
      <c r="H1749">
        <v>3</v>
      </c>
      <c r="I1749">
        <v>405.13</v>
      </c>
      <c r="J1749">
        <v>0.14000000000000001</v>
      </c>
      <c r="K1749" s="3">
        <v>1045.2354</v>
      </c>
      <c r="L1749" t="s">
        <v>857</v>
      </c>
      <c r="M1749" t="str">
        <f>VLOOKUP($E1749,Customer_Dim!$A$2:$F$501,3,FALSE)</f>
        <v>Female</v>
      </c>
      <c r="N1749" t="str">
        <f>VLOOKUP($E1749,Customer_Dim!$A$2:$F$501,5,FALSE)</f>
        <v>USA</v>
      </c>
      <c r="O1749" t="str">
        <f>VLOOKUP($E1749,Customer_Dim!$A$2:$F$501,6,FALSE)</f>
        <v>Gold</v>
      </c>
      <c r="P1749" t="str">
        <f>VLOOKUP($A1749,Store_Dim!$A$2:$F$21,3,FALSE)</f>
        <v>SouthWilliamsfurt</v>
      </c>
    </row>
    <row r="1750" spans="1:16" x14ac:dyDescent="0.25">
      <c r="A1750" t="s">
        <v>807</v>
      </c>
      <c r="B1750" t="s">
        <v>1100</v>
      </c>
      <c r="C1750" t="s">
        <v>724</v>
      </c>
      <c r="D1750" s="2">
        <v>45846</v>
      </c>
      <c r="E1750" t="s">
        <v>411</v>
      </c>
      <c r="F1750" t="str">
        <f>VLOOKUP($C1750,Product_Dim!$A$2:$D$101,3,FALSE)</f>
        <v>Bruce-Bowen</v>
      </c>
      <c r="G1750" t="str">
        <f>VLOOKUP($C1750,Product_Dim!$A$2:$D$101,2,FALSE)</f>
        <v>Electronics</v>
      </c>
      <c r="H1750">
        <v>2</v>
      </c>
      <c r="I1750">
        <v>130.47999999999999</v>
      </c>
      <c r="J1750">
        <v>0.23</v>
      </c>
      <c r="K1750" s="3">
        <v>200.9392</v>
      </c>
      <c r="L1750" t="s">
        <v>854</v>
      </c>
      <c r="M1750" t="str">
        <f>VLOOKUP($E1750,Customer_Dim!$A$2:$F$501,3,FALSE)</f>
        <v>Male</v>
      </c>
      <c r="N1750" t="str">
        <f>VLOOKUP($E1750,Customer_Dim!$A$2:$F$501,5,FALSE)</f>
        <v>USA</v>
      </c>
      <c r="O1750" t="str">
        <f>VLOOKUP($E1750,Customer_Dim!$A$2:$F$501,6,FALSE)</f>
        <v>Gold</v>
      </c>
      <c r="P1750" t="str">
        <f>VLOOKUP($A1750,Store_Dim!$A$2:$F$21,3,FALSE)</f>
        <v>SouthWilliamsfurt</v>
      </c>
    </row>
    <row r="1751" spans="1:16" x14ac:dyDescent="0.25">
      <c r="A1751" t="s">
        <v>807</v>
      </c>
      <c r="B1751" t="s">
        <v>2323</v>
      </c>
      <c r="C1751" t="s">
        <v>726</v>
      </c>
      <c r="D1751" s="2">
        <v>45718</v>
      </c>
      <c r="E1751" t="s">
        <v>426</v>
      </c>
      <c r="F1751" t="str">
        <f>VLOOKUP($C1751,Product_Dim!$A$2:$D$101,3,FALSE)</f>
        <v>Poole PLC</v>
      </c>
      <c r="G1751" t="str">
        <f>VLOOKUP($C1751,Product_Dim!$A$2:$D$101,2,FALSE)</f>
        <v>Clothing</v>
      </c>
      <c r="H1751">
        <v>3</v>
      </c>
      <c r="I1751">
        <v>582.1</v>
      </c>
      <c r="J1751">
        <v>0.12</v>
      </c>
      <c r="K1751" s="3">
        <v>1536.7439999999999</v>
      </c>
      <c r="L1751" t="s">
        <v>854</v>
      </c>
      <c r="M1751" t="str">
        <f>VLOOKUP($E1751,Customer_Dim!$A$2:$F$501,3,FALSE)</f>
        <v>Male</v>
      </c>
      <c r="N1751" t="str">
        <f>VLOOKUP($E1751,Customer_Dim!$A$2:$F$501,5,FALSE)</f>
        <v>USA</v>
      </c>
      <c r="O1751" t="str">
        <f>VLOOKUP($E1751,Customer_Dim!$A$2:$F$501,6,FALSE)</f>
        <v>Silver</v>
      </c>
      <c r="P1751" t="str">
        <f>VLOOKUP($A1751,Store_Dim!$A$2:$F$21,3,FALSE)</f>
        <v>SouthWilliamsfurt</v>
      </c>
    </row>
    <row r="1752" spans="1:16" x14ac:dyDescent="0.25">
      <c r="A1752" t="s">
        <v>807</v>
      </c>
      <c r="B1752" t="s">
        <v>2011</v>
      </c>
      <c r="C1752" t="s">
        <v>732</v>
      </c>
      <c r="D1752" s="2">
        <v>45811</v>
      </c>
      <c r="E1752" t="s">
        <v>296</v>
      </c>
      <c r="F1752" t="str">
        <f>VLOOKUP($C1752,Product_Dim!$A$2:$D$101,3,FALSE)</f>
        <v>Hernandez Inc</v>
      </c>
      <c r="G1752" t="str">
        <f>VLOOKUP($C1752,Product_Dim!$A$2:$D$101,2,FALSE)</f>
        <v>Home</v>
      </c>
      <c r="H1752">
        <v>3</v>
      </c>
      <c r="I1752">
        <v>744.9</v>
      </c>
      <c r="J1752">
        <v>0.27</v>
      </c>
      <c r="K1752" s="3">
        <v>1631.3309999999999</v>
      </c>
      <c r="L1752" t="s">
        <v>854</v>
      </c>
      <c r="M1752" t="str">
        <f>VLOOKUP($E1752,Customer_Dim!$A$2:$F$501,3,FALSE)</f>
        <v>Male</v>
      </c>
      <c r="N1752" t="str">
        <f>VLOOKUP($E1752,Customer_Dim!$A$2:$F$501,5,FALSE)</f>
        <v>USA</v>
      </c>
      <c r="O1752" t="str">
        <f>VLOOKUP($E1752,Customer_Dim!$A$2:$F$501,6,FALSE)</f>
        <v>Bronze</v>
      </c>
      <c r="P1752" t="str">
        <f>VLOOKUP($A1752,Store_Dim!$A$2:$F$21,3,FALSE)</f>
        <v>SouthWilliamsfurt</v>
      </c>
    </row>
    <row r="1753" spans="1:16" hidden="1" x14ac:dyDescent="0.25">
      <c r="A1753" t="s">
        <v>807</v>
      </c>
      <c r="B1753" t="s">
        <v>2625</v>
      </c>
      <c r="C1753" t="s">
        <v>734</v>
      </c>
      <c r="D1753" s="2">
        <v>45418</v>
      </c>
      <c r="E1753" t="s">
        <v>471</v>
      </c>
      <c r="F1753" t="str">
        <f>VLOOKUP($C1753,Product_Dim!$A$2:$D$101,3,FALSE)</f>
        <v>Ramirez-Hanson</v>
      </c>
      <c r="G1753" t="str">
        <f>VLOOKUP($C1753,Product_Dim!$A$2:$D$101,2,FALSE)</f>
        <v>Home</v>
      </c>
      <c r="H1753">
        <v>1</v>
      </c>
      <c r="I1753">
        <v>224.49</v>
      </c>
      <c r="J1753">
        <v>0.11</v>
      </c>
      <c r="K1753" s="3">
        <v>199.7961</v>
      </c>
      <c r="L1753" t="s">
        <v>854</v>
      </c>
      <c r="M1753" t="str">
        <f>VLOOKUP($E1753,Customer_Dim!$A$2:$F$501,3,FALSE)</f>
        <v>Female</v>
      </c>
      <c r="N1753" t="str">
        <f>VLOOKUP($E1753,Customer_Dim!$A$2:$F$501,5,FALSE)</f>
        <v>USA</v>
      </c>
      <c r="O1753" t="str">
        <f>VLOOKUP($E1753,Customer_Dim!$A$2:$F$501,6,FALSE)</f>
        <v>Silver</v>
      </c>
      <c r="P1753" t="str">
        <f>VLOOKUP($A1753,Store_Dim!$A$2:$F$21,3,FALSE)</f>
        <v>SouthWilliamsfurt</v>
      </c>
    </row>
    <row r="1754" spans="1:16" hidden="1" x14ac:dyDescent="0.25">
      <c r="A1754" t="s">
        <v>807</v>
      </c>
      <c r="B1754" t="s">
        <v>1021</v>
      </c>
      <c r="C1754" t="s">
        <v>734</v>
      </c>
      <c r="D1754" s="2">
        <v>45866</v>
      </c>
      <c r="E1754" t="s">
        <v>482</v>
      </c>
      <c r="F1754" t="str">
        <f>VLOOKUP($C1754,Product_Dim!$A$2:$D$101,3,FALSE)</f>
        <v>Ramirez-Hanson</v>
      </c>
      <c r="G1754" t="str">
        <f>VLOOKUP($C1754,Product_Dim!$A$2:$D$101,2,FALSE)</f>
        <v>Home</v>
      </c>
      <c r="H1754">
        <v>4</v>
      </c>
      <c r="I1754">
        <v>422.09</v>
      </c>
      <c r="J1754">
        <v>0.04</v>
      </c>
      <c r="K1754" s="3">
        <v>1620.8255999999999</v>
      </c>
      <c r="L1754" t="s">
        <v>852</v>
      </c>
      <c r="M1754" t="str">
        <f>VLOOKUP($E1754,Customer_Dim!$A$2:$F$501,3,FALSE)</f>
        <v>Female</v>
      </c>
      <c r="N1754" t="str">
        <f>VLOOKUP($E1754,Customer_Dim!$A$2:$F$501,5,FALSE)</f>
        <v>USA</v>
      </c>
      <c r="O1754" t="str">
        <f>VLOOKUP($E1754,Customer_Dim!$A$2:$F$501,6,FALSE)</f>
        <v>Silver</v>
      </c>
      <c r="P1754" t="str">
        <f>VLOOKUP($A1754,Store_Dim!$A$2:$F$21,3,FALSE)</f>
        <v>SouthWilliamsfurt</v>
      </c>
    </row>
    <row r="1755" spans="1:16" hidden="1" x14ac:dyDescent="0.25">
      <c r="A1755" t="s">
        <v>807</v>
      </c>
      <c r="B1755" t="s">
        <v>1099</v>
      </c>
      <c r="C1755" t="s">
        <v>590</v>
      </c>
      <c r="D1755" s="2">
        <v>45349</v>
      </c>
      <c r="E1755" t="s">
        <v>530</v>
      </c>
      <c r="F1755" t="str">
        <f>VLOOKUP($C1755,Product_Dim!$A$2:$D$101,3,FALSE)</f>
        <v>Perez-Johnston</v>
      </c>
      <c r="G1755" t="str">
        <f>VLOOKUP($C1755,Product_Dim!$A$2:$D$101,2,FALSE)</f>
        <v>Electronics</v>
      </c>
      <c r="H1755">
        <v>2</v>
      </c>
      <c r="I1755">
        <v>377.3</v>
      </c>
      <c r="J1755">
        <v>0.15</v>
      </c>
      <c r="K1755" s="3">
        <v>641.41</v>
      </c>
      <c r="L1755" t="s">
        <v>854</v>
      </c>
      <c r="M1755" t="str">
        <f>VLOOKUP($E1755,Customer_Dim!$A$2:$F$501,3,FALSE)</f>
        <v>Female</v>
      </c>
      <c r="N1755" t="str">
        <f>VLOOKUP($E1755,Customer_Dim!$A$2:$F$501,5,FALSE)</f>
        <v>USA</v>
      </c>
      <c r="O1755" t="str">
        <f>VLOOKUP($E1755,Customer_Dim!$A$2:$F$501,6,FALSE)</f>
        <v>Bronze</v>
      </c>
      <c r="P1755" t="str">
        <f>VLOOKUP($A1755,Store_Dim!$A$2:$F$21,3,FALSE)</f>
        <v>SouthWilliamsfurt</v>
      </c>
    </row>
    <row r="1756" spans="1:16" x14ac:dyDescent="0.25">
      <c r="A1756" t="s">
        <v>807</v>
      </c>
      <c r="B1756" t="s">
        <v>1778</v>
      </c>
      <c r="C1756" t="s">
        <v>738</v>
      </c>
      <c r="D1756" s="2">
        <v>45471</v>
      </c>
      <c r="E1756" t="s">
        <v>246</v>
      </c>
      <c r="F1756" t="str">
        <f>VLOOKUP($C1756,Product_Dim!$A$2:$D$101,3,FALSE)</f>
        <v>Robinson-Brown</v>
      </c>
      <c r="G1756" t="str">
        <f>VLOOKUP($C1756,Product_Dim!$A$2:$D$101,2,FALSE)</f>
        <v>Sports</v>
      </c>
      <c r="H1756">
        <v>1</v>
      </c>
      <c r="I1756">
        <v>26.37</v>
      </c>
      <c r="J1756">
        <v>0.3</v>
      </c>
      <c r="K1756" s="3">
        <v>18.459</v>
      </c>
      <c r="L1756" t="s">
        <v>857</v>
      </c>
      <c r="M1756" t="str">
        <f>VLOOKUP($E1756,Customer_Dim!$A$2:$F$501,3,FALSE)</f>
        <v>Male</v>
      </c>
      <c r="N1756" t="str">
        <f>VLOOKUP($E1756,Customer_Dim!$A$2:$F$501,5,FALSE)</f>
        <v>USA</v>
      </c>
      <c r="O1756" t="str">
        <f>VLOOKUP($E1756,Customer_Dim!$A$2:$F$501,6,FALSE)</f>
        <v>Bronze</v>
      </c>
      <c r="P1756" t="str">
        <f>VLOOKUP($A1756,Store_Dim!$A$2:$F$21,3,FALSE)</f>
        <v>SouthWilliamsfurt</v>
      </c>
    </row>
    <row r="1757" spans="1:16" hidden="1" x14ac:dyDescent="0.25">
      <c r="A1757" t="s">
        <v>807</v>
      </c>
      <c r="B1757" t="s">
        <v>1457</v>
      </c>
      <c r="C1757" t="s">
        <v>738</v>
      </c>
      <c r="D1757" s="2">
        <v>45379</v>
      </c>
      <c r="E1757" t="s">
        <v>360</v>
      </c>
      <c r="F1757" t="str">
        <f>VLOOKUP($C1757,Product_Dim!$A$2:$D$101,3,FALSE)</f>
        <v>Robinson-Brown</v>
      </c>
      <c r="G1757" t="str">
        <f>VLOOKUP($C1757,Product_Dim!$A$2:$D$101,2,FALSE)</f>
        <v>Sports</v>
      </c>
      <c r="H1757">
        <v>4</v>
      </c>
      <c r="I1757">
        <v>262.05</v>
      </c>
      <c r="J1757">
        <v>0.24</v>
      </c>
      <c r="K1757" s="3">
        <v>796.63200000000006</v>
      </c>
      <c r="L1757" t="s">
        <v>854</v>
      </c>
      <c r="M1757" t="str">
        <f>VLOOKUP($E1757,Customer_Dim!$A$2:$F$501,3,FALSE)</f>
        <v>Female</v>
      </c>
      <c r="N1757" t="str">
        <f>VLOOKUP($E1757,Customer_Dim!$A$2:$F$501,5,FALSE)</f>
        <v>USA</v>
      </c>
      <c r="O1757" t="str">
        <f>VLOOKUP($E1757,Customer_Dim!$A$2:$F$501,6,FALSE)</f>
        <v>Platinum</v>
      </c>
      <c r="P1757" t="str">
        <f>VLOOKUP($A1757,Store_Dim!$A$2:$F$21,3,FALSE)</f>
        <v>SouthWilliamsfurt</v>
      </c>
    </row>
    <row r="1758" spans="1:16" hidden="1" x14ac:dyDescent="0.25">
      <c r="A1758" t="s">
        <v>807</v>
      </c>
      <c r="B1758" t="s">
        <v>2153</v>
      </c>
      <c r="C1758" t="s">
        <v>740</v>
      </c>
      <c r="D1758" s="2">
        <v>45451</v>
      </c>
      <c r="E1758" t="s">
        <v>172</v>
      </c>
      <c r="F1758" t="str">
        <f>VLOOKUP($C1758,Product_Dim!$A$2:$D$101,3,FALSE)</f>
        <v>Reese-Watson</v>
      </c>
      <c r="G1758" t="str">
        <f>VLOOKUP($C1758,Product_Dim!$A$2:$D$101,2,FALSE)</f>
        <v>Sports</v>
      </c>
      <c r="H1758">
        <v>1</v>
      </c>
      <c r="I1758">
        <v>162.13999999999999</v>
      </c>
      <c r="J1758">
        <v>7.0000000000000007E-2</v>
      </c>
      <c r="K1758" s="3">
        <v>150.7902</v>
      </c>
      <c r="L1758" t="s">
        <v>854</v>
      </c>
      <c r="M1758" t="str">
        <f>VLOOKUP($E1758,Customer_Dim!$A$2:$F$501,3,FALSE)</f>
        <v>Female</v>
      </c>
      <c r="N1758" t="str">
        <f>VLOOKUP($E1758,Customer_Dim!$A$2:$F$501,5,FALSE)</f>
        <v>USA</v>
      </c>
      <c r="O1758" t="str">
        <f>VLOOKUP($E1758,Customer_Dim!$A$2:$F$501,6,FALSE)</f>
        <v>Gold</v>
      </c>
      <c r="P1758" t="str">
        <f>VLOOKUP($A1758,Store_Dim!$A$2:$F$21,3,FALSE)</f>
        <v>SouthWilliamsfurt</v>
      </c>
    </row>
    <row r="1759" spans="1:16" x14ac:dyDescent="0.25">
      <c r="A1759" t="s">
        <v>807</v>
      </c>
      <c r="B1759" t="s">
        <v>1121</v>
      </c>
      <c r="C1759" t="s">
        <v>742</v>
      </c>
      <c r="D1759" s="2">
        <v>45807</v>
      </c>
      <c r="E1759" t="s">
        <v>181</v>
      </c>
      <c r="F1759" t="str">
        <f>VLOOKUP($C1759,Product_Dim!$A$2:$D$101,3,FALSE)</f>
        <v>Butler Group</v>
      </c>
      <c r="G1759" t="str">
        <f>VLOOKUP($C1759,Product_Dim!$A$2:$D$101,2,FALSE)</f>
        <v>Beauty</v>
      </c>
      <c r="H1759">
        <v>2</v>
      </c>
      <c r="I1759">
        <v>467.75</v>
      </c>
      <c r="J1759">
        <v>0.26</v>
      </c>
      <c r="K1759" s="3">
        <v>692.27</v>
      </c>
      <c r="L1759" t="s">
        <v>852</v>
      </c>
      <c r="M1759" t="str">
        <f>VLOOKUP($E1759,Customer_Dim!$A$2:$F$501,3,FALSE)</f>
        <v>Male</v>
      </c>
      <c r="N1759" t="str">
        <f>VLOOKUP($E1759,Customer_Dim!$A$2:$F$501,5,FALSE)</f>
        <v>USA</v>
      </c>
      <c r="O1759" t="str">
        <f>VLOOKUP($E1759,Customer_Dim!$A$2:$F$501,6,FALSE)</f>
        <v>Platinum</v>
      </c>
      <c r="P1759" t="str">
        <f>VLOOKUP($A1759,Store_Dim!$A$2:$F$21,3,FALSE)</f>
        <v>SouthWilliamsfurt</v>
      </c>
    </row>
    <row r="1760" spans="1:16" x14ac:dyDescent="0.25">
      <c r="A1760" t="s">
        <v>807</v>
      </c>
      <c r="B1760" t="s">
        <v>2074</v>
      </c>
      <c r="C1760" t="s">
        <v>744</v>
      </c>
      <c r="D1760" s="2">
        <v>45531</v>
      </c>
      <c r="E1760" t="s">
        <v>380</v>
      </c>
      <c r="F1760" t="str">
        <f>VLOOKUP($C1760,Product_Dim!$A$2:$D$101,3,FALSE)</f>
        <v>Collins-Stephenson</v>
      </c>
      <c r="G1760" t="str">
        <f>VLOOKUP($C1760,Product_Dim!$A$2:$D$101,2,FALSE)</f>
        <v>Home</v>
      </c>
      <c r="H1760">
        <v>4</v>
      </c>
      <c r="I1760">
        <v>450.83</v>
      </c>
      <c r="J1760">
        <v>0.24</v>
      </c>
      <c r="K1760" s="3">
        <v>1370.5232000000001</v>
      </c>
      <c r="L1760" t="s">
        <v>852</v>
      </c>
      <c r="M1760" t="str">
        <f>VLOOKUP($E1760,Customer_Dim!$A$2:$F$501,3,FALSE)</f>
        <v>Male</v>
      </c>
      <c r="N1760" t="str">
        <f>VLOOKUP($E1760,Customer_Dim!$A$2:$F$501,5,FALSE)</f>
        <v>USA</v>
      </c>
      <c r="O1760" t="str">
        <f>VLOOKUP($E1760,Customer_Dim!$A$2:$F$501,6,FALSE)</f>
        <v>Platinum</v>
      </c>
      <c r="P1760" t="str">
        <f>VLOOKUP($A1760,Store_Dim!$A$2:$F$21,3,FALSE)</f>
        <v>SouthWilliamsfurt</v>
      </c>
    </row>
    <row r="1761" spans="1:16" x14ac:dyDescent="0.25">
      <c r="A1761" t="s">
        <v>807</v>
      </c>
      <c r="B1761" t="s">
        <v>969</v>
      </c>
      <c r="C1761" t="s">
        <v>746</v>
      </c>
      <c r="D1761" s="2">
        <v>45925</v>
      </c>
      <c r="E1761" t="s">
        <v>323</v>
      </c>
      <c r="F1761" t="str">
        <f>VLOOKUP($C1761,Product_Dim!$A$2:$D$101,3,FALSE)</f>
        <v>Richardson-Carrillo</v>
      </c>
      <c r="G1761" t="str">
        <f>VLOOKUP($C1761,Product_Dim!$A$2:$D$101,2,FALSE)</f>
        <v>Clothing</v>
      </c>
      <c r="H1761">
        <v>4</v>
      </c>
      <c r="I1761">
        <v>930.85</v>
      </c>
      <c r="J1761">
        <v>0.13</v>
      </c>
      <c r="K1761" s="3">
        <v>3239.3580000000002</v>
      </c>
      <c r="L1761" t="s">
        <v>854</v>
      </c>
      <c r="M1761" t="str">
        <f>VLOOKUP($E1761,Customer_Dim!$A$2:$F$501,3,FALSE)</f>
        <v>Male</v>
      </c>
      <c r="N1761" t="str">
        <f>VLOOKUP($E1761,Customer_Dim!$A$2:$F$501,5,FALSE)</f>
        <v>USA</v>
      </c>
      <c r="O1761" t="str">
        <f>VLOOKUP($E1761,Customer_Dim!$A$2:$F$501,6,FALSE)</f>
        <v>Silver</v>
      </c>
      <c r="P1761" t="str">
        <f>VLOOKUP($A1761,Store_Dim!$A$2:$F$21,3,FALSE)</f>
        <v>SouthWilliamsfurt</v>
      </c>
    </row>
    <row r="1762" spans="1:16" hidden="1" x14ac:dyDescent="0.25">
      <c r="A1762" t="s">
        <v>807</v>
      </c>
      <c r="B1762" t="s">
        <v>2090</v>
      </c>
      <c r="C1762" t="s">
        <v>748</v>
      </c>
      <c r="D1762" s="2">
        <v>45908</v>
      </c>
      <c r="E1762" t="s">
        <v>305</v>
      </c>
      <c r="F1762" t="str">
        <f>VLOOKUP($C1762,Product_Dim!$A$2:$D$101,3,FALSE)</f>
        <v>Taylor, Dodson and Johnston</v>
      </c>
      <c r="G1762" t="str">
        <f>VLOOKUP($C1762,Product_Dim!$A$2:$D$101,2,FALSE)</f>
        <v>Home</v>
      </c>
      <c r="H1762">
        <v>1</v>
      </c>
      <c r="I1762">
        <v>729.05</v>
      </c>
      <c r="J1762">
        <v>0.06</v>
      </c>
      <c r="K1762" s="3">
        <v>685.3069999999999</v>
      </c>
      <c r="L1762" t="s">
        <v>857</v>
      </c>
      <c r="M1762" t="str">
        <f>VLOOKUP($E1762,Customer_Dim!$A$2:$F$501,3,FALSE)</f>
        <v>Female</v>
      </c>
      <c r="N1762" t="str">
        <f>VLOOKUP($E1762,Customer_Dim!$A$2:$F$501,5,FALSE)</f>
        <v>USA</v>
      </c>
      <c r="O1762" t="str">
        <f>VLOOKUP($E1762,Customer_Dim!$A$2:$F$501,6,FALSE)</f>
        <v>Platinum</v>
      </c>
      <c r="P1762" t="str">
        <f>VLOOKUP($A1762,Store_Dim!$A$2:$F$21,3,FALSE)</f>
        <v>SouthWilliamsfurt</v>
      </c>
    </row>
    <row r="1763" spans="1:16" hidden="1" x14ac:dyDescent="0.25">
      <c r="A1763" t="s">
        <v>807</v>
      </c>
      <c r="B1763" t="s">
        <v>961</v>
      </c>
      <c r="C1763" t="s">
        <v>748</v>
      </c>
      <c r="D1763" s="2">
        <v>45323</v>
      </c>
      <c r="E1763" t="s">
        <v>405</v>
      </c>
      <c r="F1763" t="str">
        <f>VLOOKUP($C1763,Product_Dim!$A$2:$D$101,3,FALSE)</f>
        <v>Taylor, Dodson and Johnston</v>
      </c>
      <c r="G1763" t="str">
        <f>VLOOKUP($C1763,Product_Dim!$A$2:$D$101,2,FALSE)</f>
        <v>Home</v>
      </c>
      <c r="H1763">
        <v>4</v>
      </c>
      <c r="I1763">
        <v>525.61</v>
      </c>
      <c r="J1763">
        <v>0.02</v>
      </c>
      <c r="K1763" s="3">
        <v>2060.3912</v>
      </c>
      <c r="L1763" t="s">
        <v>854</v>
      </c>
      <c r="M1763" t="str">
        <f>VLOOKUP($E1763,Customer_Dim!$A$2:$F$501,3,FALSE)</f>
        <v>Female</v>
      </c>
      <c r="N1763" t="str">
        <f>VLOOKUP($E1763,Customer_Dim!$A$2:$F$501,5,FALSE)</f>
        <v>USA</v>
      </c>
      <c r="O1763" t="str">
        <f>VLOOKUP($E1763,Customer_Dim!$A$2:$F$501,6,FALSE)</f>
        <v>Silver</v>
      </c>
      <c r="P1763" t="str">
        <f>VLOOKUP($A1763,Store_Dim!$A$2:$F$21,3,FALSE)</f>
        <v>SouthWilliamsfurt</v>
      </c>
    </row>
    <row r="1764" spans="1:16" x14ac:dyDescent="0.25">
      <c r="A1764" t="s">
        <v>807</v>
      </c>
      <c r="B1764" t="s">
        <v>1727</v>
      </c>
      <c r="C1764" t="s">
        <v>750</v>
      </c>
      <c r="D1764" s="2">
        <v>45250</v>
      </c>
      <c r="E1764" t="s">
        <v>522</v>
      </c>
      <c r="F1764" t="str">
        <f>VLOOKUP($C1764,Product_Dim!$A$2:$D$101,3,FALSE)</f>
        <v>Aguilar, Horton and Lewis</v>
      </c>
      <c r="G1764" t="str">
        <f>VLOOKUP($C1764,Product_Dim!$A$2:$D$101,2,FALSE)</f>
        <v>Home</v>
      </c>
      <c r="H1764">
        <v>2</v>
      </c>
      <c r="I1764">
        <v>386.46</v>
      </c>
      <c r="J1764">
        <v>0.23</v>
      </c>
      <c r="K1764" s="3">
        <v>595.14840000000004</v>
      </c>
      <c r="L1764" t="s">
        <v>857</v>
      </c>
      <c r="M1764" t="str">
        <f>VLOOKUP($E1764,Customer_Dim!$A$2:$F$501,3,FALSE)</f>
        <v>Male</v>
      </c>
      <c r="N1764" t="str">
        <f>VLOOKUP($E1764,Customer_Dim!$A$2:$F$501,5,FALSE)</f>
        <v>USA</v>
      </c>
      <c r="O1764" t="str">
        <f>VLOOKUP($E1764,Customer_Dim!$A$2:$F$501,6,FALSE)</f>
        <v>Gold</v>
      </c>
      <c r="P1764" t="str">
        <f>VLOOKUP($A1764,Store_Dim!$A$2:$F$21,3,FALSE)</f>
        <v>SouthWilliamsfurt</v>
      </c>
    </row>
    <row r="1765" spans="1:16" x14ac:dyDescent="0.25">
      <c r="A1765" t="s">
        <v>807</v>
      </c>
      <c r="B1765" t="s">
        <v>939</v>
      </c>
      <c r="C1765" t="s">
        <v>752</v>
      </c>
      <c r="D1765" s="2">
        <v>45282</v>
      </c>
      <c r="E1765" t="s">
        <v>101</v>
      </c>
      <c r="F1765" t="str">
        <f>VLOOKUP($C1765,Product_Dim!$A$2:$D$101,3,FALSE)</f>
        <v>Olsen-Daniels</v>
      </c>
      <c r="G1765" t="str">
        <f>VLOOKUP($C1765,Product_Dim!$A$2:$D$101,2,FALSE)</f>
        <v>Sports</v>
      </c>
      <c r="H1765">
        <v>4</v>
      </c>
      <c r="I1765">
        <v>127.1</v>
      </c>
      <c r="J1765">
        <v>0.24</v>
      </c>
      <c r="K1765" s="3">
        <v>386.38400000000001</v>
      </c>
      <c r="L1765" t="s">
        <v>857</v>
      </c>
      <c r="M1765" t="str">
        <f>VLOOKUP($E1765,Customer_Dim!$A$2:$F$501,3,FALSE)</f>
        <v>Male</v>
      </c>
      <c r="N1765" t="str">
        <f>VLOOKUP($E1765,Customer_Dim!$A$2:$F$501,5,FALSE)</f>
        <v>USA</v>
      </c>
      <c r="O1765" t="str">
        <f>VLOOKUP($E1765,Customer_Dim!$A$2:$F$501,6,FALSE)</f>
        <v>Platinum</v>
      </c>
      <c r="P1765" t="str">
        <f>VLOOKUP($A1765,Store_Dim!$A$2:$F$21,3,FALSE)</f>
        <v>SouthWilliamsfurt</v>
      </c>
    </row>
    <row r="1766" spans="1:16" hidden="1" x14ac:dyDescent="0.25">
      <c r="A1766" t="s">
        <v>807</v>
      </c>
      <c r="B1766" t="s">
        <v>2304</v>
      </c>
      <c r="C1766" t="s">
        <v>593</v>
      </c>
      <c r="D1766" s="2">
        <v>45305</v>
      </c>
      <c r="E1766" t="s">
        <v>519</v>
      </c>
      <c r="F1766" t="str">
        <f>VLOOKUP($C1766,Product_Dim!$A$2:$D$101,3,FALSE)</f>
        <v>Hill PLC</v>
      </c>
      <c r="G1766" t="str">
        <f>VLOOKUP($C1766,Product_Dim!$A$2:$D$101,2,FALSE)</f>
        <v>Sports</v>
      </c>
      <c r="H1766">
        <v>1</v>
      </c>
      <c r="I1766">
        <v>484.23</v>
      </c>
      <c r="J1766">
        <v>0.12</v>
      </c>
      <c r="K1766" s="3">
        <v>426.12240000000003</v>
      </c>
      <c r="L1766" t="s">
        <v>857</v>
      </c>
      <c r="M1766" t="str">
        <f>VLOOKUP($E1766,Customer_Dim!$A$2:$F$501,3,FALSE)</f>
        <v>Female</v>
      </c>
      <c r="N1766" t="str">
        <f>VLOOKUP($E1766,Customer_Dim!$A$2:$F$501,5,FALSE)</f>
        <v>USA</v>
      </c>
      <c r="O1766" t="str">
        <f>VLOOKUP($E1766,Customer_Dim!$A$2:$F$501,6,FALSE)</f>
        <v>Bronze</v>
      </c>
      <c r="P1766" t="str">
        <f>VLOOKUP($A1766,Store_Dim!$A$2:$F$21,3,FALSE)</f>
        <v>SouthWilliamsfurt</v>
      </c>
    </row>
    <row r="1767" spans="1:16" hidden="1" x14ac:dyDescent="0.25">
      <c r="A1767" t="s">
        <v>807</v>
      </c>
      <c r="B1767" t="s">
        <v>1814</v>
      </c>
      <c r="C1767" t="s">
        <v>756</v>
      </c>
      <c r="D1767" s="2">
        <v>45227</v>
      </c>
      <c r="E1767" t="s">
        <v>28</v>
      </c>
      <c r="F1767" t="str">
        <f>VLOOKUP($C1767,Product_Dim!$A$2:$D$101,3,FALSE)</f>
        <v>Sharp, Taylor and Rodriguez</v>
      </c>
      <c r="G1767" t="str">
        <f>VLOOKUP($C1767,Product_Dim!$A$2:$D$101,2,FALSE)</f>
        <v>Electronics</v>
      </c>
      <c r="H1767">
        <v>1</v>
      </c>
      <c r="I1767">
        <v>537.26</v>
      </c>
      <c r="J1767">
        <v>0.09</v>
      </c>
      <c r="K1767" s="3">
        <v>488.90660000000003</v>
      </c>
      <c r="L1767" t="s">
        <v>852</v>
      </c>
      <c r="M1767" t="str">
        <f>VLOOKUP($E1767,Customer_Dim!$A$2:$F$501,3,FALSE)</f>
        <v>Female</v>
      </c>
      <c r="N1767" t="str">
        <f>VLOOKUP($E1767,Customer_Dim!$A$2:$F$501,5,FALSE)</f>
        <v>USA</v>
      </c>
      <c r="O1767" t="str">
        <f>VLOOKUP($E1767,Customer_Dim!$A$2:$F$501,6,FALSE)</f>
        <v>Bronze</v>
      </c>
      <c r="P1767" t="str">
        <f>VLOOKUP($A1767,Store_Dim!$A$2:$F$21,3,FALSE)</f>
        <v>SouthWilliamsfurt</v>
      </c>
    </row>
    <row r="1768" spans="1:16" hidden="1" x14ac:dyDescent="0.25">
      <c r="A1768" t="s">
        <v>807</v>
      </c>
      <c r="B1768" t="s">
        <v>1394</v>
      </c>
      <c r="C1768" t="s">
        <v>758</v>
      </c>
      <c r="D1768" s="2">
        <v>45251</v>
      </c>
      <c r="E1768" t="s">
        <v>301</v>
      </c>
      <c r="F1768" t="str">
        <f>VLOOKUP($C1768,Product_Dim!$A$2:$D$101,3,FALSE)</f>
        <v>Smith-Charles</v>
      </c>
      <c r="G1768" t="str">
        <f>VLOOKUP($C1768,Product_Dim!$A$2:$D$101,2,FALSE)</f>
        <v>Clothing</v>
      </c>
      <c r="H1768">
        <v>2</v>
      </c>
      <c r="I1768">
        <v>533.91999999999996</v>
      </c>
      <c r="J1768">
        <v>0.13</v>
      </c>
      <c r="K1768" s="3">
        <v>929.02079999999989</v>
      </c>
      <c r="L1768" t="s">
        <v>852</v>
      </c>
      <c r="M1768" t="str">
        <f>VLOOKUP($E1768,Customer_Dim!$A$2:$F$501,3,FALSE)</f>
        <v>Female</v>
      </c>
      <c r="N1768" t="str">
        <f>VLOOKUP($E1768,Customer_Dim!$A$2:$F$501,5,FALSE)</f>
        <v>USA</v>
      </c>
      <c r="O1768" t="str">
        <f>VLOOKUP($E1768,Customer_Dim!$A$2:$F$501,6,FALSE)</f>
        <v>Bronze</v>
      </c>
      <c r="P1768" t="str">
        <f>VLOOKUP($A1768,Store_Dim!$A$2:$F$21,3,FALSE)</f>
        <v>SouthWilliamsfurt</v>
      </c>
    </row>
    <row r="1769" spans="1:16" hidden="1" x14ac:dyDescent="0.25">
      <c r="A1769" t="s">
        <v>807</v>
      </c>
      <c r="B1769" t="s">
        <v>1877</v>
      </c>
      <c r="C1769" t="s">
        <v>762</v>
      </c>
      <c r="D1769" s="2">
        <v>45845</v>
      </c>
      <c r="E1769" t="s">
        <v>49</v>
      </c>
      <c r="F1769" t="str">
        <f>VLOOKUP($C1769,Product_Dim!$A$2:$D$101,3,FALSE)</f>
        <v>Martin LLC</v>
      </c>
      <c r="G1769" t="str">
        <f>VLOOKUP($C1769,Product_Dim!$A$2:$D$101,2,FALSE)</f>
        <v>Electronics</v>
      </c>
      <c r="H1769">
        <v>3</v>
      </c>
      <c r="I1769">
        <v>159.76</v>
      </c>
      <c r="J1769">
        <v>0.22</v>
      </c>
      <c r="K1769" s="3">
        <v>373.83839999999998</v>
      </c>
      <c r="L1769" t="s">
        <v>852</v>
      </c>
      <c r="M1769" t="str">
        <f>VLOOKUP($E1769,Customer_Dim!$A$2:$F$501,3,FALSE)</f>
        <v>Female</v>
      </c>
      <c r="N1769" t="str">
        <f>VLOOKUP($E1769,Customer_Dim!$A$2:$F$501,5,FALSE)</f>
        <v>USA</v>
      </c>
      <c r="O1769" t="str">
        <f>VLOOKUP($E1769,Customer_Dim!$A$2:$F$501,6,FALSE)</f>
        <v>Platinum</v>
      </c>
      <c r="P1769" t="str">
        <f>VLOOKUP($A1769,Store_Dim!$A$2:$F$21,3,FALSE)</f>
        <v>SouthWilliamsfurt</v>
      </c>
    </row>
    <row r="1770" spans="1:16" hidden="1" x14ac:dyDescent="0.25">
      <c r="A1770" t="s">
        <v>807</v>
      </c>
      <c r="B1770" t="s">
        <v>2239</v>
      </c>
      <c r="C1770" t="s">
        <v>762</v>
      </c>
      <c r="D1770" s="2">
        <v>45447</v>
      </c>
      <c r="E1770" t="s">
        <v>293</v>
      </c>
      <c r="F1770" t="str">
        <f>VLOOKUP($C1770,Product_Dim!$A$2:$D$101,3,FALSE)</f>
        <v>Martin LLC</v>
      </c>
      <c r="G1770" t="str">
        <f>VLOOKUP($C1770,Product_Dim!$A$2:$D$101,2,FALSE)</f>
        <v>Electronics</v>
      </c>
      <c r="H1770">
        <v>2</v>
      </c>
      <c r="I1770">
        <v>224.69</v>
      </c>
      <c r="J1770">
        <v>0.2</v>
      </c>
      <c r="K1770" s="3">
        <v>359.50400000000002</v>
      </c>
      <c r="L1770" t="s">
        <v>857</v>
      </c>
      <c r="M1770" t="str">
        <f>VLOOKUP($E1770,Customer_Dim!$A$2:$F$501,3,FALSE)</f>
        <v>Female</v>
      </c>
      <c r="N1770" t="str">
        <f>VLOOKUP($E1770,Customer_Dim!$A$2:$F$501,5,FALSE)</f>
        <v>USA</v>
      </c>
      <c r="O1770" t="str">
        <f>VLOOKUP($E1770,Customer_Dim!$A$2:$F$501,6,FALSE)</f>
        <v>Gold</v>
      </c>
      <c r="P1770" t="str">
        <f>VLOOKUP($A1770,Store_Dim!$A$2:$F$21,3,FALSE)</f>
        <v>SouthWilliamsfurt</v>
      </c>
    </row>
    <row r="1771" spans="1:16" hidden="1" x14ac:dyDescent="0.25">
      <c r="A1771" t="s">
        <v>807</v>
      </c>
      <c r="B1771" t="s">
        <v>2293</v>
      </c>
      <c r="C1771" t="s">
        <v>762</v>
      </c>
      <c r="D1771" s="2">
        <v>45322</v>
      </c>
      <c r="E1771" t="s">
        <v>358</v>
      </c>
      <c r="F1771" t="str">
        <f>VLOOKUP($C1771,Product_Dim!$A$2:$D$101,3,FALSE)</f>
        <v>Martin LLC</v>
      </c>
      <c r="G1771" t="str">
        <f>VLOOKUP($C1771,Product_Dim!$A$2:$D$101,2,FALSE)</f>
        <v>Electronics</v>
      </c>
      <c r="H1771">
        <v>2</v>
      </c>
      <c r="I1771">
        <v>846.18</v>
      </c>
      <c r="J1771">
        <v>0.1</v>
      </c>
      <c r="K1771" s="3">
        <v>1523.124</v>
      </c>
      <c r="L1771" t="s">
        <v>857</v>
      </c>
      <c r="M1771" t="str">
        <f>VLOOKUP($E1771,Customer_Dim!$A$2:$F$501,3,FALSE)</f>
        <v>Female</v>
      </c>
      <c r="N1771" t="str">
        <f>VLOOKUP($E1771,Customer_Dim!$A$2:$F$501,5,FALSE)</f>
        <v>USA</v>
      </c>
      <c r="O1771" t="str">
        <f>VLOOKUP($E1771,Customer_Dim!$A$2:$F$501,6,FALSE)</f>
        <v>Bronze</v>
      </c>
      <c r="P1771" t="str">
        <f>VLOOKUP($A1771,Store_Dim!$A$2:$F$21,3,FALSE)</f>
        <v>SouthWilliamsfurt</v>
      </c>
    </row>
    <row r="1772" spans="1:16" x14ac:dyDescent="0.25">
      <c r="A1772" t="s">
        <v>807</v>
      </c>
      <c r="B1772" t="s">
        <v>2195</v>
      </c>
      <c r="C1772" t="s">
        <v>762</v>
      </c>
      <c r="D1772" s="2">
        <v>45837</v>
      </c>
      <c r="E1772" t="s">
        <v>510</v>
      </c>
      <c r="F1772" t="str">
        <f>VLOOKUP($C1772,Product_Dim!$A$2:$D$101,3,FALSE)</f>
        <v>Martin LLC</v>
      </c>
      <c r="G1772" t="str">
        <f>VLOOKUP($C1772,Product_Dim!$A$2:$D$101,2,FALSE)</f>
        <v>Electronics</v>
      </c>
      <c r="H1772">
        <v>4</v>
      </c>
      <c r="I1772">
        <v>763.34</v>
      </c>
      <c r="J1772">
        <v>7.0000000000000007E-2</v>
      </c>
      <c r="K1772" s="3">
        <v>2839.6248000000001</v>
      </c>
      <c r="L1772" t="s">
        <v>854</v>
      </c>
      <c r="M1772" t="str">
        <f>VLOOKUP($E1772,Customer_Dim!$A$2:$F$501,3,FALSE)</f>
        <v>Male</v>
      </c>
      <c r="N1772" t="str">
        <f>VLOOKUP($E1772,Customer_Dim!$A$2:$F$501,5,FALSE)</f>
        <v>USA</v>
      </c>
      <c r="O1772" t="str">
        <f>VLOOKUP($E1772,Customer_Dim!$A$2:$F$501,6,FALSE)</f>
        <v>Silver</v>
      </c>
      <c r="P1772" t="str">
        <f>VLOOKUP($A1772,Store_Dim!$A$2:$F$21,3,FALSE)</f>
        <v>SouthWilliamsfurt</v>
      </c>
    </row>
    <row r="1773" spans="1:16" x14ac:dyDescent="0.25">
      <c r="A1773" t="s">
        <v>807</v>
      </c>
      <c r="B1773" t="s">
        <v>2402</v>
      </c>
      <c r="C1773" t="s">
        <v>764</v>
      </c>
      <c r="D1773" s="2">
        <v>45819</v>
      </c>
      <c r="E1773" t="s">
        <v>170</v>
      </c>
      <c r="F1773" t="str">
        <f>VLOOKUP($C1773,Product_Dim!$A$2:$D$101,3,FALSE)</f>
        <v>Hoffman-Williams</v>
      </c>
      <c r="G1773" t="str">
        <f>VLOOKUP($C1773,Product_Dim!$A$2:$D$101,2,FALSE)</f>
        <v>Beauty</v>
      </c>
      <c r="H1773">
        <v>3</v>
      </c>
      <c r="I1773">
        <v>99.67</v>
      </c>
      <c r="J1773">
        <v>0.17</v>
      </c>
      <c r="K1773" s="3">
        <v>248.17830000000001</v>
      </c>
      <c r="L1773" t="s">
        <v>852</v>
      </c>
      <c r="M1773" t="str">
        <f>VLOOKUP($E1773,Customer_Dim!$A$2:$F$501,3,FALSE)</f>
        <v>Male</v>
      </c>
      <c r="N1773" t="str">
        <f>VLOOKUP($E1773,Customer_Dim!$A$2:$F$501,5,FALSE)</f>
        <v>USA</v>
      </c>
      <c r="O1773" t="str">
        <f>VLOOKUP($E1773,Customer_Dim!$A$2:$F$501,6,FALSE)</f>
        <v>Bronze</v>
      </c>
      <c r="P1773" t="str">
        <f>VLOOKUP($A1773,Store_Dim!$A$2:$F$21,3,FALSE)</f>
        <v>SouthWilliamsfurt</v>
      </c>
    </row>
    <row r="1774" spans="1:16" x14ac:dyDescent="0.25">
      <c r="A1774" t="s">
        <v>807</v>
      </c>
      <c r="B1774" t="s">
        <v>1372</v>
      </c>
      <c r="C1774" t="s">
        <v>766</v>
      </c>
      <c r="D1774" s="2">
        <v>45598</v>
      </c>
      <c r="E1774" t="s">
        <v>429</v>
      </c>
      <c r="F1774" t="str">
        <f>VLOOKUP($C1774,Product_Dim!$A$2:$D$101,3,FALSE)</f>
        <v>Wilson Group</v>
      </c>
      <c r="G1774" t="str">
        <f>VLOOKUP($C1774,Product_Dim!$A$2:$D$101,2,FALSE)</f>
        <v>Sports</v>
      </c>
      <c r="H1774">
        <v>3</v>
      </c>
      <c r="I1774">
        <v>268.76</v>
      </c>
      <c r="J1774">
        <v>0.01</v>
      </c>
      <c r="K1774" s="3">
        <v>798.21719999999993</v>
      </c>
      <c r="L1774" t="s">
        <v>854</v>
      </c>
      <c r="M1774" t="str">
        <f>VLOOKUP($E1774,Customer_Dim!$A$2:$F$501,3,FALSE)</f>
        <v>Male</v>
      </c>
      <c r="N1774" t="str">
        <f>VLOOKUP($E1774,Customer_Dim!$A$2:$F$501,5,FALSE)</f>
        <v>USA</v>
      </c>
      <c r="O1774" t="str">
        <f>VLOOKUP($E1774,Customer_Dim!$A$2:$F$501,6,FALSE)</f>
        <v>Gold</v>
      </c>
      <c r="P1774" t="str">
        <f>VLOOKUP($A1774,Store_Dim!$A$2:$F$21,3,FALSE)</f>
        <v>SouthWilliamsfurt</v>
      </c>
    </row>
    <row r="1775" spans="1:16" hidden="1" x14ac:dyDescent="0.25">
      <c r="A1775" t="s">
        <v>807</v>
      </c>
      <c r="B1775" t="s">
        <v>1474</v>
      </c>
      <c r="C1775" t="s">
        <v>770</v>
      </c>
      <c r="D1775" s="2">
        <v>45882</v>
      </c>
      <c r="E1775" t="s">
        <v>180</v>
      </c>
      <c r="F1775" t="str">
        <f>VLOOKUP($C1775,Product_Dim!$A$2:$D$101,3,FALSE)</f>
        <v>Khan LLC</v>
      </c>
      <c r="G1775" t="str">
        <f>VLOOKUP($C1775,Product_Dim!$A$2:$D$101,2,FALSE)</f>
        <v>Sports</v>
      </c>
      <c r="H1775">
        <v>3</v>
      </c>
      <c r="I1775">
        <v>411.25</v>
      </c>
      <c r="J1775">
        <v>0.05</v>
      </c>
      <c r="K1775" s="3">
        <v>1172.0625</v>
      </c>
      <c r="L1775" t="s">
        <v>852</v>
      </c>
      <c r="M1775" t="str">
        <f>VLOOKUP($E1775,Customer_Dim!$A$2:$F$501,3,FALSE)</f>
        <v>Female</v>
      </c>
      <c r="N1775" t="str">
        <f>VLOOKUP($E1775,Customer_Dim!$A$2:$F$501,5,FALSE)</f>
        <v>USA</v>
      </c>
      <c r="O1775" t="str">
        <f>VLOOKUP($E1775,Customer_Dim!$A$2:$F$501,6,FALSE)</f>
        <v>Platinum</v>
      </c>
      <c r="P1775" t="str">
        <f>VLOOKUP($A1775,Store_Dim!$A$2:$F$21,3,FALSE)</f>
        <v>SouthWilliamsfurt</v>
      </c>
    </row>
    <row r="1776" spans="1:16" hidden="1" x14ac:dyDescent="0.25">
      <c r="A1776" t="s">
        <v>807</v>
      </c>
      <c r="B1776" t="s">
        <v>2102</v>
      </c>
      <c r="C1776" t="s">
        <v>770</v>
      </c>
      <c r="D1776" s="2">
        <v>45267</v>
      </c>
      <c r="E1776" t="s">
        <v>438</v>
      </c>
      <c r="F1776" t="str">
        <f>VLOOKUP($C1776,Product_Dim!$A$2:$D$101,3,FALSE)</f>
        <v>Khan LLC</v>
      </c>
      <c r="G1776" t="str">
        <f>VLOOKUP($C1776,Product_Dim!$A$2:$D$101,2,FALSE)</f>
        <v>Sports</v>
      </c>
      <c r="H1776">
        <v>4</v>
      </c>
      <c r="I1776">
        <v>938.21</v>
      </c>
      <c r="J1776">
        <v>0.04</v>
      </c>
      <c r="K1776" s="3">
        <v>3602.7264</v>
      </c>
      <c r="L1776" t="s">
        <v>854</v>
      </c>
      <c r="M1776" t="str">
        <f>VLOOKUP($E1776,Customer_Dim!$A$2:$F$501,3,FALSE)</f>
        <v>Female</v>
      </c>
      <c r="N1776" t="str">
        <f>VLOOKUP($E1776,Customer_Dim!$A$2:$F$501,5,FALSE)</f>
        <v>USA</v>
      </c>
      <c r="O1776" t="str">
        <f>VLOOKUP($E1776,Customer_Dim!$A$2:$F$501,6,FALSE)</f>
        <v>Platinum</v>
      </c>
      <c r="P1776" t="str">
        <f>VLOOKUP($A1776,Store_Dim!$A$2:$F$21,3,FALSE)</f>
        <v>SouthWilliamsfurt</v>
      </c>
    </row>
    <row r="1777" spans="1:16" hidden="1" x14ac:dyDescent="0.25">
      <c r="A1777" t="s">
        <v>807</v>
      </c>
      <c r="B1777" t="s">
        <v>1178</v>
      </c>
      <c r="C1777" t="s">
        <v>772</v>
      </c>
      <c r="D1777" s="2">
        <v>45407</v>
      </c>
      <c r="E1777" t="s">
        <v>300</v>
      </c>
      <c r="F1777" t="str">
        <f>VLOOKUP($C1777,Product_Dim!$A$2:$D$101,3,FALSE)</f>
        <v>Flores-King</v>
      </c>
      <c r="G1777" t="str">
        <f>VLOOKUP($C1777,Product_Dim!$A$2:$D$101,2,FALSE)</f>
        <v>Electronics</v>
      </c>
      <c r="H1777">
        <v>4</v>
      </c>
      <c r="I1777">
        <v>548.44000000000005</v>
      </c>
      <c r="J1777">
        <v>0.05</v>
      </c>
      <c r="K1777" s="3">
        <v>2084.0720000000001</v>
      </c>
      <c r="L1777" t="s">
        <v>854</v>
      </c>
      <c r="M1777" t="str">
        <f>VLOOKUP($E1777,Customer_Dim!$A$2:$F$501,3,FALSE)</f>
        <v>Female</v>
      </c>
      <c r="N1777" t="str">
        <f>VLOOKUP($E1777,Customer_Dim!$A$2:$F$501,5,FALSE)</f>
        <v>USA</v>
      </c>
      <c r="O1777" t="str">
        <f>VLOOKUP($E1777,Customer_Dim!$A$2:$F$501,6,FALSE)</f>
        <v>Gold</v>
      </c>
      <c r="P1777" t="str">
        <f>VLOOKUP($A1777,Store_Dim!$A$2:$F$21,3,FALSE)</f>
        <v>SouthWilliamsfurt</v>
      </c>
    </row>
    <row r="1778" spans="1:16" x14ac:dyDescent="0.25">
      <c r="A1778" t="s">
        <v>807</v>
      </c>
      <c r="B1778" t="s">
        <v>1636</v>
      </c>
      <c r="C1778" t="s">
        <v>772</v>
      </c>
      <c r="D1778" s="2">
        <v>45759</v>
      </c>
      <c r="E1778" t="s">
        <v>483</v>
      </c>
      <c r="F1778" t="str">
        <f>VLOOKUP($C1778,Product_Dim!$A$2:$D$101,3,FALSE)</f>
        <v>Flores-King</v>
      </c>
      <c r="G1778" t="str">
        <f>VLOOKUP($C1778,Product_Dim!$A$2:$D$101,2,FALSE)</f>
        <v>Electronics</v>
      </c>
      <c r="H1778">
        <v>4</v>
      </c>
      <c r="I1778">
        <v>107.08</v>
      </c>
      <c r="J1778">
        <v>0.27</v>
      </c>
      <c r="K1778" s="3">
        <v>312.67360000000002</v>
      </c>
      <c r="L1778" t="s">
        <v>857</v>
      </c>
      <c r="M1778" t="str">
        <f>VLOOKUP($E1778,Customer_Dim!$A$2:$F$501,3,FALSE)</f>
        <v>Male</v>
      </c>
      <c r="N1778" t="str">
        <f>VLOOKUP($E1778,Customer_Dim!$A$2:$F$501,5,FALSE)</f>
        <v>USA</v>
      </c>
      <c r="O1778" t="str">
        <f>VLOOKUP($E1778,Customer_Dim!$A$2:$F$501,6,FALSE)</f>
        <v>Platinum</v>
      </c>
      <c r="P1778" t="str">
        <f>VLOOKUP($A1778,Store_Dim!$A$2:$F$21,3,FALSE)</f>
        <v>SouthWilliamsfurt</v>
      </c>
    </row>
    <row r="1779" spans="1:16" hidden="1" x14ac:dyDescent="0.25">
      <c r="A1779" t="s">
        <v>810</v>
      </c>
      <c r="B1779" t="s">
        <v>1115</v>
      </c>
      <c r="C1779" t="s">
        <v>571</v>
      </c>
      <c r="D1779" s="2">
        <v>45742</v>
      </c>
      <c r="E1779" t="s">
        <v>400</v>
      </c>
      <c r="F1779" t="str">
        <f>VLOOKUP($C1779,Product_Dim!$A$2:$D$101,3,FALSE)</f>
        <v>Hunt Inc</v>
      </c>
      <c r="G1779" t="str">
        <f>VLOOKUP($C1779,Product_Dim!$A$2:$D$101,2,FALSE)</f>
        <v>Electronics</v>
      </c>
      <c r="H1779">
        <v>4</v>
      </c>
      <c r="I1779">
        <v>849.21</v>
      </c>
      <c r="J1779">
        <v>7.0000000000000007E-2</v>
      </c>
      <c r="K1779" s="3">
        <v>3159.0612000000001</v>
      </c>
      <c r="L1779" t="s">
        <v>852</v>
      </c>
      <c r="M1779" t="str">
        <f>VLOOKUP($E1779,Customer_Dim!$A$2:$F$501,3,FALSE)</f>
        <v>Female</v>
      </c>
      <c r="N1779" t="str">
        <f>VLOOKUP($E1779,Customer_Dim!$A$2:$F$501,5,FALSE)</f>
        <v>USA</v>
      </c>
      <c r="O1779" t="str">
        <f>VLOOKUP($E1779,Customer_Dim!$A$2:$F$501,6,FALSE)</f>
        <v>Gold</v>
      </c>
      <c r="P1779" t="str">
        <f>VLOOKUP($A1779,Store_Dim!$A$2:$F$21,3,FALSE)</f>
        <v>WestThompsonborough</v>
      </c>
    </row>
    <row r="1780" spans="1:16" hidden="1" x14ac:dyDescent="0.25">
      <c r="A1780" t="s">
        <v>810</v>
      </c>
      <c r="B1780" t="s">
        <v>2141</v>
      </c>
      <c r="C1780" t="s">
        <v>600</v>
      </c>
      <c r="D1780" s="2">
        <v>45645</v>
      </c>
      <c r="E1780" t="s">
        <v>333</v>
      </c>
      <c r="F1780" t="str">
        <f>VLOOKUP($C1780,Product_Dim!$A$2:$D$101,3,FALSE)</f>
        <v>Rice LLC</v>
      </c>
      <c r="G1780" t="str">
        <f>VLOOKUP($C1780,Product_Dim!$A$2:$D$101,2,FALSE)</f>
        <v>Beauty</v>
      </c>
      <c r="H1780">
        <v>3</v>
      </c>
      <c r="I1780">
        <v>906.99</v>
      </c>
      <c r="J1780">
        <v>0.26</v>
      </c>
      <c r="K1780" s="3">
        <v>2013.5178000000001</v>
      </c>
      <c r="L1780" t="s">
        <v>857</v>
      </c>
      <c r="M1780" t="str">
        <f>VLOOKUP($E1780,Customer_Dim!$A$2:$F$501,3,FALSE)</f>
        <v>Female</v>
      </c>
      <c r="N1780" t="str">
        <f>VLOOKUP($E1780,Customer_Dim!$A$2:$F$501,5,FALSE)</f>
        <v>USA</v>
      </c>
      <c r="O1780" t="str">
        <f>VLOOKUP($E1780,Customer_Dim!$A$2:$F$501,6,FALSE)</f>
        <v>Bronze</v>
      </c>
      <c r="P1780" t="str">
        <f>VLOOKUP($A1780,Store_Dim!$A$2:$F$21,3,FALSE)</f>
        <v>WestThompsonborough</v>
      </c>
    </row>
    <row r="1781" spans="1:16" hidden="1" x14ac:dyDescent="0.25">
      <c r="A1781" t="s">
        <v>810</v>
      </c>
      <c r="B1781" t="s">
        <v>877</v>
      </c>
      <c r="C1781" t="s">
        <v>600</v>
      </c>
      <c r="D1781" s="2">
        <v>45466</v>
      </c>
      <c r="E1781" t="s">
        <v>435</v>
      </c>
      <c r="F1781" t="str">
        <f>VLOOKUP($C1781,Product_Dim!$A$2:$D$101,3,FALSE)</f>
        <v>Rice LLC</v>
      </c>
      <c r="G1781" t="str">
        <f>VLOOKUP($C1781,Product_Dim!$A$2:$D$101,2,FALSE)</f>
        <v>Beauty</v>
      </c>
      <c r="H1781">
        <v>1</v>
      </c>
      <c r="I1781">
        <v>719.28</v>
      </c>
      <c r="J1781">
        <v>0.08</v>
      </c>
      <c r="K1781" s="3">
        <v>661.73760000000004</v>
      </c>
      <c r="L1781" t="s">
        <v>852</v>
      </c>
      <c r="M1781" t="str">
        <f>VLOOKUP($E1781,Customer_Dim!$A$2:$F$501,3,FALSE)</f>
        <v>Female</v>
      </c>
      <c r="N1781" t="str">
        <f>VLOOKUP($E1781,Customer_Dim!$A$2:$F$501,5,FALSE)</f>
        <v>USA</v>
      </c>
      <c r="O1781" t="str">
        <f>VLOOKUP($E1781,Customer_Dim!$A$2:$F$501,6,FALSE)</f>
        <v>Platinum</v>
      </c>
      <c r="P1781" t="str">
        <f>VLOOKUP($A1781,Store_Dim!$A$2:$F$21,3,FALSE)</f>
        <v>WestThompsonborough</v>
      </c>
    </row>
    <row r="1782" spans="1:16" hidden="1" x14ac:dyDescent="0.25">
      <c r="A1782" t="s">
        <v>810</v>
      </c>
      <c r="B1782" t="s">
        <v>1005</v>
      </c>
      <c r="C1782" t="s">
        <v>602</v>
      </c>
      <c r="D1782" s="2">
        <v>45594</v>
      </c>
      <c r="E1782" t="s">
        <v>55</v>
      </c>
      <c r="F1782" t="str">
        <f>VLOOKUP($C1782,Product_Dim!$A$2:$D$101,3,FALSE)</f>
        <v>Dawson-Perkins</v>
      </c>
      <c r="G1782" t="str">
        <f>VLOOKUP($C1782,Product_Dim!$A$2:$D$101,2,FALSE)</f>
        <v>Electronics</v>
      </c>
      <c r="H1782">
        <v>4</v>
      </c>
      <c r="I1782">
        <v>535.4</v>
      </c>
      <c r="J1782">
        <v>0.26</v>
      </c>
      <c r="K1782" s="3">
        <v>1584.7840000000001</v>
      </c>
      <c r="L1782" t="s">
        <v>854</v>
      </c>
      <c r="M1782" t="str">
        <f>VLOOKUP($E1782,Customer_Dim!$A$2:$F$501,3,FALSE)</f>
        <v>Female</v>
      </c>
      <c r="N1782" t="str">
        <f>VLOOKUP($E1782,Customer_Dim!$A$2:$F$501,5,FALSE)</f>
        <v>USA</v>
      </c>
      <c r="O1782" t="str">
        <f>VLOOKUP($E1782,Customer_Dim!$A$2:$F$501,6,FALSE)</f>
        <v>Silver</v>
      </c>
      <c r="P1782" t="str">
        <f>VLOOKUP($A1782,Store_Dim!$A$2:$F$21,3,FALSE)</f>
        <v>WestThompsonborough</v>
      </c>
    </row>
    <row r="1783" spans="1:16" hidden="1" x14ac:dyDescent="0.25">
      <c r="A1783" t="s">
        <v>810</v>
      </c>
      <c r="B1783" t="s">
        <v>1970</v>
      </c>
      <c r="C1783" t="s">
        <v>602</v>
      </c>
      <c r="D1783" s="2">
        <v>45219</v>
      </c>
      <c r="E1783" t="s">
        <v>204</v>
      </c>
      <c r="F1783" t="str">
        <f>VLOOKUP($C1783,Product_Dim!$A$2:$D$101,3,FALSE)</f>
        <v>Dawson-Perkins</v>
      </c>
      <c r="G1783" t="str">
        <f>VLOOKUP($C1783,Product_Dim!$A$2:$D$101,2,FALSE)</f>
        <v>Electronics</v>
      </c>
      <c r="H1783">
        <v>3</v>
      </c>
      <c r="I1783">
        <v>278.38</v>
      </c>
      <c r="J1783">
        <v>0.03</v>
      </c>
      <c r="K1783" s="3">
        <v>810.08579999999995</v>
      </c>
      <c r="L1783" t="s">
        <v>852</v>
      </c>
      <c r="M1783" t="str">
        <f>VLOOKUP($E1783,Customer_Dim!$A$2:$F$501,3,FALSE)</f>
        <v>Female</v>
      </c>
      <c r="N1783" t="str">
        <f>VLOOKUP($E1783,Customer_Dim!$A$2:$F$501,5,FALSE)</f>
        <v>USA</v>
      </c>
      <c r="O1783" t="str">
        <f>VLOOKUP($E1783,Customer_Dim!$A$2:$F$501,6,FALSE)</f>
        <v>Gold</v>
      </c>
      <c r="P1783" t="str">
        <f>VLOOKUP($A1783,Store_Dim!$A$2:$F$21,3,FALSE)</f>
        <v>WestThompsonborough</v>
      </c>
    </row>
    <row r="1784" spans="1:16" hidden="1" x14ac:dyDescent="0.25">
      <c r="A1784" t="s">
        <v>810</v>
      </c>
      <c r="B1784" t="s">
        <v>1723</v>
      </c>
      <c r="C1784" t="s">
        <v>602</v>
      </c>
      <c r="D1784" s="2">
        <v>45260</v>
      </c>
      <c r="E1784" t="s">
        <v>346</v>
      </c>
      <c r="F1784" t="str">
        <f>VLOOKUP($C1784,Product_Dim!$A$2:$D$101,3,FALSE)</f>
        <v>Dawson-Perkins</v>
      </c>
      <c r="G1784" t="str">
        <f>VLOOKUP($C1784,Product_Dim!$A$2:$D$101,2,FALSE)</f>
        <v>Electronics</v>
      </c>
      <c r="H1784">
        <v>1</v>
      </c>
      <c r="I1784">
        <v>139.29</v>
      </c>
      <c r="J1784">
        <v>0</v>
      </c>
      <c r="K1784" s="3">
        <v>139.29</v>
      </c>
      <c r="L1784" t="s">
        <v>852</v>
      </c>
      <c r="M1784" t="str">
        <f>VLOOKUP($E1784,Customer_Dim!$A$2:$F$501,3,FALSE)</f>
        <v>Female</v>
      </c>
      <c r="N1784" t="str">
        <f>VLOOKUP($E1784,Customer_Dim!$A$2:$F$501,5,FALSE)</f>
        <v>USA</v>
      </c>
      <c r="O1784" t="str">
        <f>VLOOKUP($E1784,Customer_Dim!$A$2:$F$501,6,FALSE)</f>
        <v>Bronze</v>
      </c>
      <c r="P1784" t="str">
        <f>VLOOKUP($A1784,Store_Dim!$A$2:$F$21,3,FALSE)</f>
        <v>WestThompsonborough</v>
      </c>
    </row>
    <row r="1785" spans="1:16" hidden="1" x14ac:dyDescent="0.25">
      <c r="A1785" t="s">
        <v>810</v>
      </c>
      <c r="B1785" t="s">
        <v>2750</v>
      </c>
      <c r="C1785" t="s">
        <v>602</v>
      </c>
      <c r="D1785" s="2">
        <v>45780</v>
      </c>
      <c r="E1785" t="s">
        <v>501</v>
      </c>
      <c r="F1785" t="str">
        <f>VLOOKUP($C1785,Product_Dim!$A$2:$D$101,3,FALSE)</f>
        <v>Dawson-Perkins</v>
      </c>
      <c r="G1785" t="str">
        <f>VLOOKUP($C1785,Product_Dim!$A$2:$D$101,2,FALSE)</f>
        <v>Electronics</v>
      </c>
      <c r="H1785">
        <v>4</v>
      </c>
      <c r="I1785">
        <v>729.31</v>
      </c>
      <c r="J1785">
        <v>0.03</v>
      </c>
      <c r="K1785" s="3">
        <v>2829.7228</v>
      </c>
      <c r="L1785" t="s">
        <v>852</v>
      </c>
      <c r="M1785" t="str">
        <f>VLOOKUP($E1785,Customer_Dim!$A$2:$F$501,3,FALSE)</f>
        <v>Female</v>
      </c>
      <c r="N1785" t="str">
        <f>VLOOKUP($E1785,Customer_Dim!$A$2:$F$501,5,FALSE)</f>
        <v>USA</v>
      </c>
      <c r="O1785" t="str">
        <f>VLOOKUP($E1785,Customer_Dim!$A$2:$F$501,6,FALSE)</f>
        <v>Gold</v>
      </c>
      <c r="P1785" t="str">
        <f>VLOOKUP($A1785,Store_Dim!$A$2:$F$21,3,FALSE)</f>
        <v>WestThompsonborough</v>
      </c>
    </row>
    <row r="1786" spans="1:16" x14ac:dyDescent="0.25">
      <c r="A1786" t="s">
        <v>810</v>
      </c>
      <c r="B1786" t="s">
        <v>1724</v>
      </c>
      <c r="C1786" t="s">
        <v>608</v>
      </c>
      <c r="D1786" s="2">
        <v>45702</v>
      </c>
      <c r="E1786" t="s">
        <v>72</v>
      </c>
      <c r="F1786" t="str">
        <f>VLOOKUP($C1786,Product_Dim!$A$2:$D$101,3,FALSE)</f>
        <v>Erickson-Green</v>
      </c>
      <c r="G1786" t="str">
        <f>VLOOKUP($C1786,Product_Dim!$A$2:$D$101,2,FALSE)</f>
        <v>Beauty</v>
      </c>
      <c r="H1786">
        <v>3</v>
      </c>
      <c r="I1786">
        <v>459.57</v>
      </c>
      <c r="J1786">
        <v>0.1</v>
      </c>
      <c r="K1786" s="3">
        <v>1240.8389999999999</v>
      </c>
      <c r="L1786" t="s">
        <v>857</v>
      </c>
      <c r="M1786" t="str">
        <f>VLOOKUP($E1786,Customer_Dim!$A$2:$F$501,3,FALSE)</f>
        <v>Male</v>
      </c>
      <c r="N1786" t="str">
        <f>VLOOKUP($E1786,Customer_Dim!$A$2:$F$501,5,FALSE)</f>
        <v>USA</v>
      </c>
      <c r="O1786" t="str">
        <f>VLOOKUP($E1786,Customer_Dim!$A$2:$F$501,6,FALSE)</f>
        <v>Platinum</v>
      </c>
      <c r="P1786" t="str">
        <f>VLOOKUP($A1786,Store_Dim!$A$2:$F$21,3,FALSE)</f>
        <v>WestThompsonborough</v>
      </c>
    </row>
    <row r="1787" spans="1:16" hidden="1" x14ac:dyDescent="0.25">
      <c r="A1787" t="s">
        <v>810</v>
      </c>
      <c r="B1787" t="s">
        <v>1518</v>
      </c>
      <c r="C1787" t="s">
        <v>608</v>
      </c>
      <c r="D1787" s="2">
        <v>45475</v>
      </c>
      <c r="E1787" t="s">
        <v>471</v>
      </c>
      <c r="F1787" t="str">
        <f>VLOOKUP($C1787,Product_Dim!$A$2:$D$101,3,FALSE)</f>
        <v>Erickson-Green</v>
      </c>
      <c r="G1787" t="str">
        <f>VLOOKUP($C1787,Product_Dim!$A$2:$D$101,2,FALSE)</f>
        <v>Beauty</v>
      </c>
      <c r="H1787">
        <v>4</v>
      </c>
      <c r="I1787">
        <v>700.88</v>
      </c>
      <c r="J1787">
        <v>0.23</v>
      </c>
      <c r="K1787" s="3">
        <v>2158.7103999999999</v>
      </c>
      <c r="L1787" t="s">
        <v>854</v>
      </c>
      <c r="M1787" t="str">
        <f>VLOOKUP($E1787,Customer_Dim!$A$2:$F$501,3,FALSE)</f>
        <v>Female</v>
      </c>
      <c r="N1787" t="str">
        <f>VLOOKUP($E1787,Customer_Dim!$A$2:$F$501,5,FALSE)</f>
        <v>USA</v>
      </c>
      <c r="O1787" t="str">
        <f>VLOOKUP($E1787,Customer_Dim!$A$2:$F$501,6,FALSE)</f>
        <v>Silver</v>
      </c>
      <c r="P1787" t="str">
        <f>VLOOKUP($A1787,Store_Dim!$A$2:$F$21,3,FALSE)</f>
        <v>WestThompsonborough</v>
      </c>
    </row>
    <row r="1788" spans="1:16" hidden="1" x14ac:dyDescent="0.25">
      <c r="A1788" t="s">
        <v>810</v>
      </c>
      <c r="B1788" t="s">
        <v>1879</v>
      </c>
      <c r="C1788" t="s">
        <v>610</v>
      </c>
      <c r="D1788" s="2">
        <v>45720</v>
      </c>
      <c r="E1788" t="s">
        <v>109</v>
      </c>
      <c r="F1788" t="str">
        <f>VLOOKUP($C1788,Product_Dim!$A$2:$D$101,3,FALSE)</f>
        <v>Ford, Murphy and Wilson</v>
      </c>
      <c r="G1788" t="str">
        <f>VLOOKUP($C1788,Product_Dim!$A$2:$D$101,2,FALSE)</f>
        <v>Sports</v>
      </c>
      <c r="H1788">
        <v>1</v>
      </c>
      <c r="I1788">
        <v>234.06</v>
      </c>
      <c r="J1788">
        <v>0.11</v>
      </c>
      <c r="K1788" s="3">
        <v>208.3134</v>
      </c>
      <c r="L1788" t="s">
        <v>854</v>
      </c>
      <c r="M1788" t="str">
        <f>VLOOKUP($E1788,Customer_Dim!$A$2:$F$501,3,FALSE)</f>
        <v>Female</v>
      </c>
      <c r="N1788" t="str">
        <f>VLOOKUP($E1788,Customer_Dim!$A$2:$F$501,5,FALSE)</f>
        <v>USA</v>
      </c>
      <c r="O1788" t="str">
        <f>VLOOKUP($E1788,Customer_Dim!$A$2:$F$501,6,FALSE)</f>
        <v>Silver</v>
      </c>
      <c r="P1788" t="str">
        <f>VLOOKUP($A1788,Store_Dim!$A$2:$F$21,3,FALSE)</f>
        <v>WestThompsonborough</v>
      </c>
    </row>
    <row r="1789" spans="1:16" x14ac:dyDescent="0.25">
      <c r="A1789" t="s">
        <v>810</v>
      </c>
      <c r="B1789" t="s">
        <v>1895</v>
      </c>
      <c r="C1789" t="s">
        <v>610</v>
      </c>
      <c r="D1789" s="2">
        <v>45781</v>
      </c>
      <c r="E1789" t="s">
        <v>377</v>
      </c>
      <c r="F1789" t="str">
        <f>VLOOKUP($C1789,Product_Dim!$A$2:$D$101,3,FALSE)</f>
        <v>Ford, Murphy and Wilson</v>
      </c>
      <c r="G1789" t="str">
        <f>VLOOKUP($C1789,Product_Dim!$A$2:$D$101,2,FALSE)</f>
        <v>Sports</v>
      </c>
      <c r="H1789">
        <v>2</v>
      </c>
      <c r="I1789">
        <v>485.25</v>
      </c>
      <c r="J1789">
        <v>0.28000000000000003</v>
      </c>
      <c r="K1789" s="3">
        <v>698.76</v>
      </c>
      <c r="L1789" t="s">
        <v>852</v>
      </c>
      <c r="M1789" t="str">
        <f>VLOOKUP($E1789,Customer_Dim!$A$2:$F$501,3,FALSE)</f>
        <v>Male</v>
      </c>
      <c r="N1789" t="str">
        <f>VLOOKUP($E1789,Customer_Dim!$A$2:$F$501,5,FALSE)</f>
        <v>USA</v>
      </c>
      <c r="O1789" t="str">
        <f>VLOOKUP($E1789,Customer_Dim!$A$2:$F$501,6,FALSE)</f>
        <v>Silver</v>
      </c>
      <c r="P1789" t="str">
        <f>VLOOKUP($A1789,Store_Dim!$A$2:$F$21,3,FALSE)</f>
        <v>WestThompsonborough</v>
      </c>
    </row>
    <row r="1790" spans="1:16" hidden="1" x14ac:dyDescent="0.25">
      <c r="A1790" t="s">
        <v>810</v>
      </c>
      <c r="B1790" t="s">
        <v>2101</v>
      </c>
      <c r="C1790" t="s">
        <v>612</v>
      </c>
      <c r="D1790" s="2">
        <v>45560</v>
      </c>
      <c r="E1790" t="s">
        <v>512</v>
      </c>
      <c r="F1790" t="str">
        <f>VLOOKUP($C1790,Product_Dim!$A$2:$D$101,3,FALSE)</f>
        <v>Guerra-Hendrix</v>
      </c>
      <c r="G1790" t="str">
        <f>VLOOKUP($C1790,Product_Dim!$A$2:$D$101,2,FALSE)</f>
        <v>Clothing</v>
      </c>
      <c r="H1790">
        <v>3</v>
      </c>
      <c r="I1790">
        <v>550.26</v>
      </c>
      <c r="J1790">
        <v>0.22</v>
      </c>
      <c r="K1790" s="3">
        <v>1287.6084000000001</v>
      </c>
      <c r="L1790" t="s">
        <v>852</v>
      </c>
      <c r="M1790" t="str">
        <f>VLOOKUP($E1790,Customer_Dim!$A$2:$F$501,3,FALSE)</f>
        <v>Female</v>
      </c>
      <c r="N1790" t="str">
        <f>VLOOKUP($E1790,Customer_Dim!$A$2:$F$501,5,FALSE)</f>
        <v>USA</v>
      </c>
      <c r="O1790" t="str">
        <f>VLOOKUP($E1790,Customer_Dim!$A$2:$F$501,6,FALSE)</f>
        <v>Platinum</v>
      </c>
      <c r="P1790" t="str">
        <f>VLOOKUP($A1790,Store_Dim!$A$2:$F$21,3,FALSE)</f>
        <v>WestThompsonborough</v>
      </c>
    </row>
    <row r="1791" spans="1:16" hidden="1" x14ac:dyDescent="0.25">
      <c r="A1791" t="s">
        <v>810</v>
      </c>
      <c r="B1791" t="s">
        <v>2558</v>
      </c>
      <c r="C1791" t="s">
        <v>614</v>
      </c>
      <c r="D1791" s="2">
        <v>45693</v>
      </c>
      <c r="E1791" t="s">
        <v>156</v>
      </c>
      <c r="F1791" t="str">
        <f>VLOOKUP($C1791,Product_Dim!$A$2:$D$101,3,FALSE)</f>
        <v>May-Reese</v>
      </c>
      <c r="G1791" t="str">
        <f>VLOOKUP($C1791,Product_Dim!$A$2:$D$101,2,FALSE)</f>
        <v>Sports</v>
      </c>
      <c r="H1791">
        <v>1</v>
      </c>
      <c r="I1791">
        <v>153.57</v>
      </c>
      <c r="J1791">
        <v>0.01</v>
      </c>
      <c r="K1791" s="3">
        <v>152.0343</v>
      </c>
      <c r="L1791" t="s">
        <v>854</v>
      </c>
      <c r="M1791" t="str">
        <f>VLOOKUP($E1791,Customer_Dim!$A$2:$F$501,3,FALSE)</f>
        <v>Female</v>
      </c>
      <c r="N1791" t="str">
        <f>VLOOKUP($E1791,Customer_Dim!$A$2:$F$501,5,FALSE)</f>
        <v>USA</v>
      </c>
      <c r="O1791" t="str">
        <f>VLOOKUP($E1791,Customer_Dim!$A$2:$F$501,6,FALSE)</f>
        <v>Platinum</v>
      </c>
      <c r="P1791" t="str">
        <f>VLOOKUP($A1791,Store_Dim!$A$2:$F$21,3,FALSE)</f>
        <v>WestThompsonborough</v>
      </c>
    </row>
    <row r="1792" spans="1:16" x14ac:dyDescent="0.25">
      <c r="A1792" t="s">
        <v>810</v>
      </c>
      <c r="B1792" t="s">
        <v>973</v>
      </c>
      <c r="C1792" t="s">
        <v>614</v>
      </c>
      <c r="D1792" s="2">
        <v>45503</v>
      </c>
      <c r="E1792" t="s">
        <v>222</v>
      </c>
      <c r="F1792" t="str">
        <f>VLOOKUP($C1792,Product_Dim!$A$2:$D$101,3,FALSE)</f>
        <v>May-Reese</v>
      </c>
      <c r="G1792" t="str">
        <f>VLOOKUP($C1792,Product_Dim!$A$2:$D$101,2,FALSE)</f>
        <v>Sports</v>
      </c>
      <c r="H1792">
        <v>2</v>
      </c>
      <c r="I1792">
        <v>151.51</v>
      </c>
      <c r="J1792">
        <v>0.28999999999999998</v>
      </c>
      <c r="K1792" s="3">
        <v>215.14420000000001</v>
      </c>
      <c r="L1792" t="s">
        <v>857</v>
      </c>
      <c r="M1792" t="str">
        <f>VLOOKUP($E1792,Customer_Dim!$A$2:$F$501,3,FALSE)</f>
        <v>Male</v>
      </c>
      <c r="N1792" t="str">
        <f>VLOOKUP($E1792,Customer_Dim!$A$2:$F$501,5,FALSE)</f>
        <v>USA</v>
      </c>
      <c r="O1792" t="str">
        <f>VLOOKUP($E1792,Customer_Dim!$A$2:$F$501,6,FALSE)</f>
        <v>Bronze</v>
      </c>
      <c r="P1792" t="str">
        <f>VLOOKUP($A1792,Store_Dim!$A$2:$F$21,3,FALSE)</f>
        <v>WestThompsonborough</v>
      </c>
    </row>
    <row r="1793" spans="1:16" hidden="1" x14ac:dyDescent="0.25">
      <c r="A1793" t="s">
        <v>810</v>
      </c>
      <c r="B1793" t="s">
        <v>1148</v>
      </c>
      <c r="C1793" t="s">
        <v>614</v>
      </c>
      <c r="D1793" s="2">
        <v>45654</v>
      </c>
      <c r="E1793" t="s">
        <v>344</v>
      </c>
      <c r="F1793" t="str">
        <f>VLOOKUP($C1793,Product_Dim!$A$2:$D$101,3,FALSE)</f>
        <v>May-Reese</v>
      </c>
      <c r="G1793" t="str">
        <f>VLOOKUP($C1793,Product_Dim!$A$2:$D$101,2,FALSE)</f>
        <v>Sports</v>
      </c>
      <c r="H1793">
        <v>2</v>
      </c>
      <c r="I1793">
        <v>230.85</v>
      </c>
      <c r="J1793">
        <v>0.18</v>
      </c>
      <c r="K1793" s="3">
        <v>378.59399999999999</v>
      </c>
      <c r="L1793" t="s">
        <v>852</v>
      </c>
      <c r="M1793" t="str">
        <f>VLOOKUP($E1793,Customer_Dim!$A$2:$F$501,3,FALSE)</f>
        <v>Female</v>
      </c>
      <c r="N1793" t="str">
        <f>VLOOKUP($E1793,Customer_Dim!$A$2:$F$501,5,FALSE)</f>
        <v>USA</v>
      </c>
      <c r="O1793" t="str">
        <f>VLOOKUP($E1793,Customer_Dim!$A$2:$F$501,6,FALSE)</f>
        <v>Platinum</v>
      </c>
      <c r="P1793" t="str">
        <f>VLOOKUP($A1793,Store_Dim!$A$2:$F$21,3,FALSE)</f>
        <v>WestThompsonborough</v>
      </c>
    </row>
    <row r="1794" spans="1:16" x14ac:dyDescent="0.25">
      <c r="A1794" t="s">
        <v>810</v>
      </c>
      <c r="B1794" t="s">
        <v>2620</v>
      </c>
      <c r="C1794" t="s">
        <v>614</v>
      </c>
      <c r="D1794" s="2">
        <v>45571</v>
      </c>
      <c r="E1794" t="s">
        <v>503</v>
      </c>
      <c r="F1794" t="str">
        <f>VLOOKUP($C1794,Product_Dim!$A$2:$D$101,3,FALSE)</f>
        <v>May-Reese</v>
      </c>
      <c r="G1794" t="str">
        <f>VLOOKUP($C1794,Product_Dim!$A$2:$D$101,2,FALSE)</f>
        <v>Sports</v>
      </c>
      <c r="H1794">
        <v>4</v>
      </c>
      <c r="I1794">
        <v>466.24</v>
      </c>
      <c r="J1794">
        <v>0.16</v>
      </c>
      <c r="K1794" s="3">
        <v>1566.5663999999999</v>
      </c>
      <c r="L1794" t="s">
        <v>852</v>
      </c>
      <c r="M1794" t="str">
        <f>VLOOKUP($E1794,Customer_Dim!$A$2:$F$501,3,FALSE)</f>
        <v>Male</v>
      </c>
      <c r="N1794" t="str">
        <f>VLOOKUP($E1794,Customer_Dim!$A$2:$F$501,5,FALSE)</f>
        <v>USA</v>
      </c>
      <c r="O1794" t="str">
        <f>VLOOKUP($E1794,Customer_Dim!$A$2:$F$501,6,FALSE)</f>
        <v>Gold</v>
      </c>
      <c r="P1794" t="str">
        <f>VLOOKUP($A1794,Store_Dim!$A$2:$F$21,3,FALSE)</f>
        <v>WestThompsonborough</v>
      </c>
    </row>
    <row r="1795" spans="1:16" x14ac:dyDescent="0.25">
      <c r="A1795" t="s">
        <v>810</v>
      </c>
      <c r="B1795" t="s">
        <v>2636</v>
      </c>
      <c r="C1795" t="s">
        <v>577</v>
      </c>
      <c r="D1795" s="2">
        <v>45656</v>
      </c>
      <c r="E1795" t="s">
        <v>163</v>
      </c>
      <c r="F1795" t="str">
        <f>VLOOKUP($C1795,Product_Dim!$A$2:$D$101,3,FALSE)</f>
        <v>Sims Inc</v>
      </c>
      <c r="G1795" t="str">
        <f>VLOOKUP($C1795,Product_Dim!$A$2:$D$101,2,FALSE)</f>
        <v>Clothing</v>
      </c>
      <c r="H1795">
        <v>1</v>
      </c>
      <c r="I1795">
        <v>213.74</v>
      </c>
      <c r="J1795">
        <v>7.0000000000000007E-2</v>
      </c>
      <c r="K1795" s="3">
        <v>198.7782</v>
      </c>
      <c r="L1795" t="s">
        <v>857</v>
      </c>
      <c r="M1795" t="str">
        <f>VLOOKUP($E1795,Customer_Dim!$A$2:$F$501,3,FALSE)</f>
        <v>Male</v>
      </c>
      <c r="N1795" t="str">
        <f>VLOOKUP($E1795,Customer_Dim!$A$2:$F$501,5,FALSE)</f>
        <v>USA</v>
      </c>
      <c r="O1795" t="str">
        <f>VLOOKUP($E1795,Customer_Dim!$A$2:$F$501,6,FALSE)</f>
        <v>Gold</v>
      </c>
      <c r="P1795" t="str">
        <f>VLOOKUP($A1795,Store_Dim!$A$2:$F$21,3,FALSE)</f>
        <v>WestThompsonborough</v>
      </c>
    </row>
    <row r="1796" spans="1:16" hidden="1" x14ac:dyDescent="0.25">
      <c r="A1796" t="s">
        <v>810</v>
      </c>
      <c r="B1796" t="s">
        <v>2700</v>
      </c>
      <c r="C1796" t="s">
        <v>577</v>
      </c>
      <c r="D1796" s="2">
        <v>45752</v>
      </c>
      <c r="E1796" t="s">
        <v>438</v>
      </c>
      <c r="F1796" t="str">
        <f>VLOOKUP($C1796,Product_Dim!$A$2:$D$101,3,FALSE)</f>
        <v>Sims Inc</v>
      </c>
      <c r="G1796" t="str">
        <f>VLOOKUP($C1796,Product_Dim!$A$2:$D$101,2,FALSE)</f>
        <v>Clothing</v>
      </c>
      <c r="H1796">
        <v>3</v>
      </c>
      <c r="I1796">
        <v>591.9</v>
      </c>
      <c r="J1796">
        <v>0.27</v>
      </c>
      <c r="K1796" s="3">
        <v>1296.261</v>
      </c>
      <c r="L1796" t="s">
        <v>852</v>
      </c>
      <c r="M1796" t="str">
        <f>VLOOKUP($E1796,Customer_Dim!$A$2:$F$501,3,FALSE)</f>
        <v>Female</v>
      </c>
      <c r="N1796" t="str">
        <f>VLOOKUP($E1796,Customer_Dim!$A$2:$F$501,5,FALSE)</f>
        <v>USA</v>
      </c>
      <c r="O1796" t="str">
        <f>VLOOKUP($E1796,Customer_Dim!$A$2:$F$501,6,FALSE)</f>
        <v>Platinum</v>
      </c>
      <c r="P1796" t="str">
        <f>VLOOKUP($A1796,Store_Dim!$A$2:$F$21,3,FALSE)</f>
        <v>WestThompsonborough</v>
      </c>
    </row>
    <row r="1797" spans="1:16" hidden="1" x14ac:dyDescent="0.25">
      <c r="A1797" t="s">
        <v>810</v>
      </c>
      <c r="B1797" t="s">
        <v>1593</v>
      </c>
      <c r="C1797" t="s">
        <v>616</v>
      </c>
      <c r="D1797" s="2">
        <v>45716</v>
      </c>
      <c r="E1797" t="s">
        <v>116</v>
      </c>
      <c r="F1797" t="str">
        <f>VLOOKUP($C1797,Product_Dim!$A$2:$D$101,3,FALSE)</f>
        <v>Soto-Ellis</v>
      </c>
      <c r="G1797" t="str">
        <f>VLOOKUP($C1797,Product_Dim!$A$2:$D$101,2,FALSE)</f>
        <v>Sports</v>
      </c>
      <c r="H1797">
        <v>4</v>
      </c>
      <c r="I1797">
        <v>618.83000000000004</v>
      </c>
      <c r="J1797">
        <v>0.08</v>
      </c>
      <c r="K1797" s="3">
        <v>2277.2944000000002</v>
      </c>
      <c r="L1797" t="s">
        <v>854</v>
      </c>
      <c r="M1797" t="str">
        <f>VLOOKUP($E1797,Customer_Dim!$A$2:$F$501,3,FALSE)</f>
        <v>Female</v>
      </c>
      <c r="N1797" t="str">
        <f>VLOOKUP($E1797,Customer_Dim!$A$2:$F$501,5,FALSE)</f>
        <v>USA</v>
      </c>
      <c r="O1797" t="str">
        <f>VLOOKUP($E1797,Customer_Dim!$A$2:$F$501,6,FALSE)</f>
        <v>Silver</v>
      </c>
      <c r="P1797" t="str">
        <f>VLOOKUP($A1797,Store_Dim!$A$2:$F$21,3,FALSE)</f>
        <v>WestThompsonborough</v>
      </c>
    </row>
    <row r="1798" spans="1:16" x14ac:dyDescent="0.25">
      <c r="A1798" t="s">
        <v>810</v>
      </c>
      <c r="B1798" t="s">
        <v>928</v>
      </c>
      <c r="C1798" t="s">
        <v>616</v>
      </c>
      <c r="D1798" s="2">
        <v>45942</v>
      </c>
      <c r="E1798" t="s">
        <v>340</v>
      </c>
      <c r="F1798" t="str">
        <f>VLOOKUP($C1798,Product_Dim!$A$2:$D$101,3,FALSE)</f>
        <v>Soto-Ellis</v>
      </c>
      <c r="G1798" t="str">
        <f>VLOOKUP($C1798,Product_Dim!$A$2:$D$101,2,FALSE)</f>
        <v>Sports</v>
      </c>
      <c r="H1798">
        <v>1</v>
      </c>
      <c r="I1798">
        <v>184.98</v>
      </c>
      <c r="J1798">
        <v>0.1</v>
      </c>
      <c r="K1798" s="3">
        <v>166.482</v>
      </c>
      <c r="L1798" t="s">
        <v>857</v>
      </c>
      <c r="M1798" t="str">
        <f>VLOOKUP($E1798,Customer_Dim!$A$2:$F$501,3,FALSE)</f>
        <v>Male</v>
      </c>
      <c r="N1798" t="str">
        <f>VLOOKUP($E1798,Customer_Dim!$A$2:$F$501,5,FALSE)</f>
        <v>USA</v>
      </c>
      <c r="O1798" t="str">
        <f>VLOOKUP($E1798,Customer_Dim!$A$2:$F$501,6,FALSE)</f>
        <v>Bronze</v>
      </c>
      <c r="P1798" t="str">
        <f>VLOOKUP($A1798,Store_Dim!$A$2:$F$21,3,FALSE)</f>
        <v>WestThompsonborough</v>
      </c>
    </row>
    <row r="1799" spans="1:16" x14ac:dyDescent="0.25">
      <c r="A1799" t="s">
        <v>810</v>
      </c>
      <c r="B1799" t="s">
        <v>907</v>
      </c>
      <c r="C1799" t="s">
        <v>616</v>
      </c>
      <c r="D1799" s="2">
        <v>45677</v>
      </c>
      <c r="E1799" t="s">
        <v>391</v>
      </c>
      <c r="F1799" t="str">
        <f>VLOOKUP($C1799,Product_Dim!$A$2:$D$101,3,FALSE)</f>
        <v>Soto-Ellis</v>
      </c>
      <c r="G1799" t="str">
        <f>VLOOKUP($C1799,Product_Dim!$A$2:$D$101,2,FALSE)</f>
        <v>Sports</v>
      </c>
      <c r="H1799">
        <v>1</v>
      </c>
      <c r="I1799">
        <v>900.35</v>
      </c>
      <c r="J1799">
        <v>0.13</v>
      </c>
      <c r="K1799" s="3">
        <v>783.30449999999996</v>
      </c>
      <c r="L1799" t="s">
        <v>857</v>
      </c>
      <c r="M1799" t="str">
        <f>VLOOKUP($E1799,Customer_Dim!$A$2:$F$501,3,FALSE)</f>
        <v>Male</v>
      </c>
      <c r="N1799" t="str">
        <f>VLOOKUP($E1799,Customer_Dim!$A$2:$F$501,5,FALSE)</f>
        <v>USA</v>
      </c>
      <c r="O1799" t="str">
        <f>VLOOKUP($E1799,Customer_Dim!$A$2:$F$501,6,FALSE)</f>
        <v>Bronze</v>
      </c>
      <c r="P1799" t="str">
        <f>VLOOKUP($A1799,Store_Dim!$A$2:$F$21,3,FALSE)</f>
        <v>WestThompsonborough</v>
      </c>
    </row>
    <row r="1800" spans="1:16" hidden="1" x14ac:dyDescent="0.25">
      <c r="A1800" t="s">
        <v>810</v>
      </c>
      <c r="B1800" t="s">
        <v>1926</v>
      </c>
      <c r="C1800" t="s">
        <v>618</v>
      </c>
      <c r="D1800" s="2">
        <v>45653</v>
      </c>
      <c r="E1800" t="s">
        <v>262</v>
      </c>
      <c r="F1800" t="str">
        <f>VLOOKUP($C1800,Product_Dim!$A$2:$D$101,3,FALSE)</f>
        <v>Gardner-Montes</v>
      </c>
      <c r="G1800" t="str">
        <f>VLOOKUP($C1800,Product_Dim!$A$2:$D$101,2,FALSE)</f>
        <v>Home</v>
      </c>
      <c r="H1800">
        <v>1</v>
      </c>
      <c r="I1800">
        <v>66.22</v>
      </c>
      <c r="J1800">
        <v>0.02</v>
      </c>
      <c r="K1800" s="3">
        <v>64.895600000000002</v>
      </c>
      <c r="L1800" t="s">
        <v>852</v>
      </c>
      <c r="M1800" t="str">
        <f>VLOOKUP($E1800,Customer_Dim!$A$2:$F$501,3,FALSE)</f>
        <v>Female</v>
      </c>
      <c r="N1800" t="str">
        <f>VLOOKUP($E1800,Customer_Dim!$A$2:$F$501,5,FALSE)</f>
        <v>USA</v>
      </c>
      <c r="O1800" t="str">
        <f>VLOOKUP($E1800,Customer_Dim!$A$2:$F$501,6,FALSE)</f>
        <v>Platinum</v>
      </c>
      <c r="P1800" t="str">
        <f>VLOOKUP($A1800,Store_Dim!$A$2:$F$21,3,FALSE)</f>
        <v>WestThompsonborough</v>
      </c>
    </row>
    <row r="1801" spans="1:16" hidden="1" x14ac:dyDescent="0.25">
      <c r="A1801" t="s">
        <v>810</v>
      </c>
      <c r="B1801" t="s">
        <v>2442</v>
      </c>
      <c r="C1801" t="s">
        <v>620</v>
      </c>
      <c r="D1801" s="2">
        <v>45757</v>
      </c>
      <c r="E1801" t="s">
        <v>211</v>
      </c>
      <c r="F1801" t="str">
        <f>VLOOKUP($C1801,Product_Dim!$A$2:$D$101,3,FALSE)</f>
        <v>Flores, Pineda and Rodriguez</v>
      </c>
      <c r="G1801" t="str">
        <f>VLOOKUP($C1801,Product_Dim!$A$2:$D$101,2,FALSE)</f>
        <v>Sports</v>
      </c>
      <c r="H1801">
        <v>4</v>
      </c>
      <c r="I1801">
        <v>565.37</v>
      </c>
      <c r="J1801">
        <v>7.0000000000000007E-2</v>
      </c>
      <c r="K1801" s="3">
        <v>2103.1763999999998</v>
      </c>
      <c r="L1801" t="s">
        <v>854</v>
      </c>
      <c r="M1801" t="str">
        <f>VLOOKUP($E1801,Customer_Dim!$A$2:$F$501,3,FALSE)</f>
        <v>Female</v>
      </c>
      <c r="N1801" t="str">
        <f>VLOOKUP($E1801,Customer_Dim!$A$2:$F$501,5,FALSE)</f>
        <v>USA</v>
      </c>
      <c r="O1801" t="str">
        <f>VLOOKUP($E1801,Customer_Dim!$A$2:$F$501,6,FALSE)</f>
        <v>Platinum</v>
      </c>
      <c r="P1801" t="str">
        <f>VLOOKUP($A1801,Store_Dim!$A$2:$F$21,3,FALSE)</f>
        <v>WestThompsonborough</v>
      </c>
    </row>
    <row r="1802" spans="1:16" x14ac:dyDescent="0.25">
      <c r="A1802" t="s">
        <v>810</v>
      </c>
      <c r="B1802" t="s">
        <v>895</v>
      </c>
      <c r="C1802" t="s">
        <v>622</v>
      </c>
      <c r="D1802" s="2">
        <v>45241</v>
      </c>
      <c r="E1802" t="s">
        <v>369</v>
      </c>
      <c r="F1802" t="str">
        <f>VLOOKUP($C1802,Product_Dim!$A$2:$D$101,3,FALSE)</f>
        <v>Moon, Mora and Santos</v>
      </c>
      <c r="G1802" t="str">
        <f>VLOOKUP($C1802,Product_Dim!$A$2:$D$101,2,FALSE)</f>
        <v>Clothing</v>
      </c>
      <c r="H1802">
        <v>3</v>
      </c>
      <c r="I1802">
        <v>342.47</v>
      </c>
      <c r="J1802">
        <v>0.08</v>
      </c>
      <c r="K1802" s="3">
        <v>945.21720000000016</v>
      </c>
      <c r="L1802" t="s">
        <v>854</v>
      </c>
      <c r="M1802" t="str">
        <f>VLOOKUP($E1802,Customer_Dim!$A$2:$F$501,3,FALSE)</f>
        <v>Male</v>
      </c>
      <c r="N1802" t="str">
        <f>VLOOKUP($E1802,Customer_Dim!$A$2:$F$501,5,FALSE)</f>
        <v>USA</v>
      </c>
      <c r="O1802" t="str">
        <f>VLOOKUP($E1802,Customer_Dim!$A$2:$F$501,6,FALSE)</f>
        <v>Gold</v>
      </c>
      <c r="P1802" t="str">
        <f>VLOOKUP($A1802,Store_Dim!$A$2:$F$21,3,FALSE)</f>
        <v>WestThompsonborough</v>
      </c>
    </row>
    <row r="1803" spans="1:16" x14ac:dyDescent="0.25">
      <c r="A1803" t="s">
        <v>810</v>
      </c>
      <c r="B1803" t="s">
        <v>2755</v>
      </c>
      <c r="C1803" t="s">
        <v>626</v>
      </c>
      <c r="D1803" s="2">
        <v>45250</v>
      </c>
      <c r="E1803" t="s">
        <v>498</v>
      </c>
      <c r="F1803" t="str">
        <f>VLOOKUP($C1803,Product_Dim!$A$2:$D$101,3,FALSE)</f>
        <v>Brown and Sons</v>
      </c>
      <c r="G1803" t="str">
        <f>VLOOKUP($C1803,Product_Dim!$A$2:$D$101,2,FALSE)</f>
        <v>Clothing</v>
      </c>
      <c r="H1803">
        <v>1</v>
      </c>
      <c r="I1803">
        <v>52.06</v>
      </c>
      <c r="J1803">
        <v>0.27</v>
      </c>
      <c r="K1803" s="3">
        <v>38.003799999999998</v>
      </c>
      <c r="L1803" t="s">
        <v>857</v>
      </c>
      <c r="M1803" t="str">
        <f>VLOOKUP($E1803,Customer_Dim!$A$2:$F$501,3,FALSE)</f>
        <v>Male</v>
      </c>
      <c r="N1803" t="str">
        <f>VLOOKUP($E1803,Customer_Dim!$A$2:$F$501,5,FALSE)</f>
        <v>USA</v>
      </c>
      <c r="O1803" t="str">
        <f>VLOOKUP($E1803,Customer_Dim!$A$2:$F$501,6,FALSE)</f>
        <v>Platinum</v>
      </c>
      <c r="P1803" t="str">
        <f>VLOOKUP($A1803,Store_Dim!$A$2:$F$21,3,FALSE)</f>
        <v>WestThompsonborough</v>
      </c>
    </row>
    <row r="1804" spans="1:16" hidden="1" x14ac:dyDescent="0.25">
      <c r="A1804" t="s">
        <v>810</v>
      </c>
      <c r="B1804" t="s">
        <v>2003</v>
      </c>
      <c r="C1804" t="s">
        <v>628</v>
      </c>
      <c r="D1804" s="2">
        <v>45824</v>
      </c>
      <c r="E1804" t="s">
        <v>195</v>
      </c>
      <c r="F1804" t="str">
        <f>VLOOKUP($C1804,Product_Dim!$A$2:$D$101,3,FALSE)</f>
        <v>Reed-Schmidt</v>
      </c>
      <c r="G1804" t="str">
        <f>VLOOKUP($C1804,Product_Dim!$A$2:$D$101,2,FALSE)</f>
        <v>Electronics</v>
      </c>
      <c r="H1804">
        <v>3</v>
      </c>
      <c r="I1804">
        <v>922.56</v>
      </c>
      <c r="J1804">
        <v>0.18</v>
      </c>
      <c r="K1804" s="3">
        <v>2269.4976000000001</v>
      </c>
      <c r="L1804" t="s">
        <v>854</v>
      </c>
      <c r="M1804" t="str">
        <f>VLOOKUP($E1804,Customer_Dim!$A$2:$F$501,3,FALSE)</f>
        <v>Female</v>
      </c>
      <c r="N1804" t="str">
        <f>VLOOKUP($E1804,Customer_Dim!$A$2:$F$501,5,FALSE)</f>
        <v>USA</v>
      </c>
      <c r="O1804" t="str">
        <f>VLOOKUP($E1804,Customer_Dim!$A$2:$F$501,6,FALSE)</f>
        <v>Bronze</v>
      </c>
      <c r="P1804" t="str">
        <f>VLOOKUP($A1804,Store_Dim!$A$2:$F$21,3,FALSE)</f>
        <v>WestThompsonborough</v>
      </c>
    </row>
    <row r="1805" spans="1:16" hidden="1" x14ac:dyDescent="0.25">
      <c r="A1805" t="s">
        <v>810</v>
      </c>
      <c r="B1805" t="s">
        <v>2647</v>
      </c>
      <c r="C1805" t="s">
        <v>628</v>
      </c>
      <c r="D1805" s="2">
        <v>45222</v>
      </c>
      <c r="E1805" t="s">
        <v>414</v>
      </c>
      <c r="F1805" t="str">
        <f>VLOOKUP($C1805,Product_Dim!$A$2:$D$101,3,FALSE)</f>
        <v>Reed-Schmidt</v>
      </c>
      <c r="G1805" t="str">
        <f>VLOOKUP($C1805,Product_Dim!$A$2:$D$101,2,FALSE)</f>
        <v>Electronics</v>
      </c>
      <c r="H1805">
        <v>1</v>
      </c>
      <c r="I1805">
        <v>361.8</v>
      </c>
      <c r="J1805">
        <v>0.02</v>
      </c>
      <c r="K1805" s="3">
        <v>354.56400000000002</v>
      </c>
      <c r="L1805" t="s">
        <v>857</v>
      </c>
      <c r="M1805" t="str">
        <f>VLOOKUP($E1805,Customer_Dim!$A$2:$F$501,3,FALSE)</f>
        <v>Female</v>
      </c>
      <c r="N1805" t="str">
        <f>VLOOKUP($E1805,Customer_Dim!$A$2:$F$501,5,FALSE)</f>
        <v>USA</v>
      </c>
      <c r="O1805" t="str">
        <f>VLOOKUP($E1805,Customer_Dim!$A$2:$F$501,6,FALSE)</f>
        <v>Gold</v>
      </c>
      <c r="P1805" t="str">
        <f>VLOOKUP($A1805,Store_Dim!$A$2:$F$21,3,FALSE)</f>
        <v>WestThompsonborough</v>
      </c>
    </row>
    <row r="1806" spans="1:16" hidden="1" x14ac:dyDescent="0.25">
      <c r="A1806" t="s">
        <v>810</v>
      </c>
      <c r="B1806" t="s">
        <v>2152</v>
      </c>
      <c r="C1806" t="s">
        <v>628</v>
      </c>
      <c r="D1806" s="2">
        <v>45286</v>
      </c>
      <c r="E1806" t="s">
        <v>454</v>
      </c>
      <c r="F1806" t="str">
        <f>VLOOKUP($C1806,Product_Dim!$A$2:$D$101,3,FALSE)</f>
        <v>Reed-Schmidt</v>
      </c>
      <c r="G1806" t="str">
        <f>VLOOKUP($C1806,Product_Dim!$A$2:$D$101,2,FALSE)</f>
        <v>Electronics</v>
      </c>
      <c r="H1806">
        <v>2</v>
      </c>
      <c r="I1806">
        <v>853.41</v>
      </c>
      <c r="J1806">
        <v>0.25</v>
      </c>
      <c r="K1806" s="3">
        <v>1280.115</v>
      </c>
      <c r="L1806" t="s">
        <v>852</v>
      </c>
      <c r="M1806" t="str">
        <f>VLOOKUP($E1806,Customer_Dim!$A$2:$F$501,3,FALSE)</f>
        <v>Female</v>
      </c>
      <c r="N1806" t="str">
        <f>VLOOKUP($E1806,Customer_Dim!$A$2:$F$501,5,FALSE)</f>
        <v>USA</v>
      </c>
      <c r="O1806" t="str">
        <f>VLOOKUP($E1806,Customer_Dim!$A$2:$F$501,6,FALSE)</f>
        <v>Silver</v>
      </c>
      <c r="P1806" t="str">
        <f>VLOOKUP($A1806,Store_Dim!$A$2:$F$21,3,FALSE)</f>
        <v>WestThompsonborough</v>
      </c>
    </row>
    <row r="1807" spans="1:16" hidden="1" x14ac:dyDescent="0.25">
      <c r="A1807" t="s">
        <v>810</v>
      </c>
      <c r="B1807" t="s">
        <v>1065</v>
      </c>
      <c r="C1807" t="s">
        <v>630</v>
      </c>
      <c r="D1807" s="2">
        <v>45807</v>
      </c>
      <c r="E1807" t="s">
        <v>37</v>
      </c>
      <c r="F1807" t="str">
        <f>VLOOKUP($C1807,Product_Dim!$A$2:$D$101,3,FALSE)</f>
        <v>Khan, Jones and Paul</v>
      </c>
      <c r="G1807" t="str">
        <f>VLOOKUP($C1807,Product_Dim!$A$2:$D$101,2,FALSE)</f>
        <v>Home</v>
      </c>
      <c r="H1807">
        <v>3</v>
      </c>
      <c r="I1807">
        <v>681.01</v>
      </c>
      <c r="J1807">
        <v>0.27</v>
      </c>
      <c r="K1807" s="3">
        <v>1491.4119000000001</v>
      </c>
      <c r="L1807" t="s">
        <v>857</v>
      </c>
      <c r="M1807" t="str">
        <f>VLOOKUP($E1807,Customer_Dim!$A$2:$F$501,3,FALSE)</f>
        <v>Female</v>
      </c>
      <c r="N1807" t="str">
        <f>VLOOKUP($E1807,Customer_Dim!$A$2:$F$501,5,FALSE)</f>
        <v>USA</v>
      </c>
      <c r="O1807" t="str">
        <f>VLOOKUP($E1807,Customer_Dim!$A$2:$F$501,6,FALSE)</f>
        <v>Platinum</v>
      </c>
      <c r="P1807" t="str">
        <f>VLOOKUP($A1807,Store_Dim!$A$2:$F$21,3,FALSE)</f>
        <v>WestThompsonborough</v>
      </c>
    </row>
    <row r="1808" spans="1:16" hidden="1" x14ac:dyDescent="0.25">
      <c r="A1808" t="s">
        <v>810</v>
      </c>
      <c r="B1808" t="s">
        <v>1460</v>
      </c>
      <c r="C1808" t="s">
        <v>630</v>
      </c>
      <c r="D1808" s="2">
        <v>45555</v>
      </c>
      <c r="E1808" t="s">
        <v>66</v>
      </c>
      <c r="F1808" t="str">
        <f>VLOOKUP($C1808,Product_Dim!$A$2:$D$101,3,FALSE)</f>
        <v>Khan, Jones and Paul</v>
      </c>
      <c r="G1808" t="str">
        <f>VLOOKUP($C1808,Product_Dim!$A$2:$D$101,2,FALSE)</f>
        <v>Home</v>
      </c>
      <c r="H1808">
        <v>3</v>
      </c>
      <c r="I1808">
        <v>827.88</v>
      </c>
      <c r="J1808">
        <v>0.19</v>
      </c>
      <c r="K1808" s="3">
        <v>2011.7483999999999</v>
      </c>
      <c r="L1808" t="s">
        <v>854</v>
      </c>
      <c r="M1808" t="str">
        <f>VLOOKUP($E1808,Customer_Dim!$A$2:$F$501,3,FALSE)</f>
        <v>Female</v>
      </c>
      <c r="N1808" t="str">
        <f>VLOOKUP($E1808,Customer_Dim!$A$2:$F$501,5,FALSE)</f>
        <v>USA</v>
      </c>
      <c r="O1808" t="str">
        <f>VLOOKUP($E1808,Customer_Dim!$A$2:$F$501,6,FALSE)</f>
        <v>Silver</v>
      </c>
      <c r="P1808" t="str">
        <f>VLOOKUP($A1808,Store_Dim!$A$2:$F$21,3,FALSE)</f>
        <v>WestThompsonborough</v>
      </c>
    </row>
    <row r="1809" spans="1:16" x14ac:dyDescent="0.25">
      <c r="A1809" t="s">
        <v>810</v>
      </c>
      <c r="B1809" t="s">
        <v>1336</v>
      </c>
      <c r="C1809" t="s">
        <v>634</v>
      </c>
      <c r="D1809" s="2">
        <v>45851</v>
      </c>
      <c r="E1809" t="s">
        <v>486</v>
      </c>
      <c r="F1809" t="str">
        <f>VLOOKUP($C1809,Product_Dim!$A$2:$D$101,3,FALSE)</f>
        <v>Hoffman Group</v>
      </c>
      <c r="G1809" t="str">
        <f>VLOOKUP($C1809,Product_Dim!$A$2:$D$101,2,FALSE)</f>
        <v>Home</v>
      </c>
      <c r="H1809">
        <v>2</v>
      </c>
      <c r="I1809">
        <v>756.8</v>
      </c>
      <c r="J1809">
        <v>0.15</v>
      </c>
      <c r="K1809" s="3">
        <v>1286.56</v>
      </c>
      <c r="L1809" t="s">
        <v>852</v>
      </c>
      <c r="M1809" t="str">
        <f>VLOOKUP($E1809,Customer_Dim!$A$2:$F$501,3,FALSE)</f>
        <v>Male</v>
      </c>
      <c r="N1809" t="str">
        <f>VLOOKUP($E1809,Customer_Dim!$A$2:$F$501,5,FALSE)</f>
        <v>USA</v>
      </c>
      <c r="O1809" t="str">
        <f>VLOOKUP($E1809,Customer_Dim!$A$2:$F$501,6,FALSE)</f>
        <v>Gold</v>
      </c>
      <c r="P1809" t="str">
        <f>VLOOKUP($A1809,Store_Dim!$A$2:$F$21,3,FALSE)</f>
        <v>WestThompsonborough</v>
      </c>
    </row>
    <row r="1810" spans="1:16" hidden="1" x14ac:dyDescent="0.25">
      <c r="A1810" t="s">
        <v>810</v>
      </c>
      <c r="B1810" t="s">
        <v>2742</v>
      </c>
      <c r="C1810" t="s">
        <v>579</v>
      </c>
      <c r="D1810" s="2">
        <v>45740</v>
      </c>
      <c r="E1810" t="s">
        <v>358</v>
      </c>
      <c r="F1810" t="str">
        <f>VLOOKUP($C1810,Product_Dim!$A$2:$D$101,3,FALSE)</f>
        <v>Pineda Ltd</v>
      </c>
      <c r="G1810" t="str">
        <f>VLOOKUP($C1810,Product_Dim!$A$2:$D$101,2,FALSE)</f>
        <v>Clothing</v>
      </c>
      <c r="H1810">
        <v>4</v>
      </c>
      <c r="I1810">
        <v>625.13</v>
      </c>
      <c r="J1810">
        <v>0.06</v>
      </c>
      <c r="K1810" s="3">
        <v>2350.4888000000001</v>
      </c>
      <c r="L1810" t="s">
        <v>852</v>
      </c>
      <c r="M1810" t="str">
        <f>VLOOKUP($E1810,Customer_Dim!$A$2:$F$501,3,FALSE)</f>
        <v>Female</v>
      </c>
      <c r="N1810" t="str">
        <f>VLOOKUP($E1810,Customer_Dim!$A$2:$F$501,5,FALSE)</f>
        <v>USA</v>
      </c>
      <c r="O1810" t="str">
        <f>VLOOKUP($E1810,Customer_Dim!$A$2:$F$501,6,FALSE)</f>
        <v>Bronze</v>
      </c>
      <c r="P1810" t="str">
        <f>VLOOKUP($A1810,Store_Dim!$A$2:$F$21,3,FALSE)</f>
        <v>WestThompsonborough</v>
      </c>
    </row>
    <row r="1811" spans="1:16" x14ac:dyDescent="0.25">
      <c r="A1811" t="s">
        <v>810</v>
      </c>
      <c r="B1811" t="s">
        <v>970</v>
      </c>
      <c r="C1811" t="s">
        <v>579</v>
      </c>
      <c r="D1811" s="2">
        <v>45420</v>
      </c>
      <c r="E1811" t="s">
        <v>486</v>
      </c>
      <c r="F1811" t="str">
        <f>VLOOKUP($C1811,Product_Dim!$A$2:$D$101,3,FALSE)</f>
        <v>Pineda Ltd</v>
      </c>
      <c r="G1811" t="str">
        <f>VLOOKUP($C1811,Product_Dim!$A$2:$D$101,2,FALSE)</f>
        <v>Clothing</v>
      </c>
      <c r="H1811">
        <v>4</v>
      </c>
      <c r="I1811">
        <v>770.77</v>
      </c>
      <c r="J1811">
        <v>0.22</v>
      </c>
      <c r="K1811" s="3">
        <v>2404.8024</v>
      </c>
      <c r="L1811" t="s">
        <v>852</v>
      </c>
      <c r="M1811" t="str">
        <f>VLOOKUP($E1811,Customer_Dim!$A$2:$F$501,3,FALSE)</f>
        <v>Male</v>
      </c>
      <c r="N1811" t="str">
        <f>VLOOKUP($E1811,Customer_Dim!$A$2:$F$501,5,FALSE)</f>
        <v>USA</v>
      </c>
      <c r="O1811" t="str">
        <f>VLOOKUP($E1811,Customer_Dim!$A$2:$F$501,6,FALSE)</f>
        <v>Gold</v>
      </c>
      <c r="P1811" t="str">
        <f>VLOOKUP($A1811,Store_Dim!$A$2:$F$21,3,FALSE)</f>
        <v>WestThompsonborough</v>
      </c>
    </row>
    <row r="1812" spans="1:16" x14ac:dyDescent="0.25">
      <c r="A1812" t="s">
        <v>810</v>
      </c>
      <c r="B1812" t="s">
        <v>1414</v>
      </c>
      <c r="C1812" t="s">
        <v>636</v>
      </c>
      <c r="D1812" s="2">
        <v>45326</v>
      </c>
      <c r="E1812" t="s">
        <v>253</v>
      </c>
      <c r="F1812" t="str">
        <f>VLOOKUP($C1812,Product_Dim!$A$2:$D$101,3,FALSE)</f>
        <v>Stevens, Fernandez and Martin</v>
      </c>
      <c r="G1812" t="str">
        <f>VLOOKUP($C1812,Product_Dim!$A$2:$D$101,2,FALSE)</f>
        <v>Home</v>
      </c>
      <c r="H1812">
        <v>3</v>
      </c>
      <c r="I1812">
        <v>330.04</v>
      </c>
      <c r="J1812">
        <v>0.2</v>
      </c>
      <c r="K1812" s="3">
        <v>792.09600000000012</v>
      </c>
      <c r="L1812" t="s">
        <v>852</v>
      </c>
      <c r="M1812" t="str">
        <f>VLOOKUP($E1812,Customer_Dim!$A$2:$F$501,3,FALSE)</f>
        <v>Male</v>
      </c>
      <c r="N1812" t="str">
        <f>VLOOKUP($E1812,Customer_Dim!$A$2:$F$501,5,FALSE)</f>
        <v>USA</v>
      </c>
      <c r="O1812" t="str">
        <f>VLOOKUP($E1812,Customer_Dim!$A$2:$F$501,6,FALSE)</f>
        <v>Silver</v>
      </c>
      <c r="P1812" t="str">
        <f>VLOOKUP($A1812,Store_Dim!$A$2:$F$21,3,FALSE)</f>
        <v>WestThompsonborough</v>
      </c>
    </row>
    <row r="1813" spans="1:16" hidden="1" x14ac:dyDescent="0.25">
      <c r="A1813" t="s">
        <v>810</v>
      </c>
      <c r="B1813" t="s">
        <v>1836</v>
      </c>
      <c r="C1813" t="s">
        <v>638</v>
      </c>
      <c r="D1813" s="2">
        <v>45228</v>
      </c>
      <c r="E1813" t="s">
        <v>229</v>
      </c>
      <c r="F1813" t="str">
        <f>VLOOKUP($C1813,Product_Dim!$A$2:$D$101,3,FALSE)</f>
        <v>Nolan-Snow</v>
      </c>
      <c r="G1813" t="str">
        <f>VLOOKUP($C1813,Product_Dim!$A$2:$D$101,2,FALSE)</f>
        <v>Sports</v>
      </c>
      <c r="H1813">
        <v>4</v>
      </c>
      <c r="I1813">
        <v>538.73</v>
      </c>
      <c r="J1813">
        <v>0.03</v>
      </c>
      <c r="K1813" s="3">
        <v>2090.2723999999998</v>
      </c>
      <c r="L1813" t="s">
        <v>852</v>
      </c>
      <c r="M1813" t="str">
        <f>VLOOKUP($E1813,Customer_Dim!$A$2:$F$501,3,FALSE)</f>
        <v>Female</v>
      </c>
      <c r="N1813" t="str">
        <f>VLOOKUP($E1813,Customer_Dim!$A$2:$F$501,5,FALSE)</f>
        <v>USA</v>
      </c>
      <c r="O1813" t="str">
        <f>VLOOKUP($E1813,Customer_Dim!$A$2:$F$501,6,FALSE)</f>
        <v>Platinum</v>
      </c>
      <c r="P1813" t="str">
        <f>VLOOKUP($A1813,Store_Dim!$A$2:$F$21,3,FALSE)</f>
        <v>WestThompsonborough</v>
      </c>
    </row>
    <row r="1814" spans="1:16" hidden="1" x14ac:dyDescent="0.25">
      <c r="A1814" t="s">
        <v>810</v>
      </c>
      <c r="B1814" t="s">
        <v>2166</v>
      </c>
      <c r="C1814" t="s">
        <v>638</v>
      </c>
      <c r="D1814" s="2">
        <v>45576</v>
      </c>
      <c r="E1814" t="s">
        <v>413</v>
      </c>
      <c r="F1814" t="str">
        <f>VLOOKUP($C1814,Product_Dim!$A$2:$D$101,3,FALSE)</f>
        <v>Nolan-Snow</v>
      </c>
      <c r="G1814" t="str">
        <f>VLOOKUP($C1814,Product_Dim!$A$2:$D$101,2,FALSE)</f>
        <v>Sports</v>
      </c>
      <c r="H1814">
        <v>3</v>
      </c>
      <c r="I1814">
        <v>653.59</v>
      </c>
      <c r="J1814">
        <v>0.17</v>
      </c>
      <c r="K1814" s="3">
        <v>1627.4391000000001</v>
      </c>
      <c r="L1814" t="s">
        <v>857</v>
      </c>
      <c r="M1814" t="str">
        <f>VLOOKUP($E1814,Customer_Dim!$A$2:$F$501,3,FALSE)</f>
        <v>Female</v>
      </c>
      <c r="N1814" t="str">
        <f>VLOOKUP($E1814,Customer_Dim!$A$2:$F$501,5,FALSE)</f>
        <v>USA</v>
      </c>
      <c r="O1814" t="str">
        <f>VLOOKUP($E1814,Customer_Dim!$A$2:$F$501,6,FALSE)</f>
        <v>Platinum</v>
      </c>
      <c r="P1814" t="str">
        <f>VLOOKUP($A1814,Store_Dim!$A$2:$F$21,3,FALSE)</f>
        <v>WestThompsonborough</v>
      </c>
    </row>
    <row r="1815" spans="1:16" x14ac:dyDescent="0.25">
      <c r="A1815" t="s">
        <v>810</v>
      </c>
      <c r="B1815" t="s">
        <v>2773</v>
      </c>
      <c r="C1815" t="s">
        <v>644</v>
      </c>
      <c r="D1815" s="2">
        <v>45651</v>
      </c>
      <c r="E1815" t="s">
        <v>160</v>
      </c>
      <c r="F1815" t="str">
        <f>VLOOKUP($C1815,Product_Dim!$A$2:$D$101,3,FALSE)</f>
        <v>Lucero LLC</v>
      </c>
      <c r="G1815" t="str">
        <f>VLOOKUP($C1815,Product_Dim!$A$2:$D$101,2,FALSE)</f>
        <v>Electronics</v>
      </c>
      <c r="H1815">
        <v>3</v>
      </c>
      <c r="I1815">
        <v>570.12</v>
      </c>
      <c r="J1815">
        <v>0.12</v>
      </c>
      <c r="K1815" s="3">
        <v>1505.1168</v>
      </c>
      <c r="L1815" t="s">
        <v>854</v>
      </c>
      <c r="M1815" t="str">
        <f>VLOOKUP($E1815,Customer_Dim!$A$2:$F$501,3,FALSE)</f>
        <v>Male</v>
      </c>
      <c r="N1815" t="str">
        <f>VLOOKUP($E1815,Customer_Dim!$A$2:$F$501,5,FALSE)</f>
        <v>USA</v>
      </c>
      <c r="O1815" t="str">
        <f>VLOOKUP($E1815,Customer_Dim!$A$2:$F$501,6,FALSE)</f>
        <v>Silver</v>
      </c>
      <c r="P1815" t="str">
        <f>VLOOKUP($A1815,Store_Dim!$A$2:$F$21,3,FALSE)</f>
        <v>WestThompsonborough</v>
      </c>
    </row>
    <row r="1816" spans="1:16" x14ac:dyDescent="0.25">
      <c r="A1816" t="s">
        <v>810</v>
      </c>
      <c r="B1816" t="s">
        <v>2155</v>
      </c>
      <c r="C1816" t="s">
        <v>644</v>
      </c>
      <c r="D1816" s="2">
        <v>45528</v>
      </c>
      <c r="E1816" t="s">
        <v>165</v>
      </c>
      <c r="F1816" t="str">
        <f>VLOOKUP($C1816,Product_Dim!$A$2:$D$101,3,FALSE)</f>
        <v>Lucero LLC</v>
      </c>
      <c r="G1816" t="str">
        <f>VLOOKUP($C1816,Product_Dim!$A$2:$D$101,2,FALSE)</f>
        <v>Electronics</v>
      </c>
      <c r="H1816">
        <v>4</v>
      </c>
      <c r="I1816">
        <v>349.07</v>
      </c>
      <c r="J1816">
        <v>0.28000000000000003</v>
      </c>
      <c r="K1816" s="3">
        <v>1005.3216</v>
      </c>
      <c r="L1816" t="s">
        <v>852</v>
      </c>
      <c r="M1816" t="str">
        <f>VLOOKUP($E1816,Customer_Dim!$A$2:$F$501,3,FALSE)</f>
        <v>Male</v>
      </c>
      <c r="N1816" t="str">
        <f>VLOOKUP($E1816,Customer_Dim!$A$2:$F$501,5,FALSE)</f>
        <v>USA</v>
      </c>
      <c r="O1816" t="str">
        <f>VLOOKUP($E1816,Customer_Dim!$A$2:$F$501,6,FALSE)</f>
        <v>Bronze</v>
      </c>
      <c r="P1816" t="str">
        <f>VLOOKUP($A1816,Store_Dim!$A$2:$F$21,3,FALSE)</f>
        <v>WestThompsonborough</v>
      </c>
    </row>
    <row r="1817" spans="1:16" hidden="1" x14ac:dyDescent="0.25">
      <c r="A1817" t="s">
        <v>810</v>
      </c>
      <c r="B1817" t="s">
        <v>2850</v>
      </c>
      <c r="C1817" t="s">
        <v>646</v>
      </c>
      <c r="D1817" s="2">
        <v>45773</v>
      </c>
      <c r="E1817" t="s">
        <v>225</v>
      </c>
      <c r="F1817" t="str">
        <f>VLOOKUP($C1817,Product_Dim!$A$2:$D$101,3,FALSE)</f>
        <v>Jones LLC</v>
      </c>
      <c r="G1817" t="str">
        <f>VLOOKUP($C1817,Product_Dim!$A$2:$D$101,2,FALSE)</f>
        <v>Home</v>
      </c>
      <c r="H1817">
        <v>3</v>
      </c>
      <c r="I1817">
        <v>875.99</v>
      </c>
      <c r="J1817">
        <v>0.09</v>
      </c>
      <c r="K1817" s="3">
        <v>2391.4526999999998</v>
      </c>
      <c r="L1817" t="s">
        <v>854</v>
      </c>
      <c r="M1817" t="str">
        <f>VLOOKUP($E1817,Customer_Dim!$A$2:$F$501,3,FALSE)</f>
        <v>Female</v>
      </c>
      <c r="N1817" t="str">
        <f>VLOOKUP($E1817,Customer_Dim!$A$2:$F$501,5,FALSE)</f>
        <v>USA</v>
      </c>
      <c r="O1817" t="str">
        <f>VLOOKUP($E1817,Customer_Dim!$A$2:$F$501,6,FALSE)</f>
        <v>Silver</v>
      </c>
      <c r="P1817" t="str">
        <f>VLOOKUP($A1817,Store_Dim!$A$2:$F$21,3,FALSE)</f>
        <v>WestThompsonborough</v>
      </c>
    </row>
    <row r="1818" spans="1:16" x14ac:dyDescent="0.25">
      <c r="A1818" t="s">
        <v>810</v>
      </c>
      <c r="B1818" t="s">
        <v>2360</v>
      </c>
      <c r="C1818" t="s">
        <v>646</v>
      </c>
      <c r="D1818" s="2">
        <v>45864</v>
      </c>
      <c r="E1818" t="s">
        <v>536</v>
      </c>
      <c r="F1818" t="str">
        <f>VLOOKUP($C1818,Product_Dim!$A$2:$D$101,3,FALSE)</f>
        <v>Jones LLC</v>
      </c>
      <c r="G1818" t="str">
        <f>VLOOKUP($C1818,Product_Dim!$A$2:$D$101,2,FALSE)</f>
        <v>Home</v>
      </c>
      <c r="H1818">
        <v>4</v>
      </c>
      <c r="I1818">
        <v>480.75</v>
      </c>
      <c r="J1818">
        <v>0.02</v>
      </c>
      <c r="K1818" s="3">
        <v>1884.54</v>
      </c>
      <c r="L1818" t="s">
        <v>852</v>
      </c>
      <c r="M1818" t="str">
        <f>VLOOKUP($E1818,Customer_Dim!$A$2:$F$501,3,FALSE)</f>
        <v>Male</v>
      </c>
      <c r="N1818" t="str">
        <f>VLOOKUP($E1818,Customer_Dim!$A$2:$F$501,5,FALSE)</f>
        <v>USA</v>
      </c>
      <c r="O1818" t="str">
        <f>VLOOKUP($E1818,Customer_Dim!$A$2:$F$501,6,FALSE)</f>
        <v>Gold</v>
      </c>
      <c r="P1818" t="str">
        <f>VLOOKUP($A1818,Store_Dim!$A$2:$F$21,3,FALSE)</f>
        <v>WestThompsonborough</v>
      </c>
    </row>
    <row r="1819" spans="1:16" hidden="1" x14ac:dyDescent="0.25">
      <c r="A1819" t="s">
        <v>810</v>
      </c>
      <c r="B1819" t="s">
        <v>2064</v>
      </c>
      <c r="C1819" t="s">
        <v>648</v>
      </c>
      <c r="D1819" s="2">
        <v>45530</v>
      </c>
      <c r="E1819" t="s">
        <v>138</v>
      </c>
      <c r="F1819" t="str">
        <f>VLOOKUP($C1819,Product_Dim!$A$2:$D$101,3,FALSE)</f>
        <v>Smith-Mills</v>
      </c>
      <c r="G1819" t="str">
        <f>VLOOKUP($C1819,Product_Dim!$A$2:$D$101,2,FALSE)</f>
        <v>Clothing</v>
      </c>
      <c r="H1819">
        <v>4</v>
      </c>
      <c r="I1819">
        <v>271.04000000000002</v>
      </c>
      <c r="J1819">
        <v>0.12</v>
      </c>
      <c r="K1819" s="3">
        <v>954.06080000000009</v>
      </c>
      <c r="L1819" t="s">
        <v>857</v>
      </c>
      <c r="M1819" t="str">
        <f>VLOOKUP($E1819,Customer_Dim!$A$2:$F$501,3,FALSE)</f>
        <v>Female</v>
      </c>
      <c r="N1819" t="str">
        <f>VLOOKUP($E1819,Customer_Dim!$A$2:$F$501,5,FALSE)</f>
        <v>USA</v>
      </c>
      <c r="O1819" t="str">
        <f>VLOOKUP($E1819,Customer_Dim!$A$2:$F$501,6,FALSE)</f>
        <v>Platinum</v>
      </c>
      <c r="P1819" t="str">
        <f>VLOOKUP($A1819,Store_Dim!$A$2:$F$21,3,FALSE)</f>
        <v>WestThompsonborough</v>
      </c>
    </row>
    <row r="1820" spans="1:16" hidden="1" x14ac:dyDescent="0.25">
      <c r="A1820" t="s">
        <v>810</v>
      </c>
      <c r="B1820" t="s">
        <v>1811</v>
      </c>
      <c r="C1820" t="s">
        <v>648</v>
      </c>
      <c r="D1820" s="2">
        <v>45761</v>
      </c>
      <c r="E1820" t="s">
        <v>252</v>
      </c>
      <c r="F1820" t="str">
        <f>VLOOKUP($C1820,Product_Dim!$A$2:$D$101,3,FALSE)</f>
        <v>Smith-Mills</v>
      </c>
      <c r="G1820" t="str">
        <f>VLOOKUP($C1820,Product_Dim!$A$2:$D$101,2,FALSE)</f>
        <v>Clothing</v>
      </c>
      <c r="H1820">
        <v>1</v>
      </c>
      <c r="I1820">
        <v>579.69000000000005</v>
      </c>
      <c r="J1820">
        <v>0.02</v>
      </c>
      <c r="K1820" s="3">
        <v>568.09620000000007</v>
      </c>
      <c r="L1820" t="s">
        <v>852</v>
      </c>
      <c r="M1820" t="str">
        <f>VLOOKUP($E1820,Customer_Dim!$A$2:$F$501,3,FALSE)</f>
        <v>Female</v>
      </c>
      <c r="N1820" t="str">
        <f>VLOOKUP($E1820,Customer_Dim!$A$2:$F$501,5,FALSE)</f>
        <v>USA</v>
      </c>
      <c r="O1820" t="str">
        <f>VLOOKUP($E1820,Customer_Dim!$A$2:$F$501,6,FALSE)</f>
        <v>Platinum</v>
      </c>
      <c r="P1820" t="str">
        <f>VLOOKUP($A1820,Store_Dim!$A$2:$F$21,3,FALSE)</f>
        <v>WestThompsonborough</v>
      </c>
    </row>
    <row r="1821" spans="1:16" hidden="1" x14ac:dyDescent="0.25">
      <c r="A1821" t="s">
        <v>810</v>
      </c>
      <c r="B1821" t="s">
        <v>998</v>
      </c>
      <c r="C1821" t="s">
        <v>648</v>
      </c>
      <c r="D1821" s="2">
        <v>45448</v>
      </c>
      <c r="E1821" t="s">
        <v>502</v>
      </c>
      <c r="F1821" t="str">
        <f>VLOOKUP($C1821,Product_Dim!$A$2:$D$101,3,FALSE)</f>
        <v>Smith-Mills</v>
      </c>
      <c r="G1821" t="str">
        <f>VLOOKUP($C1821,Product_Dim!$A$2:$D$101,2,FALSE)</f>
        <v>Clothing</v>
      </c>
      <c r="H1821">
        <v>3</v>
      </c>
      <c r="I1821">
        <v>237.24</v>
      </c>
      <c r="J1821">
        <v>0.24</v>
      </c>
      <c r="K1821" s="3">
        <v>540.90719999999999</v>
      </c>
      <c r="L1821" t="s">
        <v>854</v>
      </c>
      <c r="M1821" t="str">
        <f>VLOOKUP($E1821,Customer_Dim!$A$2:$F$501,3,FALSE)</f>
        <v>Female</v>
      </c>
      <c r="N1821" t="str">
        <f>VLOOKUP($E1821,Customer_Dim!$A$2:$F$501,5,FALSE)</f>
        <v>USA</v>
      </c>
      <c r="O1821" t="str">
        <f>VLOOKUP($E1821,Customer_Dim!$A$2:$F$501,6,FALSE)</f>
        <v>Silver</v>
      </c>
      <c r="P1821" t="str">
        <f>VLOOKUP($A1821,Store_Dim!$A$2:$F$21,3,FALSE)</f>
        <v>WestThompsonborough</v>
      </c>
    </row>
    <row r="1822" spans="1:16" hidden="1" x14ac:dyDescent="0.25">
      <c r="A1822" t="s">
        <v>810</v>
      </c>
      <c r="B1822" t="s">
        <v>2675</v>
      </c>
      <c r="C1822" t="s">
        <v>650</v>
      </c>
      <c r="D1822" s="2">
        <v>45554</v>
      </c>
      <c r="E1822" t="s">
        <v>211</v>
      </c>
      <c r="F1822" t="str">
        <f>VLOOKUP($C1822,Product_Dim!$A$2:$D$101,3,FALSE)</f>
        <v>Hogan-Lee</v>
      </c>
      <c r="G1822" t="str">
        <f>VLOOKUP($C1822,Product_Dim!$A$2:$D$101,2,FALSE)</f>
        <v>Clothing</v>
      </c>
      <c r="H1822">
        <v>3</v>
      </c>
      <c r="I1822">
        <v>204.17</v>
      </c>
      <c r="J1822">
        <v>0.1</v>
      </c>
      <c r="K1822" s="3">
        <v>551.25900000000001</v>
      </c>
      <c r="L1822" t="s">
        <v>854</v>
      </c>
      <c r="M1822" t="str">
        <f>VLOOKUP($E1822,Customer_Dim!$A$2:$F$501,3,FALSE)</f>
        <v>Female</v>
      </c>
      <c r="N1822" t="str">
        <f>VLOOKUP($E1822,Customer_Dim!$A$2:$F$501,5,FALSE)</f>
        <v>USA</v>
      </c>
      <c r="O1822" t="str">
        <f>VLOOKUP($E1822,Customer_Dim!$A$2:$F$501,6,FALSE)</f>
        <v>Platinum</v>
      </c>
      <c r="P1822" t="str">
        <f>VLOOKUP($A1822,Store_Dim!$A$2:$F$21,3,FALSE)</f>
        <v>WestThompsonborough</v>
      </c>
    </row>
    <row r="1823" spans="1:16" x14ac:dyDescent="0.25">
      <c r="A1823" t="s">
        <v>810</v>
      </c>
      <c r="B1823" t="s">
        <v>1765</v>
      </c>
      <c r="C1823" t="s">
        <v>650</v>
      </c>
      <c r="D1823" s="2">
        <v>45630</v>
      </c>
      <c r="E1823" t="s">
        <v>246</v>
      </c>
      <c r="F1823" t="str">
        <f>VLOOKUP($C1823,Product_Dim!$A$2:$D$101,3,FALSE)</f>
        <v>Hogan-Lee</v>
      </c>
      <c r="G1823" t="str">
        <f>VLOOKUP($C1823,Product_Dim!$A$2:$D$101,2,FALSE)</f>
        <v>Clothing</v>
      </c>
      <c r="H1823">
        <v>4</v>
      </c>
      <c r="I1823">
        <v>923.14</v>
      </c>
      <c r="J1823">
        <v>0.15</v>
      </c>
      <c r="K1823" s="3">
        <v>3138.6759999999999</v>
      </c>
      <c r="L1823" t="s">
        <v>852</v>
      </c>
      <c r="M1823" t="str">
        <f>VLOOKUP($E1823,Customer_Dim!$A$2:$F$501,3,FALSE)</f>
        <v>Male</v>
      </c>
      <c r="N1823" t="str">
        <f>VLOOKUP($E1823,Customer_Dim!$A$2:$F$501,5,FALSE)</f>
        <v>USA</v>
      </c>
      <c r="O1823" t="str">
        <f>VLOOKUP($E1823,Customer_Dim!$A$2:$F$501,6,FALSE)</f>
        <v>Bronze</v>
      </c>
      <c r="P1823" t="str">
        <f>VLOOKUP($A1823,Store_Dim!$A$2:$F$21,3,FALSE)</f>
        <v>WestThompsonborough</v>
      </c>
    </row>
    <row r="1824" spans="1:16" x14ac:dyDescent="0.25">
      <c r="A1824" t="s">
        <v>810</v>
      </c>
      <c r="B1824" t="s">
        <v>2823</v>
      </c>
      <c r="C1824" t="s">
        <v>652</v>
      </c>
      <c r="D1824" s="2">
        <v>45793</v>
      </c>
      <c r="E1824" t="s">
        <v>206</v>
      </c>
      <c r="F1824" t="str">
        <f>VLOOKUP($C1824,Product_Dim!$A$2:$D$101,3,FALSE)</f>
        <v>Sims-Smith</v>
      </c>
      <c r="G1824" t="str">
        <f>VLOOKUP($C1824,Product_Dim!$A$2:$D$101,2,FALSE)</f>
        <v>Sports</v>
      </c>
      <c r="H1824">
        <v>1</v>
      </c>
      <c r="I1824">
        <v>91.38</v>
      </c>
      <c r="J1824">
        <v>0.14000000000000001</v>
      </c>
      <c r="K1824" s="3">
        <v>78.586799999999997</v>
      </c>
      <c r="L1824" t="s">
        <v>852</v>
      </c>
      <c r="M1824" t="str">
        <f>VLOOKUP($E1824,Customer_Dim!$A$2:$F$501,3,FALSE)</f>
        <v>Male</v>
      </c>
      <c r="N1824" t="str">
        <f>VLOOKUP($E1824,Customer_Dim!$A$2:$F$501,5,FALSE)</f>
        <v>USA</v>
      </c>
      <c r="O1824" t="str">
        <f>VLOOKUP($E1824,Customer_Dim!$A$2:$F$501,6,FALSE)</f>
        <v>Bronze</v>
      </c>
      <c r="P1824" t="str">
        <f>VLOOKUP($A1824,Store_Dim!$A$2:$F$21,3,FALSE)</f>
        <v>WestThompsonborough</v>
      </c>
    </row>
    <row r="1825" spans="1:16" hidden="1" x14ac:dyDescent="0.25">
      <c r="A1825" t="s">
        <v>810</v>
      </c>
      <c r="B1825" t="s">
        <v>2173</v>
      </c>
      <c r="C1825" t="s">
        <v>654</v>
      </c>
      <c r="D1825" s="2">
        <v>45883</v>
      </c>
      <c r="E1825" t="s">
        <v>232</v>
      </c>
      <c r="F1825" t="str">
        <f>VLOOKUP($C1825,Product_Dim!$A$2:$D$101,3,FALSE)</f>
        <v>Cummings and Sons</v>
      </c>
      <c r="G1825" t="str">
        <f>VLOOKUP($C1825,Product_Dim!$A$2:$D$101,2,FALSE)</f>
        <v>Electronics</v>
      </c>
      <c r="H1825">
        <v>4</v>
      </c>
      <c r="I1825">
        <v>708.19</v>
      </c>
      <c r="J1825">
        <v>0.1</v>
      </c>
      <c r="K1825" s="3">
        <v>2549.4839999999999</v>
      </c>
      <c r="L1825" t="s">
        <v>854</v>
      </c>
      <c r="M1825" t="str">
        <f>VLOOKUP($E1825,Customer_Dim!$A$2:$F$501,3,FALSE)</f>
        <v>Female</v>
      </c>
      <c r="N1825" t="str">
        <f>VLOOKUP($E1825,Customer_Dim!$A$2:$F$501,5,FALSE)</f>
        <v>USA</v>
      </c>
      <c r="O1825" t="str">
        <f>VLOOKUP($E1825,Customer_Dim!$A$2:$F$501,6,FALSE)</f>
        <v>Platinum</v>
      </c>
      <c r="P1825" t="str">
        <f>VLOOKUP($A1825,Store_Dim!$A$2:$F$21,3,FALSE)</f>
        <v>WestThompsonborough</v>
      </c>
    </row>
    <row r="1826" spans="1:16" x14ac:dyDescent="0.25">
      <c r="A1826" t="s">
        <v>810</v>
      </c>
      <c r="B1826" t="s">
        <v>1147</v>
      </c>
      <c r="C1826" t="s">
        <v>654</v>
      </c>
      <c r="D1826" s="2">
        <v>45826</v>
      </c>
      <c r="E1826" t="s">
        <v>290</v>
      </c>
      <c r="F1826" t="str">
        <f>VLOOKUP($C1826,Product_Dim!$A$2:$D$101,3,FALSE)</f>
        <v>Cummings and Sons</v>
      </c>
      <c r="G1826" t="str">
        <f>VLOOKUP($C1826,Product_Dim!$A$2:$D$101,2,FALSE)</f>
        <v>Electronics</v>
      </c>
      <c r="H1826">
        <v>4</v>
      </c>
      <c r="I1826">
        <v>139.94</v>
      </c>
      <c r="J1826">
        <v>0.24</v>
      </c>
      <c r="K1826" s="3">
        <v>425.41759999999999</v>
      </c>
      <c r="L1826" t="s">
        <v>852</v>
      </c>
      <c r="M1826" t="str">
        <f>VLOOKUP($E1826,Customer_Dim!$A$2:$F$501,3,FALSE)</f>
        <v>Male</v>
      </c>
      <c r="N1826" t="str">
        <f>VLOOKUP($E1826,Customer_Dim!$A$2:$F$501,5,FALSE)</f>
        <v>USA</v>
      </c>
      <c r="O1826" t="str">
        <f>VLOOKUP($E1826,Customer_Dim!$A$2:$F$501,6,FALSE)</f>
        <v>Silver</v>
      </c>
      <c r="P1826" t="str">
        <f>VLOOKUP($A1826,Store_Dim!$A$2:$F$21,3,FALSE)</f>
        <v>WestThompsonborough</v>
      </c>
    </row>
    <row r="1827" spans="1:16" x14ac:dyDescent="0.25">
      <c r="A1827" t="s">
        <v>810</v>
      </c>
      <c r="B1827" t="s">
        <v>1452</v>
      </c>
      <c r="C1827" t="s">
        <v>654</v>
      </c>
      <c r="D1827" s="2">
        <v>45236</v>
      </c>
      <c r="E1827" t="s">
        <v>312</v>
      </c>
      <c r="F1827" t="str">
        <f>VLOOKUP($C1827,Product_Dim!$A$2:$D$101,3,FALSE)</f>
        <v>Cummings and Sons</v>
      </c>
      <c r="G1827" t="str">
        <f>VLOOKUP($C1827,Product_Dim!$A$2:$D$101,2,FALSE)</f>
        <v>Electronics</v>
      </c>
      <c r="H1827">
        <v>3</v>
      </c>
      <c r="I1827">
        <v>700.43</v>
      </c>
      <c r="J1827">
        <v>0.01</v>
      </c>
      <c r="K1827" s="3">
        <v>2080.2770999999998</v>
      </c>
      <c r="L1827" t="s">
        <v>857</v>
      </c>
      <c r="M1827" t="str">
        <f>VLOOKUP($E1827,Customer_Dim!$A$2:$F$501,3,FALSE)</f>
        <v>Male</v>
      </c>
      <c r="N1827" t="str">
        <f>VLOOKUP($E1827,Customer_Dim!$A$2:$F$501,5,FALSE)</f>
        <v>USA</v>
      </c>
      <c r="O1827" t="str">
        <f>VLOOKUP($E1827,Customer_Dim!$A$2:$F$501,6,FALSE)</f>
        <v>Bronze</v>
      </c>
      <c r="P1827" t="str">
        <f>VLOOKUP($A1827,Store_Dim!$A$2:$F$21,3,FALSE)</f>
        <v>WestThompsonborough</v>
      </c>
    </row>
    <row r="1828" spans="1:16" hidden="1" x14ac:dyDescent="0.25">
      <c r="A1828" t="s">
        <v>810</v>
      </c>
      <c r="B1828" t="s">
        <v>1380</v>
      </c>
      <c r="C1828" t="s">
        <v>581</v>
      </c>
      <c r="D1828" s="2">
        <v>45856</v>
      </c>
      <c r="E1828" t="s">
        <v>294</v>
      </c>
      <c r="F1828" t="str">
        <f>VLOOKUP($C1828,Product_Dim!$A$2:$D$101,3,FALSE)</f>
        <v>Gonzales-Davis</v>
      </c>
      <c r="G1828" t="str">
        <f>VLOOKUP($C1828,Product_Dim!$A$2:$D$101,2,FALSE)</f>
        <v>Clothing</v>
      </c>
      <c r="H1828">
        <v>1</v>
      </c>
      <c r="I1828">
        <v>728.84</v>
      </c>
      <c r="J1828">
        <v>0.28000000000000003</v>
      </c>
      <c r="K1828" s="3">
        <v>524.76480000000004</v>
      </c>
      <c r="L1828" t="s">
        <v>854</v>
      </c>
      <c r="M1828" t="str">
        <f>VLOOKUP($E1828,Customer_Dim!$A$2:$F$501,3,FALSE)</f>
        <v>Female</v>
      </c>
      <c r="N1828" t="str">
        <f>VLOOKUP($E1828,Customer_Dim!$A$2:$F$501,5,FALSE)</f>
        <v>USA</v>
      </c>
      <c r="O1828" t="str">
        <f>VLOOKUP($E1828,Customer_Dim!$A$2:$F$501,6,FALSE)</f>
        <v>Gold</v>
      </c>
      <c r="P1828" t="str">
        <f>VLOOKUP($A1828,Store_Dim!$A$2:$F$21,3,FALSE)</f>
        <v>WestThompsonborough</v>
      </c>
    </row>
    <row r="1829" spans="1:16" hidden="1" x14ac:dyDescent="0.25">
      <c r="A1829" t="s">
        <v>810</v>
      </c>
      <c r="B1829" t="s">
        <v>1620</v>
      </c>
      <c r="C1829" t="s">
        <v>656</v>
      </c>
      <c r="D1829" s="2">
        <v>45454</v>
      </c>
      <c r="E1829" t="s">
        <v>363</v>
      </c>
      <c r="F1829" t="str">
        <f>VLOOKUP($C1829,Product_Dim!$A$2:$D$101,3,FALSE)</f>
        <v>Taylor-Hart</v>
      </c>
      <c r="G1829" t="str">
        <f>VLOOKUP($C1829,Product_Dim!$A$2:$D$101,2,FALSE)</f>
        <v>Electronics</v>
      </c>
      <c r="H1829">
        <v>4</v>
      </c>
      <c r="I1829">
        <v>609.05999999999995</v>
      </c>
      <c r="J1829">
        <v>0.22</v>
      </c>
      <c r="K1829" s="3">
        <v>1900.2672</v>
      </c>
      <c r="L1829" t="s">
        <v>857</v>
      </c>
      <c r="M1829" t="str">
        <f>VLOOKUP($E1829,Customer_Dim!$A$2:$F$501,3,FALSE)</f>
        <v>Female</v>
      </c>
      <c r="N1829" t="str">
        <f>VLOOKUP($E1829,Customer_Dim!$A$2:$F$501,5,FALSE)</f>
        <v>USA</v>
      </c>
      <c r="O1829" t="str">
        <f>VLOOKUP($E1829,Customer_Dim!$A$2:$F$501,6,FALSE)</f>
        <v>Bronze</v>
      </c>
      <c r="P1829" t="str">
        <f>VLOOKUP($A1829,Store_Dim!$A$2:$F$21,3,FALSE)</f>
        <v>WestThompsonborough</v>
      </c>
    </row>
    <row r="1830" spans="1:16" hidden="1" x14ac:dyDescent="0.25">
      <c r="A1830" t="s">
        <v>810</v>
      </c>
      <c r="B1830" t="s">
        <v>2035</v>
      </c>
      <c r="C1830" t="s">
        <v>658</v>
      </c>
      <c r="D1830" s="2">
        <v>45343</v>
      </c>
      <c r="E1830" t="s">
        <v>104</v>
      </c>
      <c r="F1830" t="str">
        <f>VLOOKUP($C1830,Product_Dim!$A$2:$D$101,3,FALSE)</f>
        <v>Carroll, Long and Mendoza</v>
      </c>
      <c r="G1830" t="str">
        <f>VLOOKUP($C1830,Product_Dim!$A$2:$D$101,2,FALSE)</f>
        <v>Sports</v>
      </c>
      <c r="H1830">
        <v>2</v>
      </c>
      <c r="I1830">
        <v>871.43</v>
      </c>
      <c r="J1830">
        <v>0.05</v>
      </c>
      <c r="K1830" s="3">
        <v>1655.7170000000001</v>
      </c>
      <c r="L1830" t="s">
        <v>852</v>
      </c>
      <c r="M1830" t="str">
        <f>VLOOKUP($E1830,Customer_Dim!$A$2:$F$501,3,FALSE)</f>
        <v>Female</v>
      </c>
      <c r="N1830" t="str">
        <f>VLOOKUP($E1830,Customer_Dim!$A$2:$F$501,5,FALSE)</f>
        <v>USA</v>
      </c>
      <c r="O1830" t="str">
        <f>VLOOKUP($E1830,Customer_Dim!$A$2:$F$501,6,FALSE)</f>
        <v>Gold</v>
      </c>
      <c r="P1830" t="str">
        <f>VLOOKUP($A1830,Store_Dim!$A$2:$F$21,3,FALSE)</f>
        <v>WestThompsonborough</v>
      </c>
    </row>
    <row r="1831" spans="1:16" hidden="1" x14ac:dyDescent="0.25">
      <c r="A1831" t="s">
        <v>810</v>
      </c>
      <c r="B1831" t="s">
        <v>2842</v>
      </c>
      <c r="C1831" t="s">
        <v>658</v>
      </c>
      <c r="D1831" s="2">
        <v>45359</v>
      </c>
      <c r="E1831" t="s">
        <v>390</v>
      </c>
      <c r="F1831" t="str">
        <f>VLOOKUP($C1831,Product_Dim!$A$2:$D$101,3,FALSE)</f>
        <v>Carroll, Long and Mendoza</v>
      </c>
      <c r="G1831" t="str">
        <f>VLOOKUP($C1831,Product_Dim!$A$2:$D$101,2,FALSE)</f>
        <v>Sports</v>
      </c>
      <c r="H1831">
        <v>3</v>
      </c>
      <c r="I1831">
        <v>146.71</v>
      </c>
      <c r="J1831">
        <v>0.28000000000000003</v>
      </c>
      <c r="K1831" s="3">
        <v>316.89359999999999</v>
      </c>
      <c r="L1831" t="s">
        <v>852</v>
      </c>
      <c r="M1831" t="str">
        <f>VLOOKUP($E1831,Customer_Dim!$A$2:$F$501,3,FALSE)</f>
        <v>Female</v>
      </c>
      <c r="N1831" t="str">
        <f>VLOOKUP($E1831,Customer_Dim!$A$2:$F$501,5,FALSE)</f>
        <v>USA</v>
      </c>
      <c r="O1831" t="str">
        <f>VLOOKUP($E1831,Customer_Dim!$A$2:$F$501,6,FALSE)</f>
        <v>Platinum</v>
      </c>
      <c r="P1831" t="str">
        <f>VLOOKUP($A1831,Store_Dim!$A$2:$F$21,3,FALSE)</f>
        <v>WestThompsonborough</v>
      </c>
    </row>
    <row r="1832" spans="1:16" hidden="1" x14ac:dyDescent="0.25">
      <c r="A1832" t="s">
        <v>810</v>
      </c>
      <c r="B1832" t="s">
        <v>964</v>
      </c>
      <c r="C1832" t="s">
        <v>660</v>
      </c>
      <c r="D1832" s="2">
        <v>45851</v>
      </c>
      <c r="E1832" t="s">
        <v>28</v>
      </c>
      <c r="F1832" t="str">
        <f>VLOOKUP($C1832,Product_Dim!$A$2:$D$101,3,FALSE)</f>
        <v>Holmes LLC</v>
      </c>
      <c r="G1832" t="str">
        <f>VLOOKUP($C1832,Product_Dim!$A$2:$D$101,2,FALSE)</f>
        <v>Electronics</v>
      </c>
      <c r="H1832">
        <v>4</v>
      </c>
      <c r="I1832">
        <v>239.83</v>
      </c>
      <c r="J1832">
        <v>0.08</v>
      </c>
      <c r="K1832" s="3">
        <v>882.57440000000008</v>
      </c>
      <c r="L1832" t="s">
        <v>852</v>
      </c>
      <c r="M1832" t="str">
        <f>VLOOKUP($E1832,Customer_Dim!$A$2:$F$501,3,FALSE)</f>
        <v>Female</v>
      </c>
      <c r="N1832" t="str">
        <f>VLOOKUP($E1832,Customer_Dim!$A$2:$F$501,5,FALSE)</f>
        <v>USA</v>
      </c>
      <c r="O1832" t="str">
        <f>VLOOKUP($E1832,Customer_Dim!$A$2:$F$501,6,FALSE)</f>
        <v>Bronze</v>
      </c>
      <c r="P1832" t="str">
        <f>VLOOKUP($A1832,Store_Dim!$A$2:$F$21,3,FALSE)</f>
        <v>WestThompsonborough</v>
      </c>
    </row>
    <row r="1833" spans="1:16" hidden="1" x14ac:dyDescent="0.25">
      <c r="A1833" t="s">
        <v>810</v>
      </c>
      <c r="B1833" t="s">
        <v>1385</v>
      </c>
      <c r="C1833" t="s">
        <v>660</v>
      </c>
      <c r="D1833" s="2">
        <v>45895</v>
      </c>
      <c r="E1833" t="s">
        <v>243</v>
      </c>
      <c r="F1833" t="str">
        <f>VLOOKUP($C1833,Product_Dim!$A$2:$D$101,3,FALSE)</f>
        <v>Holmes LLC</v>
      </c>
      <c r="G1833" t="str">
        <f>VLOOKUP($C1833,Product_Dim!$A$2:$D$101,2,FALSE)</f>
        <v>Electronics</v>
      </c>
      <c r="H1833">
        <v>4</v>
      </c>
      <c r="I1833">
        <v>727.49</v>
      </c>
      <c r="J1833">
        <v>0.11</v>
      </c>
      <c r="K1833" s="3">
        <v>2589.8643999999999</v>
      </c>
      <c r="L1833" t="s">
        <v>852</v>
      </c>
      <c r="M1833" t="str">
        <f>VLOOKUP($E1833,Customer_Dim!$A$2:$F$501,3,FALSE)</f>
        <v>Female</v>
      </c>
      <c r="N1833" t="str">
        <f>VLOOKUP($E1833,Customer_Dim!$A$2:$F$501,5,FALSE)</f>
        <v>USA</v>
      </c>
      <c r="O1833" t="str">
        <f>VLOOKUP($E1833,Customer_Dim!$A$2:$F$501,6,FALSE)</f>
        <v>Bronze</v>
      </c>
      <c r="P1833" t="str">
        <f>VLOOKUP($A1833,Store_Dim!$A$2:$F$21,3,FALSE)</f>
        <v>WestThompsonborough</v>
      </c>
    </row>
    <row r="1834" spans="1:16" hidden="1" x14ac:dyDescent="0.25">
      <c r="A1834" t="s">
        <v>810</v>
      </c>
      <c r="B1834" t="s">
        <v>2460</v>
      </c>
      <c r="C1834" t="s">
        <v>660</v>
      </c>
      <c r="D1834" s="2">
        <v>45795</v>
      </c>
      <c r="E1834" t="s">
        <v>274</v>
      </c>
      <c r="F1834" t="str">
        <f>VLOOKUP($C1834,Product_Dim!$A$2:$D$101,3,FALSE)</f>
        <v>Holmes LLC</v>
      </c>
      <c r="G1834" t="str">
        <f>VLOOKUP($C1834,Product_Dim!$A$2:$D$101,2,FALSE)</f>
        <v>Electronics</v>
      </c>
      <c r="H1834">
        <v>3</v>
      </c>
      <c r="I1834">
        <v>779.5</v>
      </c>
      <c r="J1834">
        <v>0.02</v>
      </c>
      <c r="K1834" s="3">
        <v>2291.73</v>
      </c>
      <c r="L1834" t="s">
        <v>852</v>
      </c>
      <c r="M1834" t="str">
        <f>VLOOKUP($E1834,Customer_Dim!$A$2:$F$501,3,FALSE)</f>
        <v>Female</v>
      </c>
      <c r="N1834" t="str">
        <f>VLOOKUP($E1834,Customer_Dim!$A$2:$F$501,5,FALSE)</f>
        <v>USA</v>
      </c>
      <c r="O1834" t="str">
        <f>VLOOKUP($E1834,Customer_Dim!$A$2:$F$501,6,FALSE)</f>
        <v>Platinum</v>
      </c>
      <c r="P1834" t="str">
        <f>VLOOKUP($A1834,Store_Dim!$A$2:$F$21,3,FALSE)</f>
        <v>WestThompsonborough</v>
      </c>
    </row>
    <row r="1835" spans="1:16" x14ac:dyDescent="0.25">
      <c r="A1835" t="s">
        <v>810</v>
      </c>
      <c r="B1835" t="s">
        <v>2112</v>
      </c>
      <c r="C1835" t="s">
        <v>662</v>
      </c>
      <c r="D1835" s="2">
        <v>45488</v>
      </c>
      <c r="E1835" t="s">
        <v>192</v>
      </c>
      <c r="F1835" t="str">
        <f>VLOOKUP($C1835,Product_Dim!$A$2:$D$101,3,FALSE)</f>
        <v>Robinson Inc</v>
      </c>
      <c r="G1835" t="str">
        <f>VLOOKUP($C1835,Product_Dim!$A$2:$D$101,2,FALSE)</f>
        <v>Electronics</v>
      </c>
      <c r="H1835">
        <v>3</v>
      </c>
      <c r="I1835">
        <v>518.35</v>
      </c>
      <c r="J1835">
        <v>0.21</v>
      </c>
      <c r="K1835" s="3">
        <v>1228.4894999999999</v>
      </c>
      <c r="L1835" t="s">
        <v>857</v>
      </c>
      <c r="M1835" t="str">
        <f>VLOOKUP($E1835,Customer_Dim!$A$2:$F$501,3,FALSE)</f>
        <v>Male</v>
      </c>
      <c r="N1835" t="str">
        <f>VLOOKUP($E1835,Customer_Dim!$A$2:$F$501,5,FALSE)</f>
        <v>USA</v>
      </c>
      <c r="O1835" t="str">
        <f>VLOOKUP($E1835,Customer_Dim!$A$2:$F$501,6,FALSE)</f>
        <v>Silver</v>
      </c>
      <c r="P1835" t="str">
        <f>VLOOKUP($A1835,Store_Dim!$A$2:$F$21,3,FALSE)</f>
        <v>WestThompsonborough</v>
      </c>
    </row>
    <row r="1836" spans="1:16" x14ac:dyDescent="0.25">
      <c r="A1836" t="s">
        <v>810</v>
      </c>
      <c r="B1836" t="s">
        <v>1719</v>
      </c>
      <c r="C1836" t="s">
        <v>662</v>
      </c>
      <c r="D1836" s="2">
        <v>45770</v>
      </c>
      <c r="E1836" t="s">
        <v>314</v>
      </c>
      <c r="F1836" t="str">
        <f>VLOOKUP($C1836,Product_Dim!$A$2:$D$101,3,FALSE)</f>
        <v>Robinson Inc</v>
      </c>
      <c r="G1836" t="str">
        <f>VLOOKUP($C1836,Product_Dim!$A$2:$D$101,2,FALSE)</f>
        <v>Electronics</v>
      </c>
      <c r="H1836">
        <v>3</v>
      </c>
      <c r="I1836">
        <v>924.15</v>
      </c>
      <c r="J1836">
        <v>0.1</v>
      </c>
      <c r="K1836" s="3">
        <v>2495.2049999999999</v>
      </c>
      <c r="L1836" t="s">
        <v>854</v>
      </c>
      <c r="M1836" t="str">
        <f>VLOOKUP($E1836,Customer_Dim!$A$2:$F$501,3,FALSE)</f>
        <v>Male</v>
      </c>
      <c r="N1836" t="str">
        <f>VLOOKUP($E1836,Customer_Dim!$A$2:$F$501,5,FALSE)</f>
        <v>USA</v>
      </c>
      <c r="O1836" t="str">
        <f>VLOOKUP($E1836,Customer_Dim!$A$2:$F$501,6,FALSE)</f>
        <v>Gold</v>
      </c>
      <c r="P1836" t="str">
        <f>VLOOKUP($A1836,Store_Dim!$A$2:$F$21,3,FALSE)</f>
        <v>WestThompsonborough</v>
      </c>
    </row>
    <row r="1837" spans="1:16" x14ac:dyDescent="0.25">
      <c r="A1837" t="s">
        <v>810</v>
      </c>
      <c r="B1837" t="s">
        <v>1247</v>
      </c>
      <c r="C1837" t="s">
        <v>662</v>
      </c>
      <c r="D1837" s="2">
        <v>45561</v>
      </c>
      <c r="E1837" t="s">
        <v>539</v>
      </c>
      <c r="F1837" t="str">
        <f>VLOOKUP($C1837,Product_Dim!$A$2:$D$101,3,FALSE)</f>
        <v>Robinson Inc</v>
      </c>
      <c r="G1837" t="str">
        <f>VLOOKUP($C1837,Product_Dim!$A$2:$D$101,2,FALSE)</f>
        <v>Electronics</v>
      </c>
      <c r="H1837">
        <v>3</v>
      </c>
      <c r="I1837">
        <v>112.26</v>
      </c>
      <c r="J1837">
        <v>0.11</v>
      </c>
      <c r="K1837" s="3">
        <v>299.73419999999999</v>
      </c>
      <c r="L1837" t="s">
        <v>852</v>
      </c>
      <c r="M1837" t="str">
        <f>VLOOKUP($E1837,Customer_Dim!$A$2:$F$501,3,FALSE)</f>
        <v>Male</v>
      </c>
      <c r="N1837" t="str">
        <f>VLOOKUP($E1837,Customer_Dim!$A$2:$F$501,5,FALSE)</f>
        <v>USA</v>
      </c>
      <c r="O1837" t="str">
        <f>VLOOKUP($E1837,Customer_Dim!$A$2:$F$501,6,FALSE)</f>
        <v>Silver</v>
      </c>
      <c r="P1837" t="str">
        <f>VLOOKUP($A1837,Store_Dim!$A$2:$F$21,3,FALSE)</f>
        <v>WestThompsonborough</v>
      </c>
    </row>
    <row r="1838" spans="1:16" hidden="1" x14ac:dyDescent="0.25">
      <c r="A1838" t="s">
        <v>810</v>
      </c>
      <c r="B1838" t="s">
        <v>2560</v>
      </c>
      <c r="C1838" t="s">
        <v>664</v>
      </c>
      <c r="D1838" s="2">
        <v>45377</v>
      </c>
      <c r="E1838" t="s">
        <v>105</v>
      </c>
      <c r="F1838" t="str">
        <f>VLOOKUP($C1838,Product_Dim!$A$2:$D$101,3,FALSE)</f>
        <v>Cox Inc</v>
      </c>
      <c r="G1838" t="str">
        <f>VLOOKUP($C1838,Product_Dim!$A$2:$D$101,2,FALSE)</f>
        <v>Sports</v>
      </c>
      <c r="H1838">
        <v>3</v>
      </c>
      <c r="I1838">
        <v>884.46</v>
      </c>
      <c r="J1838">
        <v>0.25</v>
      </c>
      <c r="K1838" s="3">
        <v>1990.0350000000001</v>
      </c>
      <c r="L1838" t="s">
        <v>852</v>
      </c>
      <c r="M1838" t="str">
        <f>VLOOKUP($E1838,Customer_Dim!$A$2:$F$501,3,FALSE)</f>
        <v>Female</v>
      </c>
      <c r="N1838" t="str">
        <f>VLOOKUP($E1838,Customer_Dim!$A$2:$F$501,5,FALSE)</f>
        <v>USA</v>
      </c>
      <c r="O1838" t="str">
        <f>VLOOKUP($E1838,Customer_Dim!$A$2:$F$501,6,FALSE)</f>
        <v>Platinum</v>
      </c>
      <c r="P1838" t="str">
        <f>VLOOKUP($A1838,Store_Dim!$A$2:$F$21,3,FALSE)</f>
        <v>WestThompsonborough</v>
      </c>
    </row>
    <row r="1839" spans="1:16" hidden="1" x14ac:dyDescent="0.25">
      <c r="A1839" t="s">
        <v>810</v>
      </c>
      <c r="B1839" t="s">
        <v>1905</v>
      </c>
      <c r="C1839" t="s">
        <v>664</v>
      </c>
      <c r="D1839" s="2">
        <v>45720</v>
      </c>
      <c r="E1839" t="s">
        <v>566</v>
      </c>
      <c r="F1839" t="str">
        <f>VLOOKUP($C1839,Product_Dim!$A$2:$D$101,3,FALSE)</f>
        <v>Cox Inc</v>
      </c>
      <c r="G1839" t="str">
        <f>VLOOKUP($C1839,Product_Dim!$A$2:$D$101,2,FALSE)</f>
        <v>Sports</v>
      </c>
      <c r="H1839">
        <v>3</v>
      </c>
      <c r="I1839">
        <v>961.4</v>
      </c>
      <c r="J1839">
        <v>0.02</v>
      </c>
      <c r="K1839" s="3">
        <v>2826.5160000000001</v>
      </c>
      <c r="L1839" t="s">
        <v>854</v>
      </c>
      <c r="M1839" t="str">
        <f>VLOOKUP($E1839,Customer_Dim!$A$2:$F$501,3,FALSE)</f>
        <v>Female</v>
      </c>
      <c r="N1839" t="str">
        <f>VLOOKUP($E1839,Customer_Dim!$A$2:$F$501,5,FALSE)</f>
        <v>USA</v>
      </c>
      <c r="O1839" t="str">
        <f>VLOOKUP($E1839,Customer_Dim!$A$2:$F$501,6,FALSE)</f>
        <v>Platinum</v>
      </c>
      <c r="P1839" t="str">
        <f>VLOOKUP($A1839,Store_Dim!$A$2:$F$21,3,FALSE)</f>
        <v>WestThompsonborough</v>
      </c>
    </row>
    <row r="1840" spans="1:16" hidden="1" x14ac:dyDescent="0.25">
      <c r="A1840" t="s">
        <v>810</v>
      </c>
      <c r="B1840" t="s">
        <v>2201</v>
      </c>
      <c r="C1840" t="s">
        <v>666</v>
      </c>
      <c r="D1840" s="2">
        <v>45659</v>
      </c>
      <c r="E1840" t="s">
        <v>152</v>
      </c>
      <c r="F1840" t="str">
        <f>VLOOKUP($C1840,Product_Dim!$A$2:$D$101,3,FALSE)</f>
        <v>Bridges, Banks and Cummings</v>
      </c>
      <c r="G1840" t="str">
        <f>VLOOKUP($C1840,Product_Dim!$A$2:$D$101,2,FALSE)</f>
        <v>Sports</v>
      </c>
      <c r="H1840">
        <v>2</v>
      </c>
      <c r="I1840">
        <v>732.37</v>
      </c>
      <c r="J1840">
        <v>0.22</v>
      </c>
      <c r="K1840" s="3">
        <v>1142.4972</v>
      </c>
      <c r="L1840" t="s">
        <v>857</v>
      </c>
      <c r="M1840" t="str">
        <f>VLOOKUP($E1840,Customer_Dim!$A$2:$F$501,3,FALSE)</f>
        <v>Female</v>
      </c>
      <c r="N1840" t="str">
        <f>VLOOKUP($E1840,Customer_Dim!$A$2:$F$501,5,FALSE)</f>
        <v>USA</v>
      </c>
      <c r="O1840" t="str">
        <f>VLOOKUP($E1840,Customer_Dim!$A$2:$F$501,6,FALSE)</f>
        <v>Silver</v>
      </c>
      <c r="P1840" t="str">
        <f>VLOOKUP($A1840,Store_Dim!$A$2:$F$21,3,FALSE)</f>
        <v>WestThompsonborough</v>
      </c>
    </row>
    <row r="1841" spans="1:16" x14ac:dyDescent="0.25">
      <c r="A1841" t="s">
        <v>810</v>
      </c>
      <c r="B1841" t="s">
        <v>1538</v>
      </c>
      <c r="C1841" t="s">
        <v>668</v>
      </c>
      <c r="D1841" s="2">
        <v>45907</v>
      </c>
      <c r="E1841" t="s">
        <v>257</v>
      </c>
      <c r="F1841" t="str">
        <f>VLOOKUP($C1841,Product_Dim!$A$2:$D$101,3,FALSE)</f>
        <v>Kelly, Smith and Perez</v>
      </c>
      <c r="G1841" t="str">
        <f>VLOOKUP($C1841,Product_Dim!$A$2:$D$101,2,FALSE)</f>
        <v>Clothing</v>
      </c>
      <c r="H1841">
        <v>4</v>
      </c>
      <c r="I1841">
        <v>442.54</v>
      </c>
      <c r="J1841">
        <v>0.06</v>
      </c>
      <c r="K1841" s="3">
        <v>1663.9503999999999</v>
      </c>
      <c r="L1841" t="s">
        <v>852</v>
      </c>
      <c r="M1841" t="str">
        <f>VLOOKUP($E1841,Customer_Dim!$A$2:$F$501,3,FALSE)</f>
        <v>Male</v>
      </c>
      <c r="N1841" t="str">
        <f>VLOOKUP($E1841,Customer_Dim!$A$2:$F$501,5,FALSE)</f>
        <v>USA</v>
      </c>
      <c r="O1841" t="str">
        <f>VLOOKUP($E1841,Customer_Dim!$A$2:$F$501,6,FALSE)</f>
        <v>Gold</v>
      </c>
      <c r="P1841" t="str">
        <f>VLOOKUP($A1841,Store_Dim!$A$2:$F$21,3,FALSE)</f>
        <v>WestThompsonborough</v>
      </c>
    </row>
    <row r="1842" spans="1:16" hidden="1" x14ac:dyDescent="0.25">
      <c r="A1842" t="s">
        <v>810</v>
      </c>
      <c r="B1842" t="s">
        <v>1912</v>
      </c>
      <c r="C1842" t="s">
        <v>668</v>
      </c>
      <c r="D1842" s="2">
        <v>45629</v>
      </c>
      <c r="E1842" t="s">
        <v>509</v>
      </c>
      <c r="F1842" t="str">
        <f>VLOOKUP($C1842,Product_Dim!$A$2:$D$101,3,FALSE)</f>
        <v>Kelly, Smith and Perez</v>
      </c>
      <c r="G1842" t="str">
        <f>VLOOKUP($C1842,Product_Dim!$A$2:$D$101,2,FALSE)</f>
        <v>Clothing</v>
      </c>
      <c r="H1842">
        <v>1</v>
      </c>
      <c r="I1842">
        <v>681.72</v>
      </c>
      <c r="J1842">
        <v>0.11</v>
      </c>
      <c r="K1842" s="3">
        <v>606.73080000000004</v>
      </c>
      <c r="L1842" t="s">
        <v>854</v>
      </c>
      <c r="M1842" t="str">
        <f>VLOOKUP($E1842,Customer_Dim!$A$2:$F$501,3,FALSE)</f>
        <v>Female</v>
      </c>
      <c r="N1842" t="str">
        <f>VLOOKUP($E1842,Customer_Dim!$A$2:$F$501,5,FALSE)</f>
        <v>USA</v>
      </c>
      <c r="O1842" t="str">
        <f>VLOOKUP($E1842,Customer_Dim!$A$2:$F$501,6,FALSE)</f>
        <v>Bronze</v>
      </c>
      <c r="P1842" t="str">
        <f>VLOOKUP($A1842,Store_Dim!$A$2:$F$21,3,FALSE)</f>
        <v>WestThompsonborough</v>
      </c>
    </row>
    <row r="1843" spans="1:16" hidden="1" x14ac:dyDescent="0.25">
      <c r="A1843" t="s">
        <v>810</v>
      </c>
      <c r="B1843" t="s">
        <v>855</v>
      </c>
      <c r="C1843" t="s">
        <v>674</v>
      </c>
      <c r="D1843" s="2">
        <v>45446</v>
      </c>
      <c r="E1843" t="s">
        <v>104</v>
      </c>
      <c r="F1843" t="str">
        <f>VLOOKUP($C1843,Product_Dim!$A$2:$D$101,3,FALSE)</f>
        <v>Sullivan and Sons</v>
      </c>
      <c r="G1843" t="str">
        <f>VLOOKUP($C1843,Product_Dim!$A$2:$D$101,2,FALSE)</f>
        <v>Beauty</v>
      </c>
      <c r="H1843">
        <v>4</v>
      </c>
      <c r="I1843">
        <v>914.05</v>
      </c>
      <c r="J1843">
        <v>0.25</v>
      </c>
      <c r="K1843" s="3">
        <v>2742.15</v>
      </c>
      <c r="L1843" t="s">
        <v>852</v>
      </c>
      <c r="M1843" t="str">
        <f>VLOOKUP($E1843,Customer_Dim!$A$2:$F$501,3,FALSE)</f>
        <v>Female</v>
      </c>
      <c r="N1843" t="str">
        <f>VLOOKUP($E1843,Customer_Dim!$A$2:$F$501,5,FALSE)</f>
        <v>USA</v>
      </c>
      <c r="O1843" t="str">
        <f>VLOOKUP($E1843,Customer_Dim!$A$2:$F$501,6,FALSE)</f>
        <v>Gold</v>
      </c>
      <c r="P1843" t="str">
        <f>VLOOKUP($A1843,Store_Dim!$A$2:$F$21,3,FALSE)</f>
        <v>WestThompsonborough</v>
      </c>
    </row>
    <row r="1844" spans="1:16" x14ac:dyDescent="0.25">
      <c r="A1844" t="s">
        <v>810</v>
      </c>
      <c r="B1844" t="s">
        <v>2320</v>
      </c>
      <c r="C1844" t="s">
        <v>674</v>
      </c>
      <c r="D1844" s="2">
        <v>45676</v>
      </c>
      <c r="E1844" t="s">
        <v>292</v>
      </c>
      <c r="F1844" t="str">
        <f>VLOOKUP($C1844,Product_Dim!$A$2:$D$101,3,FALSE)</f>
        <v>Sullivan and Sons</v>
      </c>
      <c r="G1844" t="str">
        <f>VLOOKUP($C1844,Product_Dim!$A$2:$D$101,2,FALSE)</f>
        <v>Beauty</v>
      </c>
      <c r="H1844">
        <v>3</v>
      </c>
      <c r="I1844">
        <v>512.15</v>
      </c>
      <c r="J1844">
        <v>0.12</v>
      </c>
      <c r="K1844" s="3">
        <v>1352.076</v>
      </c>
      <c r="L1844" t="s">
        <v>852</v>
      </c>
      <c r="M1844" t="str">
        <f>VLOOKUP($E1844,Customer_Dim!$A$2:$F$501,3,FALSE)</f>
        <v>Male</v>
      </c>
      <c r="N1844" t="str">
        <f>VLOOKUP($E1844,Customer_Dim!$A$2:$F$501,5,FALSE)</f>
        <v>USA</v>
      </c>
      <c r="O1844" t="str">
        <f>VLOOKUP($E1844,Customer_Dim!$A$2:$F$501,6,FALSE)</f>
        <v>Gold</v>
      </c>
      <c r="P1844" t="str">
        <f>VLOOKUP($A1844,Store_Dim!$A$2:$F$21,3,FALSE)</f>
        <v>WestThompsonborough</v>
      </c>
    </row>
    <row r="1845" spans="1:16" hidden="1" x14ac:dyDescent="0.25">
      <c r="A1845" t="s">
        <v>810</v>
      </c>
      <c r="B1845" t="s">
        <v>2182</v>
      </c>
      <c r="C1845" t="s">
        <v>583</v>
      </c>
      <c r="D1845" s="2">
        <v>45268</v>
      </c>
      <c r="E1845" t="s">
        <v>401</v>
      </c>
      <c r="F1845" t="str">
        <f>VLOOKUP($C1845,Product_Dim!$A$2:$D$101,3,FALSE)</f>
        <v>Baldwin, Garza and Gonzalez</v>
      </c>
      <c r="G1845" t="str">
        <f>VLOOKUP($C1845,Product_Dim!$A$2:$D$101,2,FALSE)</f>
        <v>Clothing</v>
      </c>
      <c r="H1845">
        <v>3</v>
      </c>
      <c r="I1845">
        <v>120.77</v>
      </c>
      <c r="J1845">
        <v>0.28999999999999998</v>
      </c>
      <c r="K1845" s="3">
        <v>257.24009999999998</v>
      </c>
      <c r="L1845" t="s">
        <v>854</v>
      </c>
      <c r="M1845" t="str">
        <f>VLOOKUP($E1845,Customer_Dim!$A$2:$F$501,3,FALSE)</f>
        <v>Female</v>
      </c>
      <c r="N1845" t="str">
        <f>VLOOKUP($E1845,Customer_Dim!$A$2:$F$501,5,FALSE)</f>
        <v>USA</v>
      </c>
      <c r="O1845" t="str">
        <f>VLOOKUP($E1845,Customer_Dim!$A$2:$F$501,6,FALSE)</f>
        <v>Silver</v>
      </c>
      <c r="P1845" t="str">
        <f>VLOOKUP($A1845,Store_Dim!$A$2:$F$21,3,FALSE)</f>
        <v>WestThompsonborough</v>
      </c>
    </row>
    <row r="1846" spans="1:16" x14ac:dyDescent="0.25">
      <c r="A1846" t="s">
        <v>810</v>
      </c>
      <c r="B1846" t="s">
        <v>1200</v>
      </c>
      <c r="C1846" t="s">
        <v>678</v>
      </c>
      <c r="D1846" s="2">
        <v>45915</v>
      </c>
      <c r="E1846" t="s">
        <v>110</v>
      </c>
      <c r="F1846" t="str">
        <f>VLOOKUP($C1846,Product_Dim!$A$2:$D$101,3,FALSE)</f>
        <v>Bautista, Green and Hale</v>
      </c>
      <c r="G1846" t="str">
        <f>VLOOKUP($C1846,Product_Dim!$A$2:$D$101,2,FALSE)</f>
        <v>Electronics</v>
      </c>
      <c r="H1846">
        <v>3</v>
      </c>
      <c r="I1846">
        <v>564.94000000000005</v>
      </c>
      <c r="J1846">
        <v>0.22</v>
      </c>
      <c r="K1846" s="3">
        <v>1321.9595999999999</v>
      </c>
      <c r="L1846" t="s">
        <v>857</v>
      </c>
      <c r="M1846" t="str">
        <f>VLOOKUP($E1846,Customer_Dim!$A$2:$F$501,3,FALSE)</f>
        <v>Male</v>
      </c>
      <c r="N1846" t="str">
        <f>VLOOKUP($E1846,Customer_Dim!$A$2:$F$501,5,FALSE)</f>
        <v>USA</v>
      </c>
      <c r="O1846" t="str">
        <f>VLOOKUP($E1846,Customer_Dim!$A$2:$F$501,6,FALSE)</f>
        <v>Silver</v>
      </c>
      <c r="P1846" t="str">
        <f>VLOOKUP($A1846,Store_Dim!$A$2:$F$21,3,FALSE)</f>
        <v>WestThompsonborough</v>
      </c>
    </row>
    <row r="1847" spans="1:16" x14ac:dyDescent="0.25">
      <c r="A1847" t="s">
        <v>810</v>
      </c>
      <c r="B1847" t="s">
        <v>934</v>
      </c>
      <c r="C1847" t="s">
        <v>680</v>
      </c>
      <c r="D1847" s="2">
        <v>45885</v>
      </c>
      <c r="E1847" t="s">
        <v>240</v>
      </c>
      <c r="F1847" t="str">
        <f>VLOOKUP($C1847,Product_Dim!$A$2:$D$101,3,FALSE)</f>
        <v>Harris Inc</v>
      </c>
      <c r="G1847" t="str">
        <f>VLOOKUP($C1847,Product_Dim!$A$2:$D$101,2,FALSE)</f>
        <v>Sports</v>
      </c>
      <c r="H1847">
        <v>1</v>
      </c>
      <c r="I1847">
        <v>442.27</v>
      </c>
      <c r="J1847">
        <v>0.06</v>
      </c>
      <c r="K1847" s="3">
        <v>415.73379999999997</v>
      </c>
      <c r="L1847" t="s">
        <v>857</v>
      </c>
      <c r="M1847" t="str">
        <f>VLOOKUP($E1847,Customer_Dim!$A$2:$F$501,3,FALSE)</f>
        <v>Male</v>
      </c>
      <c r="N1847" t="str">
        <f>VLOOKUP($E1847,Customer_Dim!$A$2:$F$501,5,FALSE)</f>
        <v>USA</v>
      </c>
      <c r="O1847" t="str">
        <f>VLOOKUP($E1847,Customer_Dim!$A$2:$F$501,6,FALSE)</f>
        <v>Silver</v>
      </c>
      <c r="P1847" t="str">
        <f>VLOOKUP($A1847,Store_Dim!$A$2:$F$21,3,FALSE)</f>
        <v>WestThompsonborough</v>
      </c>
    </row>
    <row r="1848" spans="1:16" hidden="1" x14ac:dyDescent="0.25">
      <c r="A1848" t="s">
        <v>810</v>
      </c>
      <c r="B1848" t="s">
        <v>2381</v>
      </c>
      <c r="C1848" t="s">
        <v>682</v>
      </c>
      <c r="D1848" s="2">
        <v>45499</v>
      </c>
      <c r="E1848" t="s">
        <v>284</v>
      </c>
      <c r="F1848" t="str">
        <f>VLOOKUP($C1848,Product_Dim!$A$2:$D$101,3,FALSE)</f>
        <v>Hamilton, Woods and Walker</v>
      </c>
      <c r="G1848" t="str">
        <f>VLOOKUP($C1848,Product_Dim!$A$2:$D$101,2,FALSE)</f>
        <v>Clothing</v>
      </c>
      <c r="H1848">
        <v>2</v>
      </c>
      <c r="I1848">
        <v>616.36</v>
      </c>
      <c r="J1848">
        <v>0.12</v>
      </c>
      <c r="K1848" s="3">
        <v>1084.7936</v>
      </c>
      <c r="L1848" t="s">
        <v>854</v>
      </c>
      <c r="M1848" t="str">
        <f>VLOOKUP($E1848,Customer_Dim!$A$2:$F$501,3,FALSE)</f>
        <v>Female</v>
      </c>
      <c r="N1848" t="str">
        <f>VLOOKUP($E1848,Customer_Dim!$A$2:$F$501,5,FALSE)</f>
        <v>USA</v>
      </c>
      <c r="O1848" t="str">
        <f>VLOOKUP($E1848,Customer_Dim!$A$2:$F$501,6,FALSE)</f>
        <v>Gold</v>
      </c>
      <c r="P1848" t="str">
        <f>VLOOKUP($A1848,Store_Dim!$A$2:$F$21,3,FALSE)</f>
        <v>WestThompsonborough</v>
      </c>
    </row>
    <row r="1849" spans="1:16" x14ac:dyDescent="0.25">
      <c r="A1849" t="s">
        <v>810</v>
      </c>
      <c r="B1849" t="s">
        <v>1984</v>
      </c>
      <c r="C1849" t="s">
        <v>682</v>
      </c>
      <c r="D1849" s="2">
        <v>45512</v>
      </c>
      <c r="E1849" t="s">
        <v>310</v>
      </c>
      <c r="F1849" t="str">
        <f>VLOOKUP($C1849,Product_Dim!$A$2:$D$101,3,FALSE)</f>
        <v>Hamilton, Woods and Walker</v>
      </c>
      <c r="G1849" t="str">
        <f>VLOOKUP($C1849,Product_Dim!$A$2:$D$101,2,FALSE)</f>
        <v>Clothing</v>
      </c>
      <c r="H1849">
        <v>2</v>
      </c>
      <c r="I1849">
        <v>568.95000000000005</v>
      </c>
      <c r="J1849">
        <v>0.22</v>
      </c>
      <c r="K1849" s="3">
        <v>887.56200000000013</v>
      </c>
      <c r="L1849" t="s">
        <v>852</v>
      </c>
      <c r="M1849" t="str">
        <f>VLOOKUP($E1849,Customer_Dim!$A$2:$F$501,3,FALSE)</f>
        <v>Male</v>
      </c>
      <c r="N1849" t="str">
        <f>VLOOKUP($E1849,Customer_Dim!$A$2:$F$501,5,FALSE)</f>
        <v>USA</v>
      </c>
      <c r="O1849" t="str">
        <f>VLOOKUP($E1849,Customer_Dim!$A$2:$F$501,6,FALSE)</f>
        <v>Bronze</v>
      </c>
      <c r="P1849" t="str">
        <f>VLOOKUP($A1849,Store_Dim!$A$2:$F$21,3,FALSE)</f>
        <v>WestThompsonborough</v>
      </c>
    </row>
    <row r="1850" spans="1:16" hidden="1" x14ac:dyDescent="0.25">
      <c r="A1850" t="s">
        <v>810</v>
      </c>
      <c r="B1850" t="s">
        <v>2138</v>
      </c>
      <c r="C1850" t="s">
        <v>684</v>
      </c>
      <c r="D1850" s="2">
        <v>45823</v>
      </c>
      <c r="E1850" t="s">
        <v>445</v>
      </c>
      <c r="F1850" t="str">
        <f>VLOOKUP($C1850,Product_Dim!$A$2:$D$101,3,FALSE)</f>
        <v>Thompson-French</v>
      </c>
      <c r="G1850" t="str">
        <f>VLOOKUP($C1850,Product_Dim!$A$2:$D$101,2,FALSE)</f>
        <v>Sports</v>
      </c>
      <c r="H1850">
        <v>2</v>
      </c>
      <c r="I1850">
        <v>623.20000000000005</v>
      </c>
      <c r="J1850">
        <v>0.14000000000000001</v>
      </c>
      <c r="K1850" s="3">
        <v>1071.904</v>
      </c>
      <c r="L1850" t="s">
        <v>857</v>
      </c>
      <c r="M1850" t="str">
        <f>VLOOKUP($E1850,Customer_Dim!$A$2:$F$501,3,FALSE)</f>
        <v>Female</v>
      </c>
      <c r="N1850" t="str">
        <f>VLOOKUP($E1850,Customer_Dim!$A$2:$F$501,5,FALSE)</f>
        <v>USA</v>
      </c>
      <c r="O1850" t="str">
        <f>VLOOKUP($E1850,Customer_Dim!$A$2:$F$501,6,FALSE)</f>
        <v>Bronze</v>
      </c>
      <c r="P1850" t="str">
        <f>VLOOKUP($A1850,Store_Dim!$A$2:$F$21,3,FALSE)</f>
        <v>WestThompsonborough</v>
      </c>
    </row>
    <row r="1851" spans="1:16" hidden="1" x14ac:dyDescent="0.25">
      <c r="A1851" t="s">
        <v>810</v>
      </c>
      <c r="B1851" t="s">
        <v>1031</v>
      </c>
      <c r="C1851" t="s">
        <v>686</v>
      </c>
      <c r="D1851" s="2">
        <v>45670</v>
      </c>
      <c r="E1851" t="s">
        <v>566</v>
      </c>
      <c r="F1851" t="str">
        <f>VLOOKUP($C1851,Product_Dim!$A$2:$D$101,3,FALSE)</f>
        <v>Hatfield, Baird and Torres</v>
      </c>
      <c r="G1851" t="str">
        <f>VLOOKUP($C1851,Product_Dim!$A$2:$D$101,2,FALSE)</f>
        <v>Home</v>
      </c>
      <c r="H1851">
        <v>1</v>
      </c>
      <c r="I1851">
        <v>79</v>
      </c>
      <c r="J1851">
        <v>0.04</v>
      </c>
      <c r="K1851" s="3">
        <v>75.84</v>
      </c>
      <c r="L1851" t="s">
        <v>854</v>
      </c>
      <c r="M1851" t="str">
        <f>VLOOKUP($E1851,Customer_Dim!$A$2:$F$501,3,FALSE)</f>
        <v>Female</v>
      </c>
      <c r="N1851" t="str">
        <f>VLOOKUP($E1851,Customer_Dim!$A$2:$F$501,5,FALSE)</f>
        <v>USA</v>
      </c>
      <c r="O1851" t="str">
        <f>VLOOKUP($E1851,Customer_Dim!$A$2:$F$501,6,FALSE)</f>
        <v>Platinum</v>
      </c>
      <c r="P1851" t="str">
        <f>VLOOKUP($A1851,Store_Dim!$A$2:$F$21,3,FALSE)</f>
        <v>WestThompsonborough</v>
      </c>
    </row>
    <row r="1852" spans="1:16" hidden="1" x14ac:dyDescent="0.25">
      <c r="A1852" t="s">
        <v>810</v>
      </c>
      <c r="B1852" t="s">
        <v>1142</v>
      </c>
      <c r="C1852" t="s">
        <v>690</v>
      </c>
      <c r="D1852" s="2">
        <v>45386</v>
      </c>
      <c r="E1852" t="s">
        <v>247</v>
      </c>
      <c r="F1852" t="str">
        <f>VLOOKUP($C1852,Product_Dim!$A$2:$D$101,3,FALSE)</f>
        <v>Atkinson, Camacho and Oliver</v>
      </c>
      <c r="G1852" t="str">
        <f>VLOOKUP($C1852,Product_Dim!$A$2:$D$101,2,FALSE)</f>
        <v>Sports</v>
      </c>
      <c r="H1852">
        <v>3</v>
      </c>
      <c r="I1852">
        <v>545.1</v>
      </c>
      <c r="J1852">
        <v>0.08</v>
      </c>
      <c r="K1852" s="3">
        <v>1504.4760000000001</v>
      </c>
      <c r="L1852" t="s">
        <v>857</v>
      </c>
      <c r="M1852" t="str">
        <f>VLOOKUP($E1852,Customer_Dim!$A$2:$F$501,3,FALSE)</f>
        <v>Female</v>
      </c>
      <c r="N1852" t="str">
        <f>VLOOKUP($E1852,Customer_Dim!$A$2:$F$501,5,FALSE)</f>
        <v>USA</v>
      </c>
      <c r="O1852" t="str">
        <f>VLOOKUP($E1852,Customer_Dim!$A$2:$F$501,6,FALSE)</f>
        <v>Silver</v>
      </c>
      <c r="P1852" t="str">
        <f>VLOOKUP($A1852,Store_Dim!$A$2:$F$21,3,FALSE)</f>
        <v>WestThompsonborough</v>
      </c>
    </row>
    <row r="1853" spans="1:16" hidden="1" x14ac:dyDescent="0.25">
      <c r="A1853" t="s">
        <v>810</v>
      </c>
      <c r="B1853" t="s">
        <v>1761</v>
      </c>
      <c r="C1853" t="s">
        <v>692</v>
      </c>
      <c r="D1853" s="2">
        <v>45918</v>
      </c>
      <c r="E1853" t="s">
        <v>335</v>
      </c>
      <c r="F1853" t="str">
        <f>VLOOKUP($C1853,Product_Dim!$A$2:$D$101,3,FALSE)</f>
        <v>Shepherd-Gould</v>
      </c>
      <c r="G1853" t="str">
        <f>VLOOKUP($C1853,Product_Dim!$A$2:$D$101,2,FALSE)</f>
        <v>Clothing</v>
      </c>
      <c r="H1853">
        <v>2</v>
      </c>
      <c r="I1853">
        <v>433.75</v>
      </c>
      <c r="J1853">
        <v>0</v>
      </c>
      <c r="K1853" s="3">
        <v>867.5</v>
      </c>
      <c r="L1853" t="s">
        <v>852</v>
      </c>
      <c r="M1853" t="str">
        <f>VLOOKUP($E1853,Customer_Dim!$A$2:$F$501,3,FALSE)</f>
        <v>Female</v>
      </c>
      <c r="N1853" t="str">
        <f>VLOOKUP($E1853,Customer_Dim!$A$2:$F$501,5,FALSE)</f>
        <v>USA</v>
      </c>
      <c r="O1853" t="str">
        <f>VLOOKUP($E1853,Customer_Dim!$A$2:$F$501,6,FALSE)</f>
        <v>Bronze</v>
      </c>
      <c r="P1853" t="str">
        <f>VLOOKUP($A1853,Store_Dim!$A$2:$F$21,3,FALSE)</f>
        <v>WestThompsonborough</v>
      </c>
    </row>
    <row r="1854" spans="1:16" x14ac:dyDescent="0.25">
      <c r="A1854" t="s">
        <v>810</v>
      </c>
      <c r="B1854" t="s">
        <v>1809</v>
      </c>
      <c r="C1854" t="s">
        <v>694</v>
      </c>
      <c r="D1854" s="2">
        <v>45349</v>
      </c>
      <c r="E1854" t="s">
        <v>176</v>
      </c>
      <c r="F1854" t="str">
        <f>VLOOKUP($C1854,Product_Dim!$A$2:$D$101,3,FALSE)</f>
        <v>Cline-Mccarthy</v>
      </c>
      <c r="G1854" t="str">
        <f>VLOOKUP($C1854,Product_Dim!$A$2:$D$101,2,FALSE)</f>
        <v>Beauty</v>
      </c>
      <c r="H1854">
        <v>1</v>
      </c>
      <c r="I1854">
        <v>437.12</v>
      </c>
      <c r="J1854">
        <v>0.21</v>
      </c>
      <c r="K1854" s="3">
        <v>345.32479999999998</v>
      </c>
      <c r="L1854" t="s">
        <v>852</v>
      </c>
      <c r="M1854" t="str">
        <f>VLOOKUP($E1854,Customer_Dim!$A$2:$F$501,3,FALSE)</f>
        <v>Male</v>
      </c>
      <c r="N1854" t="str">
        <f>VLOOKUP($E1854,Customer_Dim!$A$2:$F$501,5,FALSE)</f>
        <v>USA</v>
      </c>
      <c r="O1854" t="str">
        <f>VLOOKUP($E1854,Customer_Dim!$A$2:$F$501,6,FALSE)</f>
        <v>Gold</v>
      </c>
      <c r="P1854" t="str">
        <f>VLOOKUP($A1854,Store_Dim!$A$2:$F$21,3,FALSE)</f>
        <v>WestThompsonborough</v>
      </c>
    </row>
    <row r="1855" spans="1:16" hidden="1" x14ac:dyDescent="0.25">
      <c r="A1855" t="s">
        <v>810</v>
      </c>
      <c r="B1855" t="s">
        <v>899</v>
      </c>
      <c r="C1855" t="s">
        <v>694</v>
      </c>
      <c r="D1855" s="2">
        <v>45606</v>
      </c>
      <c r="E1855" t="s">
        <v>537</v>
      </c>
      <c r="F1855" t="str">
        <f>VLOOKUP($C1855,Product_Dim!$A$2:$D$101,3,FALSE)</f>
        <v>Cline-Mccarthy</v>
      </c>
      <c r="G1855" t="str">
        <f>VLOOKUP($C1855,Product_Dim!$A$2:$D$101,2,FALSE)</f>
        <v>Beauty</v>
      </c>
      <c r="H1855">
        <v>4</v>
      </c>
      <c r="I1855">
        <v>288.60000000000002</v>
      </c>
      <c r="J1855">
        <v>0.09</v>
      </c>
      <c r="K1855" s="3">
        <v>1050.5039999999999</v>
      </c>
      <c r="L1855" t="s">
        <v>854</v>
      </c>
      <c r="M1855" t="str">
        <f>VLOOKUP($E1855,Customer_Dim!$A$2:$F$501,3,FALSE)</f>
        <v>Female</v>
      </c>
      <c r="N1855" t="str">
        <f>VLOOKUP($E1855,Customer_Dim!$A$2:$F$501,5,FALSE)</f>
        <v>USA</v>
      </c>
      <c r="O1855" t="str">
        <f>VLOOKUP($E1855,Customer_Dim!$A$2:$F$501,6,FALSE)</f>
        <v>Gold</v>
      </c>
      <c r="P1855" t="str">
        <f>VLOOKUP($A1855,Store_Dim!$A$2:$F$21,3,FALSE)</f>
        <v>WestThompsonborough</v>
      </c>
    </row>
    <row r="1856" spans="1:16" hidden="1" x14ac:dyDescent="0.25">
      <c r="A1856" t="s">
        <v>810</v>
      </c>
      <c r="B1856" t="s">
        <v>2104</v>
      </c>
      <c r="C1856" t="s">
        <v>585</v>
      </c>
      <c r="D1856" s="2">
        <v>45847</v>
      </c>
      <c r="E1856" t="s">
        <v>76</v>
      </c>
      <c r="F1856" t="str">
        <f>VLOOKUP($C1856,Product_Dim!$A$2:$D$101,3,FALSE)</f>
        <v>Davidson PLC</v>
      </c>
      <c r="G1856" t="str">
        <f>VLOOKUP($C1856,Product_Dim!$A$2:$D$101,2,FALSE)</f>
        <v>Beauty</v>
      </c>
      <c r="H1856">
        <v>1</v>
      </c>
      <c r="I1856">
        <v>98.27</v>
      </c>
      <c r="J1856">
        <v>0.16</v>
      </c>
      <c r="K1856" s="3">
        <v>82.54679999999999</v>
      </c>
      <c r="L1856" t="s">
        <v>854</v>
      </c>
      <c r="M1856" t="str">
        <f>VLOOKUP($E1856,Customer_Dim!$A$2:$F$501,3,FALSE)</f>
        <v>Female</v>
      </c>
      <c r="N1856" t="str">
        <f>VLOOKUP($E1856,Customer_Dim!$A$2:$F$501,5,FALSE)</f>
        <v>USA</v>
      </c>
      <c r="O1856" t="str">
        <f>VLOOKUP($E1856,Customer_Dim!$A$2:$F$501,6,FALSE)</f>
        <v>Gold</v>
      </c>
      <c r="P1856" t="str">
        <f>VLOOKUP($A1856,Store_Dim!$A$2:$F$21,3,FALSE)</f>
        <v>WestThompsonborough</v>
      </c>
    </row>
    <row r="1857" spans="1:16" x14ac:dyDescent="0.25">
      <c r="A1857" t="s">
        <v>810</v>
      </c>
      <c r="B1857" t="s">
        <v>2764</v>
      </c>
      <c r="C1857" t="s">
        <v>698</v>
      </c>
      <c r="D1857" s="2">
        <v>45560</v>
      </c>
      <c r="E1857" t="s">
        <v>68</v>
      </c>
      <c r="F1857" t="str">
        <f>VLOOKUP($C1857,Product_Dim!$A$2:$D$101,3,FALSE)</f>
        <v>Lopez LLC</v>
      </c>
      <c r="G1857" t="str">
        <f>VLOOKUP($C1857,Product_Dim!$A$2:$D$101,2,FALSE)</f>
        <v>Sports</v>
      </c>
      <c r="H1857">
        <v>1</v>
      </c>
      <c r="I1857">
        <v>846.67</v>
      </c>
      <c r="J1857">
        <v>0.1</v>
      </c>
      <c r="K1857" s="3">
        <v>762.00299999999993</v>
      </c>
      <c r="L1857" t="s">
        <v>857</v>
      </c>
      <c r="M1857" t="str">
        <f>VLOOKUP($E1857,Customer_Dim!$A$2:$F$501,3,FALSE)</f>
        <v>Male</v>
      </c>
      <c r="N1857" t="str">
        <f>VLOOKUP($E1857,Customer_Dim!$A$2:$F$501,5,FALSE)</f>
        <v>USA</v>
      </c>
      <c r="O1857" t="str">
        <f>VLOOKUP($E1857,Customer_Dim!$A$2:$F$501,6,FALSE)</f>
        <v>Silver</v>
      </c>
      <c r="P1857" t="str">
        <f>VLOOKUP($A1857,Store_Dim!$A$2:$F$21,3,FALSE)</f>
        <v>WestThompsonborough</v>
      </c>
    </row>
    <row r="1858" spans="1:16" x14ac:dyDescent="0.25">
      <c r="A1858" t="s">
        <v>810</v>
      </c>
      <c r="B1858" t="s">
        <v>1134</v>
      </c>
      <c r="C1858" t="s">
        <v>700</v>
      </c>
      <c r="D1858" s="2">
        <v>45757</v>
      </c>
      <c r="E1858" t="s">
        <v>182</v>
      </c>
      <c r="F1858" t="str">
        <f>VLOOKUP($C1858,Product_Dim!$A$2:$D$101,3,FALSE)</f>
        <v>Murray, Gould and Ware</v>
      </c>
      <c r="G1858" t="str">
        <f>VLOOKUP($C1858,Product_Dim!$A$2:$D$101,2,FALSE)</f>
        <v>Electronics</v>
      </c>
      <c r="H1858">
        <v>1</v>
      </c>
      <c r="I1858">
        <v>329.31</v>
      </c>
      <c r="J1858">
        <v>0.09</v>
      </c>
      <c r="K1858" s="3">
        <v>299.6721</v>
      </c>
      <c r="L1858" t="s">
        <v>852</v>
      </c>
      <c r="M1858" t="str">
        <f>VLOOKUP($E1858,Customer_Dim!$A$2:$F$501,3,FALSE)</f>
        <v>Male</v>
      </c>
      <c r="N1858" t="str">
        <f>VLOOKUP($E1858,Customer_Dim!$A$2:$F$501,5,FALSE)</f>
        <v>USA</v>
      </c>
      <c r="O1858" t="str">
        <f>VLOOKUP($E1858,Customer_Dim!$A$2:$F$501,6,FALSE)</f>
        <v>Bronze</v>
      </c>
      <c r="P1858" t="str">
        <f>VLOOKUP($A1858,Store_Dim!$A$2:$F$21,3,FALSE)</f>
        <v>WestThompsonborough</v>
      </c>
    </row>
    <row r="1859" spans="1:16" hidden="1" x14ac:dyDescent="0.25">
      <c r="A1859" t="s">
        <v>810</v>
      </c>
      <c r="B1859" t="s">
        <v>2809</v>
      </c>
      <c r="C1859" t="s">
        <v>708</v>
      </c>
      <c r="D1859" s="2">
        <v>45863</v>
      </c>
      <c r="E1859" t="s">
        <v>35</v>
      </c>
      <c r="F1859" t="str">
        <f>VLOOKUP($C1859,Product_Dim!$A$2:$D$101,3,FALSE)</f>
        <v>Torres, Spencer and Potter</v>
      </c>
      <c r="G1859" t="str">
        <f>VLOOKUP($C1859,Product_Dim!$A$2:$D$101,2,FALSE)</f>
        <v>Beauty</v>
      </c>
      <c r="H1859">
        <v>4</v>
      </c>
      <c r="I1859">
        <v>270.69</v>
      </c>
      <c r="J1859">
        <v>0.18</v>
      </c>
      <c r="K1859" s="3">
        <v>887.86320000000001</v>
      </c>
      <c r="L1859" t="s">
        <v>854</v>
      </c>
      <c r="M1859" t="str">
        <f>VLOOKUP($E1859,Customer_Dim!$A$2:$F$501,3,FALSE)</f>
        <v>Female</v>
      </c>
      <c r="N1859" t="str">
        <f>VLOOKUP($E1859,Customer_Dim!$A$2:$F$501,5,FALSE)</f>
        <v>USA</v>
      </c>
      <c r="O1859" t="str">
        <f>VLOOKUP($E1859,Customer_Dim!$A$2:$F$501,6,FALSE)</f>
        <v>Gold</v>
      </c>
      <c r="P1859" t="str">
        <f>VLOOKUP($A1859,Store_Dim!$A$2:$F$21,3,FALSE)</f>
        <v>WestThompsonborough</v>
      </c>
    </row>
    <row r="1860" spans="1:16" x14ac:dyDescent="0.25">
      <c r="A1860" t="s">
        <v>810</v>
      </c>
      <c r="B1860" t="s">
        <v>1837</v>
      </c>
      <c r="C1860" t="s">
        <v>708</v>
      </c>
      <c r="D1860" s="2">
        <v>45432</v>
      </c>
      <c r="E1860" t="s">
        <v>147</v>
      </c>
      <c r="F1860" t="str">
        <f>VLOOKUP($C1860,Product_Dim!$A$2:$D$101,3,FALSE)</f>
        <v>Torres, Spencer and Potter</v>
      </c>
      <c r="G1860" t="str">
        <f>VLOOKUP($C1860,Product_Dim!$A$2:$D$101,2,FALSE)</f>
        <v>Beauty</v>
      </c>
      <c r="H1860">
        <v>2</v>
      </c>
      <c r="I1860">
        <v>853.93</v>
      </c>
      <c r="J1860">
        <v>0.01</v>
      </c>
      <c r="K1860" s="3">
        <v>1690.7814000000001</v>
      </c>
      <c r="L1860" t="s">
        <v>854</v>
      </c>
      <c r="M1860" t="str">
        <f>VLOOKUP($E1860,Customer_Dim!$A$2:$F$501,3,FALSE)</f>
        <v>Male</v>
      </c>
      <c r="N1860" t="str">
        <f>VLOOKUP($E1860,Customer_Dim!$A$2:$F$501,5,FALSE)</f>
        <v>USA</v>
      </c>
      <c r="O1860" t="str">
        <f>VLOOKUP($E1860,Customer_Dim!$A$2:$F$501,6,FALSE)</f>
        <v>Silver</v>
      </c>
      <c r="P1860" t="str">
        <f>VLOOKUP($A1860,Store_Dim!$A$2:$F$21,3,FALSE)</f>
        <v>WestThompsonborough</v>
      </c>
    </row>
    <row r="1861" spans="1:16" hidden="1" x14ac:dyDescent="0.25">
      <c r="A1861" t="s">
        <v>810</v>
      </c>
      <c r="B1861" t="s">
        <v>1834</v>
      </c>
      <c r="C1861" t="s">
        <v>708</v>
      </c>
      <c r="D1861" s="2">
        <v>45272</v>
      </c>
      <c r="E1861" t="s">
        <v>298</v>
      </c>
      <c r="F1861" t="str">
        <f>VLOOKUP($C1861,Product_Dim!$A$2:$D$101,3,FALSE)</f>
        <v>Torres, Spencer and Potter</v>
      </c>
      <c r="G1861" t="str">
        <f>VLOOKUP($C1861,Product_Dim!$A$2:$D$101,2,FALSE)</f>
        <v>Beauty</v>
      </c>
      <c r="H1861">
        <v>4</v>
      </c>
      <c r="I1861">
        <v>649.52</v>
      </c>
      <c r="J1861">
        <v>0.11</v>
      </c>
      <c r="K1861" s="3">
        <v>2312.2912000000001</v>
      </c>
      <c r="L1861" t="s">
        <v>852</v>
      </c>
      <c r="M1861" t="str">
        <f>VLOOKUP($E1861,Customer_Dim!$A$2:$F$501,3,FALSE)</f>
        <v>Female</v>
      </c>
      <c r="N1861" t="str">
        <f>VLOOKUP($E1861,Customer_Dim!$A$2:$F$501,5,FALSE)</f>
        <v>USA</v>
      </c>
      <c r="O1861" t="str">
        <f>VLOOKUP($E1861,Customer_Dim!$A$2:$F$501,6,FALSE)</f>
        <v>Platinum</v>
      </c>
      <c r="P1861" t="str">
        <f>VLOOKUP($A1861,Store_Dim!$A$2:$F$21,3,FALSE)</f>
        <v>WestThompsonborough</v>
      </c>
    </row>
    <row r="1862" spans="1:16" x14ac:dyDescent="0.25">
      <c r="A1862" t="s">
        <v>810</v>
      </c>
      <c r="B1862" t="s">
        <v>1599</v>
      </c>
      <c r="C1862" t="s">
        <v>710</v>
      </c>
      <c r="D1862" s="2">
        <v>45747</v>
      </c>
      <c r="E1862" t="s">
        <v>257</v>
      </c>
      <c r="F1862" t="str">
        <f>VLOOKUP($C1862,Product_Dim!$A$2:$D$101,3,FALSE)</f>
        <v>Flores-Davis</v>
      </c>
      <c r="G1862" t="str">
        <f>VLOOKUP($C1862,Product_Dim!$A$2:$D$101,2,FALSE)</f>
        <v>Electronics</v>
      </c>
      <c r="H1862">
        <v>1</v>
      </c>
      <c r="I1862">
        <v>664.87</v>
      </c>
      <c r="J1862">
        <v>0.08</v>
      </c>
      <c r="K1862" s="3">
        <v>611.68040000000008</v>
      </c>
      <c r="L1862" t="s">
        <v>854</v>
      </c>
      <c r="M1862" t="str">
        <f>VLOOKUP($E1862,Customer_Dim!$A$2:$F$501,3,FALSE)</f>
        <v>Male</v>
      </c>
      <c r="N1862" t="str">
        <f>VLOOKUP($E1862,Customer_Dim!$A$2:$F$501,5,FALSE)</f>
        <v>USA</v>
      </c>
      <c r="O1862" t="str">
        <f>VLOOKUP($E1862,Customer_Dim!$A$2:$F$501,6,FALSE)</f>
        <v>Gold</v>
      </c>
      <c r="P1862" t="str">
        <f>VLOOKUP($A1862,Store_Dim!$A$2:$F$21,3,FALSE)</f>
        <v>WestThompsonborough</v>
      </c>
    </row>
    <row r="1863" spans="1:16" hidden="1" x14ac:dyDescent="0.25">
      <c r="A1863" t="s">
        <v>810</v>
      </c>
      <c r="B1863" t="s">
        <v>1063</v>
      </c>
      <c r="C1863" t="s">
        <v>710</v>
      </c>
      <c r="D1863" s="2">
        <v>45224</v>
      </c>
      <c r="E1863" t="s">
        <v>438</v>
      </c>
      <c r="F1863" t="str">
        <f>VLOOKUP($C1863,Product_Dim!$A$2:$D$101,3,FALSE)</f>
        <v>Flores-Davis</v>
      </c>
      <c r="G1863" t="str">
        <f>VLOOKUP($C1863,Product_Dim!$A$2:$D$101,2,FALSE)</f>
        <v>Electronics</v>
      </c>
      <c r="H1863">
        <v>1</v>
      </c>
      <c r="I1863">
        <v>620.80999999999995</v>
      </c>
      <c r="J1863">
        <v>0.04</v>
      </c>
      <c r="K1863" s="3">
        <v>595.97759999999994</v>
      </c>
      <c r="L1863" t="s">
        <v>854</v>
      </c>
      <c r="M1863" t="str">
        <f>VLOOKUP($E1863,Customer_Dim!$A$2:$F$501,3,FALSE)</f>
        <v>Female</v>
      </c>
      <c r="N1863" t="str">
        <f>VLOOKUP($E1863,Customer_Dim!$A$2:$F$501,5,FALSE)</f>
        <v>USA</v>
      </c>
      <c r="O1863" t="str">
        <f>VLOOKUP($E1863,Customer_Dim!$A$2:$F$501,6,FALSE)</f>
        <v>Platinum</v>
      </c>
      <c r="P1863" t="str">
        <f>VLOOKUP($A1863,Store_Dim!$A$2:$F$21,3,FALSE)</f>
        <v>WestThompsonborough</v>
      </c>
    </row>
    <row r="1864" spans="1:16" hidden="1" x14ac:dyDescent="0.25">
      <c r="A1864" t="s">
        <v>810</v>
      </c>
      <c r="B1864" t="s">
        <v>1742</v>
      </c>
      <c r="C1864" t="s">
        <v>710</v>
      </c>
      <c r="D1864" s="2">
        <v>45801</v>
      </c>
      <c r="E1864" t="s">
        <v>532</v>
      </c>
      <c r="F1864" t="str">
        <f>VLOOKUP($C1864,Product_Dim!$A$2:$D$101,3,FALSE)</f>
        <v>Flores-Davis</v>
      </c>
      <c r="G1864" t="str">
        <f>VLOOKUP($C1864,Product_Dim!$A$2:$D$101,2,FALSE)</f>
        <v>Electronics</v>
      </c>
      <c r="H1864">
        <v>2</v>
      </c>
      <c r="I1864">
        <v>995.11</v>
      </c>
      <c r="J1864">
        <v>0.13</v>
      </c>
      <c r="K1864" s="3">
        <v>1731.4914000000001</v>
      </c>
      <c r="L1864" t="s">
        <v>854</v>
      </c>
      <c r="M1864" t="str">
        <f>VLOOKUP($E1864,Customer_Dim!$A$2:$F$501,3,FALSE)</f>
        <v>Female</v>
      </c>
      <c r="N1864" t="str">
        <f>VLOOKUP($E1864,Customer_Dim!$A$2:$F$501,5,FALSE)</f>
        <v>USA</v>
      </c>
      <c r="O1864" t="str">
        <f>VLOOKUP($E1864,Customer_Dim!$A$2:$F$501,6,FALSE)</f>
        <v>Silver</v>
      </c>
      <c r="P1864" t="str">
        <f>VLOOKUP($A1864,Store_Dim!$A$2:$F$21,3,FALSE)</f>
        <v>WestThompsonborough</v>
      </c>
    </row>
    <row r="1865" spans="1:16" hidden="1" x14ac:dyDescent="0.25">
      <c r="A1865" t="s">
        <v>810</v>
      </c>
      <c r="B1865" t="s">
        <v>1308</v>
      </c>
      <c r="C1865" t="s">
        <v>712</v>
      </c>
      <c r="D1865" s="2">
        <v>45906</v>
      </c>
      <c r="E1865" t="s">
        <v>141</v>
      </c>
      <c r="F1865" t="str">
        <f>VLOOKUP($C1865,Product_Dim!$A$2:$D$101,3,FALSE)</f>
        <v>Wolfe, Ross and Hester</v>
      </c>
      <c r="G1865" t="str">
        <f>VLOOKUP($C1865,Product_Dim!$A$2:$D$101,2,FALSE)</f>
        <v>Home</v>
      </c>
      <c r="H1865">
        <v>3</v>
      </c>
      <c r="I1865">
        <v>811.96</v>
      </c>
      <c r="J1865">
        <v>0.28999999999999998</v>
      </c>
      <c r="K1865" s="3">
        <v>1729.4748</v>
      </c>
      <c r="L1865" t="s">
        <v>852</v>
      </c>
      <c r="M1865" t="str">
        <f>VLOOKUP($E1865,Customer_Dim!$A$2:$F$501,3,FALSE)</f>
        <v>Female</v>
      </c>
      <c r="N1865" t="str">
        <f>VLOOKUP($E1865,Customer_Dim!$A$2:$F$501,5,FALSE)</f>
        <v>USA</v>
      </c>
      <c r="O1865" t="str">
        <f>VLOOKUP($E1865,Customer_Dim!$A$2:$F$501,6,FALSE)</f>
        <v>Platinum</v>
      </c>
      <c r="P1865" t="str">
        <f>VLOOKUP($A1865,Store_Dim!$A$2:$F$21,3,FALSE)</f>
        <v>WestThompsonborough</v>
      </c>
    </row>
    <row r="1866" spans="1:16" hidden="1" x14ac:dyDescent="0.25">
      <c r="A1866" t="s">
        <v>810</v>
      </c>
      <c r="B1866" t="s">
        <v>1020</v>
      </c>
      <c r="C1866" t="s">
        <v>714</v>
      </c>
      <c r="D1866" s="2">
        <v>45269</v>
      </c>
      <c r="E1866" t="s">
        <v>362</v>
      </c>
      <c r="F1866" t="str">
        <f>VLOOKUP($C1866,Product_Dim!$A$2:$D$101,3,FALSE)</f>
        <v>Fitzpatrick Ltd</v>
      </c>
      <c r="G1866" t="str">
        <f>VLOOKUP($C1866,Product_Dim!$A$2:$D$101,2,FALSE)</f>
        <v>Clothing</v>
      </c>
      <c r="H1866">
        <v>4</v>
      </c>
      <c r="I1866">
        <v>714.47</v>
      </c>
      <c r="J1866">
        <v>0.18</v>
      </c>
      <c r="K1866" s="3">
        <v>2343.4616000000001</v>
      </c>
      <c r="L1866" t="s">
        <v>857</v>
      </c>
      <c r="M1866" t="str">
        <f>VLOOKUP($E1866,Customer_Dim!$A$2:$F$501,3,FALSE)</f>
        <v>Female</v>
      </c>
      <c r="N1866" t="str">
        <f>VLOOKUP($E1866,Customer_Dim!$A$2:$F$501,5,FALSE)</f>
        <v>USA</v>
      </c>
      <c r="O1866" t="str">
        <f>VLOOKUP($E1866,Customer_Dim!$A$2:$F$501,6,FALSE)</f>
        <v>Bronze</v>
      </c>
      <c r="P1866" t="str">
        <f>VLOOKUP($A1866,Store_Dim!$A$2:$F$21,3,FALSE)</f>
        <v>WestThompsonborough</v>
      </c>
    </row>
    <row r="1867" spans="1:16" hidden="1" x14ac:dyDescent="0.25">
      <c r="A1867" t="s">
        <v>810</v>
      </c>
      <c r="B1867" t="s">
        <v>1649</v>
      </c>
      <c r="C1867" t="s">
        <v>714</v>
      </c>
      <c r="D1867" s="2">
        <v>45772</v>
      </c>
      <c r="E1867" t="s">
        <v>393</v>
      </c>
      <c r="F1867" t="str">
        <f>VLOOKUP($C1867,Product_Dim!$A$2:$D$101,3,FALSE)</f>
        <v>Fitzpatrick Ltd</v>
      </c>
      <c r="G1867" t="str">
        <f>VLOOKUP($C1867,Product_Dim!$A$2:$D$101,2,FALSE)</f>
        <v>Clothing</v>
      </c>
      <c r="H1867">
        <v>1</v>
      </c>
      <c r="I1867">
        <v>506.73</v>
      </c>
      <c r="J1867">
        <v>0.28999999999999998</v>
      </c>
      <c r="K1867" s="3">
        <v>359.7783</v>
      </c>
      <c r="L1867" t="s">
        <v>852</v>
      </c>
      <c r="M1867" t="str">
        <f>VLOOKUP($E1867,Customer_Dim!$A$2:$F$501,3,FALSE)</f>
        <v>Female</v>
      </c>
      <c r="N1867" t="str">
        <f>VLOOKUP($E1867,Customer_Dim!$A$2:$F$501,5,FALSE)</f>
        <v>USA</v>
      </c>
      <c r="O1867" t="str">
        <f>VLOOKUP($E1867,Customer_Dim!$A$2:$F$501,6,FALSE)</f>
        <v>Gold</v>
      </c>
      <c r="P1867" t="str">
        <f>VLOOKUP($A1867,Store_Dim!$A$2:$F$21,3,FALSE)</f>
        <v>WestThompsonborough</v>
      </c>
    </row>
    <row r="1868" spans="1:16" hidden="1" x14ac:dyDescent="0.25">
      <c r="A1868" t="s">
        <v>810</v>
      </c>
      <c r="B1868" t="s">
        <v>2366</v>
      </c>
      <c r="C1868" t="s">
        <v>588</v>
      </c>
      <c r="D1868" s="2">
        <v>45860</v>
      </c>
      <c r="E1868" t="s">
        <v>157</v>
      </c>
      <c r="F1868" t="str">
        <f>VLOOKUP($C1868,Product_Dim!$A$2:$D$101,3,FALSE)</f>
        <v>Harrell LLC</v>
      </c>
      <c r="G1868" t="str">
        <f>VLOOKUP($C1868,Product_Dim!$A$2:$D$101,2,FALSE)</f>
        <v>Home</v>
      </c>
      <c r="H1868">
        <v>4</v>
      </c>
      <c r="I1868">
        <v>797.83</v>
      </c>
      <c r="J1868">
        <v>0.08</v>
      </c>
      <c r="K1868" s="3">
        <v>2936.0144</v>
      </c>
      <c r="L1868" t="s">
        <v>852</v>
      </c>
      <c r="M1868" t="str">
        <f>VLOOKUP($E1868,Customer_Dim!$A$2:$F$501,3,FALSE)</f>
        <v>Female</v>
      </c>
      <c r="N1868" t="str">
        <f>VLOOKUP($E1868,Customer_Dim!$A$2:$F$501,5,FALSE)</f>
        <v>USA</v>
      </c>
      <c r="O1868" t="str">
        <f>VLOOKUP($E1868,Customer_Dim!$A$2:$F$501,6,FALSE)</f>
        <v>Platinum</v>
      </c>
      <c r="P1868" t="str">
        <f>VLOOKUP($A1868,Store_Dim!$A$2:$F$21,3,FALSE)</f>
        <v>WestThompsonborough</v>
      </c>
    </row>
    <row r="1869" spans="1:16" x14ac:dyDescent="0.25">
      <c r="A1869" t="s">
        <v>810</v>
      </c>
      <c r="B1869" t="s">
        <v>1125</v>
      </c>
      <c r="C1869" t="s">
        <v>716</v>
      </c>
      <c r="D1869" s="2">
        <v>45750</v>
      </c>
      <c r="E1869" t="s">
        <v>198</v>
      </c>
      <c r="F1869" t="str">
        <f>VLOOKUP($C1869,Product_Dim!$A$2:$D$101,3,FALSE)</f>
        <v>Duran Group</v>
      </c>
      <c r="G1869" t="str">
        <f>VLOOKUP($C1869,Product_Dim!$A$2:$D$101,2,FALSE)</f>
        <v>Home</v>
      </c>
      <c r="H1869">
        <v>2</v>
      </c>
      <c r="I1869">
        <v>105.15</v>
      </c>
      <c r="J1869">
        <v>0.06</v>
      </c>
      <c r="K1869" s="3">
        <v>197.68199999999999</v>
      </c>
      <c r="L1869" t="s">
        <v>852</v>
      </c>
      <c r="M1869" t="str">
        <f>VLOOKUP($E1869,Customer_Dim!$A$2:$F$501,3,FALSE)</f>
        <v>Male</v>
      </c>
      <c r="N1869" t="str">
        <f>VLOOKUP($E1869,Customer_Dim!$A$2:$F$501,5,FALSE)</f>
        <v>USA</v>
      </c>
      <c r="O1869" t="str">
        <f>VLOOKUP($E1869,Customer_Dim!$A$2:$F$501,6,FALSE)</f>
        <v>Gold</v>
      </c>
      <c r="P1869" t="str">
        <f>VLOOKUP($A1869,Store_Dim!$A$2:$F$21,3,FALSE)</f>
        <v>WestThompsonborough</v>
      </c>
    </row>
    <row r="1870" spans="1:16" hidden="1" x14ac:dyDescent="0.25">
      <c r="A1870" t="s">
        <v>810</v>
      </c>
      <c r="B1870" t="s">
        <v>861</v>
      </c>
      <c r="C1870" t="s">
        <v>716</v>
      </c>
      <c r="D1870" s="2">
        <v>45248</v>
      </c>
      <c r="E1870" t="s">
        <v>216</v>
      </c>
      <c r="F1870" t="str">
        <f>VLOOKUP($C1870,Product_Dim!$A$2:$D$101,3,FALSE)</f>
        <v>Duran Group</v>
      </c>
      <c r="G1870" t="str">
        <f>VLOOKUP($C1870,Product_Dim!$A$2:$D$101,2,FALSE)</f>
        <v>Home</v>
      </c>
      <c r="H1870">
        <v>4</v>
      </c>
      <c r="I1870">
        <v>342.39</v>
      </c>
      <c r="J1870">
        <v>0.23</v>
      </c>
      <c r="K1870" s="3">
        <v>1054.5612000000001</v>
      </c>
      <c r="L1870" t="s">
        <v>854</v>
      </c>
      <c r="M1870" t="str">
        <f>VLOOKUP($E1870,Customer_Dim!$A$2:$F$501,3,FALSE)</f>
        <v>Female</v>
      </c>
      <c r="N1870" t="str">
        <f>VLOOKUP($E1870,Customer_Dim!$A$2:$F$501,5,FALSE)</f>
        <v>USA</v>
      </c>
      <c r="O1870" t="str">
        <f>VLOOKUP($E1870,Customer_Dim!$A$2:$F$501,6,FALSE)</f>
        <v>Platinum</v>
      </c>
      <c r="P1870" t="str">
        <f>VLOOKUP($A1870,Store_Dim!$A$2:$F$21,3,FALSE)</f>
        <v>WestThompsonborough</v>
      </c>
    </row>
    <row r="1871" spans="1:16" x14ac:dyDescent="0.25">
      <c r="A1871" t="s">
        <v>810</v>
      </c>
      <c r="B1871" t="s">
        <v>1070</v>
      </c>
      <c r="C1871" t="s">
        <v>720</v>
      </c>
      <c r="D1871" s="2">
        <v>45854</v>
      </c>
      <c r="E1871" t="s">
        <v>217</v>
      </c>
      <c r="F1871" t="str">
        <f>VLOOKUP($C1871,Product_Dim!$A$2:$D$101,3,FALSE)</f>
        <v>Davis PLC</v>
      </c>
      <c r="G1871" t="str">
        <f>VLOOKUP($C1871,Product_Dim!$A$2:$D$101,2,FALSE)</f>
        <v>Sports</v>
      </c>
      <c r="H1871">
        <v>3</v>
      </c>
      <c r="I1871">
        <v>141.6</v>
      </c>
      <c r="J1871">
        <v>0.08</v>
      </c>
      <c r="K1871" s="3">
        <v>390.81599999999997</v>
      </c>
      <c r="L1871" t="s">
        <v>857</v>
      </c>
      <c r="M1871" t="str">
        <f>VLOOKUP($E1871,Customer_Dim!$A$2:$F$501,3,FALSE)</f>
        <v>Male</v>
      </c>
      <c r="N1871" t="str">
        <f>VLOOKUP($E1871,Customer_Dim!$A$2:$F$501,5,FALSE)</f>
        <v>USA</v>
      </c>
      <c r="O1871" t="str">
        <f>VLOOKUP($E1871,Customer_Dim!$A$2:$F$501,6,FALSE)</f>
        <v>Bronze</v>
      </c>
      <c r="P1871" t="str">
        <f>VLOOKUP($A1871,Store_Dim!$A$2:$F$21,3,FALSE)</f>
        <v>WestThompsonborough</v>
      </c>
    </row>
    <row r="1872" spans="1:16" x14ac:dyDescent="0.25">
      <c r="A1872" t="s">
        <v>810</v>
      </c>
      <c r="B1872" t="s">
        <v>2654</v>
      </c>
      <c r="C1872" t="s">
        <v>720</v>
      </c>
      <c r="D1872" s="2">
        <v>45249</v>
      </c>
      <c r="E1872" t="s">
        <v>348</v>
      </c>
      <c r="F1872" t="str">
        <f>VLOOKUP($C1872,Product_Dim!$A$2:$D$101,3,FALSE)</f>
        <v>Davis PLC</v>
      </c>
      <c r="G1872" t="str">
        <f>VLOOKUP($C1872,Product_Dim!$A$2:$D$101,2,FALSE)</f>
        <v>Sports</v>
      </c>
      <c r="H1872">
        <v>4</v>
      </c>
      <c r="I1872">
        <v>214.37</v>
      </c>
      <c r="J1872">
        <v>0.11</v>
      </c>
      <c r="K1872" s="3">
        <v>763.15719999999999</v>
      </c>
      <c r="L1872" t="s">
        <v>857</v>
      </c>
      <c r="M1872" t="str">
        <f>VLOOKUP($E1872,Customer_Dim!$A$2:$F$501,3,FALSE)</f>
        <v>Male</v>
      </c>
      <c r="N1872" t="str">
        <f>VLOOKUP($E1872,Customer_Dim!$A$2:$F$501,5,FALSE)</f>
        <v>USA</v>
      </c>
      <c r="O1872" t="str">
        <f>VLOOKUP($E1872,Customer_Dim!$A$2:$F$501,6,FALSE)</f>
        <v>Platinum</v>
      </c>
      <c r="P1872" t="str">
        <f>VLOOKUP($A1872,Store_Dim!$A$2:$F$21,3,FALSE)</f>
        <v>WestThompsonborough</v>
      </c>
    </row>
    <row r="1873" spans="1:16" hidden="1" x14ac:dyDescent="0.25">
      <c r="A1873" t="s">
        <v>810</v>
      </c>
      <c r="B1873" t="s">
        <v>1127</v>
      </c>
      <c r="C1873" t="s">
        <v>724</v>
      </c>
      <c r="D1873" s="2">
        <v>45667</v>
      </c>
      <c r="E1873" t="s">
        <v>379</v>
      </c>
      <c r="F1873" t="str">
        <f>VLOOKUP($C1873,Product_Dim!$A$2:$D$101,3,FALSE)</f>
        <v>Bruce-Bowen</v>
      </c>
      <c r="G1873" t="str">
        <f>VLOOKUP($C1873,Product_Dim!$A$2:$D$101,2,FALSE)</f>
        <v>Electronics</v>
      </c>
      <c r="H1873">
        <v>1</v>
      </c>
      <c r="I1873">
        <v>872.12</v>
      </c>
      <c r="J1873">
        <v>7.0000000000000007E-2</v>
      </c>
      <c r="K1873" s="3">
        <v>811.07159999999999</v>
      </c>
      <c r="L1873" t="s">
        <v>854</v>
      </c>
      <c r="M1873" t="str">
        <f>VLOOKUP($E1873,Customer_Dim!$A$2:$F$501,3,FALSE)</f>
        <v>Female</v>
      </c>
      <c r="N1873" t="str">
        <f>VLOOKUP($E1873,Customer_Dim!$A$2:$F$501,5,FALSE)</f>
        <v>USA</v>
      </c>
      <c r="O1873" t="str">
        <f>VLOOKUP($E1873,Customer_Dim!$A$2:$F$501,6,FALSE)</f>
        <v>Silver</v>
      </c>
      <c r="P1873" t="str">
        <f>VLOOKUP($A1873,Store_Dim!$A$2:$F$21,3,FALSE)</f>
        <v>WestThompsonborough</v>
      </c>
    </row>
    <row r="1874" spans="1:16" x14ac:dyDescent="0.25">
      <c r="A1874" t="s">
        <v>810</v>
      </c>
      <c r="B1874" t="s">
        <v>2723</v>
      </c>
      <c r="C1874" t="s">
        <v>724</v>
      </c>
      <c r="D1874" s="2">
        <v>45794</v>
      </c>
      <c r="E1874" t="s">
        <v>487</v>
      </c>
      <c r="F1874" t="str">
        <f>VLOOKUP($C1874,Product_Dim!$A$2:$D$101,3,FALSE)</f>
        <v>Bruce-Bowen</v>
      </c>
      <c r="G1874" t="str">
        <f>VLOOKUP($C1874,Product_Dim!$A$2:$D$101,2,FALSE)</f>
        <v>Electronics</v>
      </c>
      <c r="H1874">
        <v>3</v>
      </c>
      <c r="I1874">
        <v>943.24</v>
      </c>
      <c r="J1874">
        <v>0.21</v>
      </c>
      <c r="K1874" s="3">
        <v>2235.4787999999999</v>
      </c>
      <c r="L1874" t="s">
        <v>852</v>
      </c>
      <c r="M1874" t="str">
        <f>VLOOKUP($E1874,Customer_Dim!$A$2:$F$501,3,FALSE)</f>
        <v>Male</v>
      </c>
      <c r="N1874" t="str">
        <f>VLOOKUP($E1874,Customer_Dim!$A$2:$F$501,5,FALSE)</f>
        <v>USA</v>
      </c>
      <c r="O1874" t="str">
        <f>VLOOKUP($E1874,Customer_Dim!$A$2:$F$501,6,FALSE)</f>
        <v>Bronze</v>
      </c>
      <c r="P1874" t="str">
        <f>VLOOKUP($A1874,Store_Dim!$A$2:$F$21,3,FALSE)</f>
        <v>WestThompsonborough</v>
      </c>
    </row>
    <row r="1875" spans="1:16" hidden="1" x14ac:dyDescent="0.25">
      <c r="A1875" t="s">
        <v>810</v>
      </c>
      <c r="B1875" t="s">
        <v>2163</v>
      </c>
      <c r="C1875" t="s">
        <v>726</v>
      </c>
      <c r="D1875" s="2">
        <v>45401</v>
      </c>
      <c r="E1875" t="s">
        <v>153</v>
      </c>
      <c r="F1875" t="str">
        <f>VLOOKUP($C1875,Product_Dim!$A$2:$D$101,3,FALSE)</f>
        <v>Poole PLC</v>
      </c>
      <c r="G1875" t="str">
        <f>VLOOKUP($C1875,Product_Dim!$A$2:$D$101,2,FALSE)</f>
        <v>Clothing</v>
      </c>
      <c r="H1875">
        <v>4</v>
      </c>
      <c r="I1875">
        <v>488.72</v>
      </c>
      <c r="J1875">
        <v>0.23</v>
      </c>
      <c r="K1875" s="3">
        <v>1505.2575999999999</v>
      </c>
      <c r="L1875" t="s">
        <v>854</v>
      </c>
      <c r="M1875" t="str">
        <f>VLOOKUP($E1875,Customer_Dim!$A$2:$F$501,3,FALSE)</f>
        <v>Female</v>
      </c>
      <c r="N1875" t="str">
        <f>VLOOKUP($E1875,Customer_Dim!$A$2:$F$501,5,FALSE)</f>
        <v>USA</v>
      </c>
      <c r="O1875" t="str">
        <f>VLOOKUP($E1875,Customer_Dim!$A$2:$F$501,6,FALSE)</f>
        <v>Platinum</v>
      </c>
      <c r="P1875" t="str">
        <f>VLOOKUP($A1875,Store_Dim!$A$2:$F$21,3,FALSE)</f>
        <v>WestThompsonborough</v>
      </c>
    </row>
    <row r="1876" spans="1:16" x14ac:dyDescent="0.25">
      <c r="A1876" t="s">
        <v>810</v>
      </c>
      <c r="B1876" t="s">
        <v>886</v>
      </c>
      <c r="C1876" t="s">
        <v>726</v>
      </c>
      <c r="D1876" s="2">
        <v>45597</v>
      </c>
      <c r="E1876" t="s">
        <v>465</v>
      </c>
      <c r="F1876" t="str">
        <f>VLOOKUP($C1876,Product_Dim!$A$2:$D$101,3,FALSE)</f>
        <v>Poole PLC</v>
      </c>
      <c r="G1876" t="str">
        <f>VLOOKUP($C1876,Product_Dim!$A$2:$D$101,2,FALSE)</f>
        <v>Clothing</v>
      </c>
      <c r="H1876">
        <v>4</v>
      </c>
      <c r="I1876">
        <v>313.83</v>
      </c>
      <c r="J1876">
        <v>0.08</v>
      </c>
      <c r="K1876" s="3">
        <v>1154.8943999999999</v>
      </c>
      <c r="L1876" t="s">
        <v>852</v>
      </c>
      <c r="M1876" t="str">
        <f>VLOOKUP($E1876,Customer_Dim!$A$2:$F$501,3,FALSE)</f>
        <v>Male</v>
      </c>
      <c r="N1876" t="str">
        <f>VLOOKUP($E1876,Customer_Dim!$A$2:$F$501,5,FALSE)</f>
        <v>USA</v>
      </c>
      <c r="O1876" t="str">
        <f>VLOOKUP($E1876,Customer_Dim!$A$2:$F$501,6,FALSE)</f>
        <v>Bronze</v>
      </c>
      <c r="P1876" t="str">
        <f>VLOOKUP($A1876,Store_Dim!$A$2:$F$21,3,FALSE)</f>
        <v>WestThompsonborough</v>
      </c>
    </row>
    <row r="1877" spans="1:16" hidden="1" x14ac:dyDescent="0.25">
      <c r="A1877" t="s">
        <v>810</v>
      </c>
      <c r="B1877" t="s">
        <v>856</v>
      </c>
      <c r="C1877" t="s">
        <v>728</v>
      </c>
      <c r="D1877" s="2">
        <v>45259</v>
      </c>
      <c r="E1877" t="s">
        <v>413</v>
      </c>
      <c r="F1877" t="str">
        <f>VLOOKUP($C1877,Product_Dim!$A$2:$D$101,3,FALSE)</f>
        <v>Larson Ltd</v>
      </c>
      <c r="G1877" t="str">
        <f>VLOOKUP($C1877,Product_Dim!$A$2:$D$101,2,FALSE)</f>
        <v>Electronics</v>
      </c>
      <c r="H1877">
        <v>1</v>
      </c>
      <c r="I1877">
        <v>921.51</v>
      </c>
      <c r="J1877">
        <v>0.16</v>
      </c>
      <c r="K1877" s="3">
        <v>774.0684</v>
      </c>
      <c r="L1877" t="s">
        <v>857</v>
      </c>
      <c r="M1877" t="str">
        <f>VLOOKUP($E1877,Customer_Dim!$A$2:$F$501,3,FALSE)</f>
        <v>Female</v>
      </c>
      <c r="N1877" t="str">
        <f>VLOOKUP($E1877,Customer_Dim!$A$2:$F$501,5,FALSE)</f>
        <v>USA</v>
      </c>
      <c r="O1877" t="str">
        <f>VLOOKUP($E1877,Customer_Dim!$A$2:$F$501,6,FALSE)</f>
        <v>Platinum</v>
      </c>
      <c r="P1877" t="str">
        <f>VLOOKUP($A1877,Store_Dim!$A$2:$F$21,3,FALSE)</f>
        <v>WestThompsonborough</v>
      </c>
    </row>
    <row r="1878" spans="1:16" x14ac:dyDescent="0.25">
      <c r="A1878" t="s">
        <v>810</v>
      </c>
      <c r="B1878" t="s">
        <v>881</v>
      </c>
      <c r="C1878" t="s">
        <v>730</v>
      </c>
      <c r="D1878" s="2">
        <v>45710</v>
      </c>
      <c r="E1878" t="s">
        <v>265</v>
      </c>
      <c r="F1878" t="str">
        <f>VLOOKUP($C1878,Product_Dim!$A$2:$D$101,3,FALSE)</f>
        <v>White, Reeves and Woods</v>
      </c>
      <c r="G1878" t="str">
        <f>VLOOKUP($C1878,Product_Dim!$A$2:$D$101,2,FALSE)</f>
        <v>Electronics</v>
      </c>
      <c r="H1878">
        <v>3</v>
      </c>
      <c r="I1878">
        <v>815.49</v>
      </c>
      <c r="J1878">
        <v>0.17</v>
      </c>
      <c r="K1878" s="3">
        <v>2030.5700999999999</v>
      </c>
      <c r="L1878" t="s">
        <v>852</v>
      </c>
      <c r="M1878" t="str">
        <f>VLOOKUP($E1878,Customer_Dim!$A$2:$F$501,3,FALSE)</f>
        <v>Male</v>
      </c>
      <c r="N1878" t="str">
        <f>VLOOKUP($E1878,Customer_Dim!$A$2:$F$501,5,FALSE)</f>
        <v>USA</v>
      </c>
      <c r="O1878" t="str">
        <f>VLOOKUP($E1878,Customer_Dim!$A$2:$F$501,6,FALSE)</f>
        <v>Platinum</v>
      </c>
      <c r="P1878" t="str">
        <f>VLOOKUP($A1878,Store_Dim!$A$2:$F$21,3,FALSE)</f>
        <v>WestThompsonborough</v>
      </c>
    </row>
    <row r="1879" spans="1:16" hidden="1" x14ac:dyDescent="0.25">
      <c r="A1879" t="s">
        <v>810</v>
      </c>
      <c r="B1879" t="s">
        <v>1450</v>
      </c>
      <c r="C1879" t="s">
        <v>732</v>
      </c>
      <c r="D1879" s="2">
        <v>45842</v>
      </c>
      <c r="E1879" t="s">
        <v>267</v>
      </c>
      <c r="F1879" t="str">
        <f>VLOOKUP($C1879,Product_Dim!$A$2:$D$101,3,FALSE)</f>
        <v>Hernandez Inc</v>
      </c>
      <c r="G1879" t="str">
        <f>VLOOKUP($C1879,Product_Dim!$A$2:$D$101,2,FALSE)</f>
        <v>Home</v>
      </c>
      <c r="H1879">
        <v>4</v>
      </c>
      <c r="I1879">
        <v>870.18</v>
      </c>
      <c r="J1879">
        <v>0.13</v>
      </c>
      <c r="K1879" s="3">
        <v>3028.2264</v>
      </c>
      <c r="L1879" t="s">
        <v>857</v>
      </c>
      <c r="M1879" t="str">
        <f>VLOOKUP($E1879,Customer_Dim!$A$2:$F$501,3,FALSE)</f>
        <v>Female</v>
      </c>
      <c r="N1879" t="str">
        <f>VLOOKUP($E1879,Customer_Dim!$A$2:$F$501,5,FALSE)</f>
        <v>USA</v>
      </c>
      <c r="O1879" t="str">
        <f>VLOOKUP($E1879,Customer_Dim!$A$2:$F$501,6,FALSE)</f>
        <v>Platinum</v>
      </c>
      <c r="P1879" t="str">
        <f>VLOOKUP($A1879,Store_Dim!$A$2:$F$21,3,FALSE)</f>
        <v>WestThompsonborough</v>
      </c>
    </row>
    <row r="1880" spans="1:16" x14ac:dyDescent="0.25">
      <c r="A1880" t="s">
        <v>810</v>
      </c>
      <c r="B1880" t="s">
        <v>2786</v>
      </c>
      <c r="C1880" t="s">
        <v>732</v>
      </c>
      <c r="D1880" s="2">
        <v>45839</v>
      </c>
      <c r="E1880" t="s">
        <v>563</v>
      </c>
      <c r="F1880" t="str">
        <f>VLOOKUP($C1880,Product_Dim!$A$2:$D$101,3,FALSE)</f>
        <v>Hernandez Inc</v>
      </c>
      <c r="G1880" t="str">
        <f>VLOOKUP($C1880,Product_Dim!$A$2:$D$101,2,FALSE)</f>
        <v>Home</v>
      </c>
      <c r="H1880">
        <v>2</v>
      </c>
      <c r="I1880">
        <v>552.49</v>
      </c>
      <c r="J1880">
        <v>0.1</v>
      </c>
      <c r="K1880" s="3">
        <v>994.48200000000008</v>
      </c>
      <c r="L1880" t="s">
        <v>852</v>
      </c>
      <c r="M1880" t="str">
        <f>VLOOKUP($E1880,Customer_Dim!$A$2:$F$501,3,FALSE)</f>
        <v>Male</v>
      </c>
      <c r="N1880" t="str">
        <f>VLOOKUP($E1880,Customer_Dim!$A$2:$F$501,5,FALSE)</f>
        <v>USA</v>
      </c>
      <c r="O1880" t="str">
        <f>VLOOKUP($E1880,Customer_Dim!$A$2:$F$501,6,FALSE)</f>
        <v>Bronze</v>
      </c>
      <c r="P1880" t="str">
        <f>VLOOKUP($A1880,Store_Dim!$A$2:$F$21,3,FALSE)</f>
        <v>WestThompsonborough</v>
      </c>
    </row>
    <row r="1881" spans="1:16" x14ac:dyDescent="0.25">
      <c r="A1881" t="s">
        <v>810</v>
      </c>
      <c r="B1881" t="s">
        <v>2210</v>
      </c>
      <c r="C1881" t="s">
        <v>734</v>
      </c>
      <c r="D1881" s="2">
        <v>45564</v>
      </c>
      <c r="E1881" t="s">
        <v>260</v>
      </c>
      <c r="F1881" t="str">
        <f>VLOOKUP($C1881,Product_Dim!$A$2:$D$101,3,FALSE)</f>
        <v>Ramirez-Hanson</v>
      </c>
      <c r="G1881" t="str">
        <f>VLOOKUP($C1881,Product_Dim!$A$2:$D$101,2,FALSE)</f>
        <v>Home</v>
      </c>
      <c r="H1881">
        <v>3</v>
      </c>
      <c r="I1881">
        <v>141.54</v>
      </c>
      <c r="J1881">
        <v>0.12</v>
      </c>
      <c r="K1881" s="3">
        <v>373.66559999999998</v>
      </c>
      <c r="L1881" t="s">
        <v>854</v>
      </c>
      <c r="M1881" t="str">
        <f>VLOOKUP($E1881,Customer_Dim!$A$2:$F$501,3,FALSE)</f>
        <v>Male</v>
      </c>
      <c r="N1881" t="str">
        <f>VLOOKUP($E1881,Customer_Dim!$A$2:$F$501,5,FALSE)</f>
        <v>USA</v>
      </c>
      <c r="O1881" t="str">
        <f>VLOOKUP($E1881,Customer_Dim!$A$2:$F$501,6,FALSE)</f>
        <v>Silver</v>
      </c>
      <c r="P1881" t="str">
        <f>VLOOKUP($A1881,Store_Dim!$A$2:$F$21,3,FALSE)</f>
        <v>WestThompsonborough</v>
      </c>
    </row>
    <row r="1882" spans="1:16" hidden="1" x14ac:dyDescent="0.25">
      <c r="A1882" t="s">
        <v>810</v>
      </c>
      <c r="B1882" t="s">
        <v>1863</v>
      </c>
      <c r="C1882" t="s">
        <v>590</v>
      </c>
      <c r="D1882" s="2">
        <v>45740</v>
      </c>
      <c r="E1882" t="s">
        <v>161</v>
      </c>
      <c r="F1882" t="str">
        <f>VLOOKUP($C1882,Product_Dim!$A$2:$D$101,3,FALSE)</f>
        <v>Perez-Johnston</v>
      </c>
      <c r="G1882" t="str">
        <f>VLOOKUP($C1882,Product_Dim!$A$2:$D$101,2,FALSE)</f>
        <v>Electronics</v>
      </c>
      <c r="H1882">
        <v>4</v>
      </c>
      <c r="I1882">
        <v>56.37</v>
      </c>
      <c r="J1882">
        <v>0.17</v>
      </c>
      <c r="K1882" s="3">
        <v>187.14840000000001</v>
      </c>
      <c r="L1882" t="s">
        <v>852</v>
      </c>
      <c r="M1882" t="str">
        <f>VLOOKUP($E1882,Customer_Dim!$A$2:$F$501,3,FALSE)</f>
        <v>Female</v>
      </c>
      <c r="N1882" t="str">
        <f>VLOOKUP($E1882,Customer_Dim!$A$2:$F$501,5,FALSE)</f>
        <v>USA</v>
      </c>
      <c r="O1882" t="str">
        <f>VLOOKUP($E1882,Customer_Dim!$A$2:$F$501,6,FALSE)</f>
        <v>Platinum</v>
      </c>
      <c r="P1882" t="str">
        <f>VLOOKUP($A1882,Store_Dim!$A$2:$F$21,3,FALSE)</f>
        <v>WestThompsonborough</v>
      </c>
    </row>
    <row r="1883" spans="1:16" hidden="1" x14ac:dyDescent="0.25">
      <c r="A1883" t="s">
        <v>810</v>
      </c>
      <c r="B1883" t="s">
        <v>2678</v>
      </c>
      <c r="C1883" t="s">
        <v>590</v>
      </c>
      <c r="D1883" s="2">
        <v>45840</v>
      </c>
      <c r="E1883" t="s">
        <v>274</v>
      </c>
      <c r="F1883" t="str">
        <f>VLOOKUP($C1883,Product_Dim!$A$2:$D$101,3,FALSE)</f>
        <v>Perez-Johnston</v>
      </c>
      <c r="G1883" t="str">
        <f>VLOOKUP($C1883,Product_Dim!$A$2:$D$101,2,FALSE)</f>
        <v>Electronics</v>
      </c>
      <c r="H1883">
        <v>4</v>
      </c>
      <c r="I1883">
        <v>836.23</v>
      </c>
      <c r="J1883">
        <v>0.12</v>
      </c>
      <c r="K1883" s="3">
        <v>2943.5295999999998</v>
      </c>
      <c r="L1883" t="s">
        <v>852</v>
      </c>
      <c r="M1883" t="str">
        <f>VLOOKUP($E1883,Customer_Dim!$A$2:$F$501,3,FALSE)</f>
        <v>Female</v>
      </c>
      <c r="N1883" t="str">
        <f>VLOOKUP($E1883,Customer_Dim!$A$2:$F$501,5,FALSE)</f>
        <v>USA</v>
      </c>
      <c r="O1883" t="str">
        <f>VLOOKUP($E1883,Customer_Dim!$A$2:$F$501,6,FALSE)</f>
        <v>Platinum</v>
      </c>
      <c r="P1883" t="str">
        <f>VLOOKUP($A1883,Store_Dim!$A$2:$F$21,3,FALSE)</f>
        <v>WestThompsonborough</v>
      </c>
    </row>
    <row r="1884" spans="1:16" hidden="1" x14ac:dyDescent="0.25">
      <c r="A1884" t="s">
        <v>810</v>
      </c>
      <c r="B1884" t="s">
        <v>2505</v>
      </c>
      <c r="C1884" t="s">
        <v>590</v>
      </c>
      <c r="D1884" s="2">
        <v>45379</v>
      </c>
      <c r="E1884" t="s">
        <v>451</v>
      </c>
      <c r="F1884" t="str">
        <f>VLOOKUP($C1884,Product_Dim!$A$2:$D$101,3,FALSE)</f>
        <v>Perez-Johnston</v>
      </c>
      <c r="G1884" t="str">
        <f>VLOOKUP($C1884,Product_Dim!$A$2:$D$101,2,FALSE)</f>
        <v>Electronics</v>
      </c>
      <c r="H1884">
        <v>4</v>
      </c>
      <c r="I1884">
        <v>195.75</v>
      </c>
      <c r="J1884">
        <v>0.17</v>
      </c>
      <c r="K1884" s="3">
        <v>649.89</v>
      </c>
      <c r="L1884" t="s">
        <v>852</v>
      </c>
      <c r="M1884" t="str">
        <f>VLOOKUP($E1884,Customer_Dim!$A$2:$F$501,3,FALSE)</f>
        <v>Female</v>
      </c>
      <c r="N1884" t="str">
        <f>VLOOKUP($E1884,Customer_Dim!$A$2:$F$501,5,FALSE)</f>
        <v>USA</v>
      </c>
      <c r="O1884" t="str">
        <f>VLOOKUP($E1884,Customer_Dim!$A$2:$F$501,6,FALSE)</f>
        <v>Bronze</v>
      </c>
      <c r="P1884" t="str">
        <f>VLOOKUP($A1884,Store_Dim!$A$2:$F$21,3,FALSE)</f>
        <v>WestThompsonborough</v>
      </c>
    </row>
    <row r="1885" spans="1:16" hidden="1" x14ac:dyDescent="0.25">
      <c r="A1885" t="s">
        <v>810</v>
      </c>
      <c r="B1885" t="s">
        <v>1803</v>
      </c>
      <c r="C1885" t="s">
        <v>738</v>
      </c>
      <c r="D1885" s="2">
        <v>45399</v>
      </c>
      <c r="E1885" t="s">
        <v>480</v>
      </c>
      <c r="F1885" t="str">
        <f>VLOOKUP($C1885,Product_Dim!$A$2:$D$101,3,FALSE)</f>
        <v>Robinson-Brown</v>
      </c>
      <c r="G1885" t="str">
        <f>VLOOKUP($C1885,Product_Dim!$A$2:$D$101,2,FALSE)</f>
        <v>Sports</v>
      </c>
      <c r="H1885">
        <v>3</v>
      </c>
      <c r="I1885">
        <v>758.75</v>
      </c>
      <c r="J1885">
        <v>0.27</v>
      </c>
      <c r="K1885" s="3">
        <v>1661.6624999999999</v>
      </c>
      <c r="L1885" t="s">
        <v>854</v>
      </c>
      <c r="M1885" t="str">
        <f>VLOOKUP($E1885,Customer_Dim!$A$2:$F$501,3,FALSE)</f>
        <v>Female</v>
      </c>
      <c r="N1885" t="str">
        <f>VLOOKUP($E1885,Customer_Dim!$A$2:$F$501,5,FALSE)</f>
        <v>USA</v>
      </c>
      <c r="O1885" t="str">
        <f>VLOOKUP($E1885,Customer_Dim!$A$2:$F$501,6,FALSE)</f>
        <v>Bronze</v>
      </c>
      <c r="P1885" t="str">
        <f>VLOOKUP($A1885,Store_Dim!$A$2:$F$21,3,FALSE)</f>
        <v>WestThompsonborough</v>
      </c>
    </row>
    <row r="1886" spans="1:16" hidden="1" x14ac:dyDescent="0.25">
      <c r="A1886" t="s">
        <v>810</v>
      </c>
      <c r="B1886" t="s">
        <v>1853</v>
      </c>
      <c r="C1886" t="s">
        <v>738</v>
      </c>
      <c r="D1886" s="2">
        <v>45304</v>
      </c>
      <c r="E1886" t="s">
        <v>488</v>
      </c>
      <c r="F1886" t="str">
        <f>VLOOKUP($C1886,Product_Dim!$A$2:$D$101,3,FALSE)</f>
        <v>Robinson-Brown</v>
      </c>
      <c r="G1886" t="str">
        <f>VLOOKUP($C1886,Product_Dim!$A$2:$D$101,2,FALSE)</f>
        <v>Sports</v>
      </c>
      <c r="H1886">
        <v>4</v>
      </c>
      <c r="I1886">
        <v>22.51</v>
      </c>
      <c r="J1886">
        <v>0.27</v>
      </c>
      <c r="K1886" s="3">
        <v>65.729200000000006</v>
      </c>
      <c r="L1886" t="s">
        <v>854</v>
      </c>
      <c r="M1886" t="str">
        <f>VLOOKUP($E1886,Customer_Dim!$A$2:$F$501,3,FALSE)</f>
        <v>Female</v>
      </c>
      <c r="N1886" t="str">
        <f>VLOOKUP($E1886,Customer_Dim!$A$2:$F$501,5,FALSE)</f>
        <v>USA</v>
      </c>
      <c r="O1886" t="str">
        <f>VLOOKUP($E1886,Customer_Dim!$A$2:$F$501,6,FALSE)</f>
        <v>Platinum</v>
      </c>
      <c r="P1886" t="str">
        <f>VLOOKUP($A1886,Store_Dim!$A$2:$F$21,3,FALSE)</f>
        <v>WestThompsonborough</v>
      </c>
    </row>
    <row r="1887" spans="1:16" x14ac:dyDescent="0.25">
      <c r="A1887" t="s">
        <v>810</v>
      </c>
      <c r="B1887" t="s">
        <v>2302</v>
      </c>
      <c r="C1887" t="s">
        <v>740</v>
      </c>
      <c r="D1887" s="2">
        <v>45587</v>
      </c>
      <c r="E1887" t="s">
        <v>182</v>
      </c>
      <c r="F1887" t="str">
        <f>VLOOKUP($C1887,Product_Dim!$A$2:$D$101,3,FALSE)</f>
        <v>Reese-Watson</v>
      </c>
      <c r="G1887" t="str">
        <f>VLOOKUP($C1887,Product_Dim!$A$2:$D$101,2,FALSE)</f>
        <v>Sports</v>
      </c>
      <c r="H1887">
        <v>4</v>
      </c>
      <c r="I1887">
        <v>892.28</v>
      </c>
      <c r="J1887">
        <v>0.23</v>
      </c>
      <c r="K1887" s="3">
        <v>2748.2224000000001</v>
      </c>
      <c r="L1887" t="s">
        <v>852</v>
      </c>
      <c r="M1887" t="str">
        <f>VLOOKUP($E1887,Customer_Dim!$A$2:$F$501,3,FALSE)</f>
        <v>Male</v>
      </c>
      <c r="N1887" t="str">
        <f>VLOOKUP($E1887,Customer_Dim!$A$2:$F$501,5,FALSE)</f>
        <v>USA</v>
      </c>
      <c r="O1887" t="str">
        <f>VLOOKUP($E1887,Customer_Dim!$A$2:$F$501,6,FALSE)</f>
        <v>Bronze</v>
      </c>
      <c r="P1887" t="str">
        <f>VLOOKUP($A1887,Store_Dim!$A$2:$F$21,3,FALSE)</f>
        <v>WestThompsonborough</v>
      </c>
    </row>
    <row r="1888" spans="1:16" x14ac:dyDescent="0.25">
      <c r="A1888" t="s">
        <v>810</v>
      </c>
      <c r="B1888" t="s">
        <v>1392</v>
      </c>
      <c r="C1888" t="s">
        <v>740</v>
      </c>
      <c r="D1888" s="2">
        <v>45881</v>
      </c>
      <c r="E1888" t="s">
        <v>455</v>
      </c>
      <c r="F1888" t="str">
        <f>VLOOKUP($C1888,Product_Dim!$A$2:$D$101,3,FALSE)</f>
        <v>Reese-Watson</v>
      </c>
      <c r="G1888" t="str">
        <f>VLOOKUP($C1888,Product_Dim!$A$2:$D$101,2,FALSE)</f>
        <v>Sports</v>
      </c>
      <c r="H1888">
        <v>3</v>
      </c>
      <c r="I1888">
        <v>787.91</v>
      </c>
      <c r="J1888">
        <v>0.06</v>
      </c>
      <c r="K1888" s="3">
        <v>2221.9061999999999</v>
      </c>
      <c r="L1888" t="s">
        <v>854</v>
      </c>
      <c r="M1888" t="str">
        <f>VLOOKUP($E1888,Customer_Dim!$A$2:$F$501,3,FALSE)</f>
        <v>Male</v>
      </c>
      <c r="N1888" t="str">
        <f>VLOOKUP($E1888,Customer_Dim!$A$2:$F$501,5,FALSE)</f>
        <v>USA</v>
      </c>
      <c r="O1888" t="str">
        <f>VLOOKUP($E1888,Customer_Dim!$A$2:$F$501,6,FALSE)</f>
        <v>Platinum</v>
      </c>
      <c r="P1888" t="str">
        <f>VLOOKUP($A1888,Store_Dim!$A$2:$F$21,3,FALSE)</f>
        <v>WestThompsonborough</v>
      </c>
    </row>
    <row r="1889" spans="1:16" x14ac:dyDescent="0.25">
      <c r="A1889" t="s">
        <v>810</v>
      </c>
      <c r="B1889" t="s">
        <v>2092</v>
      </c>
      <c r="C1889" t="s">
        <v>742</v>
      </c>
      <c r="D1889" s="2">
        <v>45771</v>
      </c>
      <c r="E1889" t="s">
        <v>258</v>
      </c>
      <c r="F1889" t="str">
        <f>VLOOKUP($C1889,Product_Dim!$A$2:$D$101,3,FALSE)</f>
        <v>Butler Group</v>
      </c>
      <c r="G1889" t="str">
        <f>VLOOKUP($C1889,Product_Dim!$A$2:$D$101,2,FALSE)</f>
        <v>Beauty</v>
      </c>
      <c r="H1889">
        <v>2</v>
      </c>
      <c r="I1889">
        <v>327.25</v>
      </c>
      <c r="J1889">
        <v>0.19</v>
      </c>
      <c r="K1889" s="3">
        <v>530.14499999999998</v>
      </c>
      <c r="L1889" t="s">
        <v>854</v>
      </c>
      <c r="M1889" t="str">
        <f>VLOOKUP($E1889,Customer_Dim!$A$2:$F$501,3,FALSE)</f>
        <v>Male</v>
      </c>
      <c r="N1889" t="str">
        <f>VLOOKUP($E1889,Customer_Dim!$A$2:$F$501,5,FALSE)</f>
        <v>USA</v>
      </c>
      <c r="O1889" t="str">
        <f>VLOOKUP($E1889,Customer_Dim!$A$2:$F$501,6,FALSE)</f>
        <v>Gold</v>
      </c>
      <c r="P1889" t="str">
        <f>VLOOKUP($A1889,Store_Dim!$A$2:$F$21,3,FALSE)</f>
        <v>WestThompsonborough</v>
      </c>
    </row>
    <row r="1890" spans="1:16" x14ac:dyDescent="0.25">
      <c r="A1890" t="s">
        <v>810</v>
      </c>
      <c r="B1890" t="s">
        <v>932</v>
      </c>
      <c r="C1890" t="s">
        <v>742</v>
      </c>
      <c r="D1890" s="2">
        <v>45609</v>
      </c>
      <c r="E1890" t="s">
        <v>287</v>
      </c>
      <c r="F1890" t="str">
        <f>VLOOKUP($C1890,Product_Dim!$A$2:$D$101,3,FALSE)</f>
        <v>Butler Group</v>
      </c>
      <c r="G1890" t="str">
        <f>VLOOKUP($C1890,Product_Dim!$A$2:$D$101,2,FALSE)</f>
        <v>Beauty</v>
      </c>
      <c r="H1890">
        <v>2</v>
      </c>
      <c r="I1890">
        <v>900.55</v>
      </c>
      <c r="J1890">
        <v>0.16</v>
      </c>
      <c r="K1890" s="3">
        <v>1512.924</v>
      </c>
      <c r="L1890" t="s">
        <v>852</v>
      </c>
      <c r="M1890" t="str">
        <f>VLOOKUP($E1890,Customer_Dim!$A$2:$F$501,3,FALSE)</f>
        <v>Male</v>
      </c>
      <c r="N1890" t="str">
        <f>VLOOKUP($E1890,Customer_Dim!$A$2:$F$501,5,FALSE)</f>
        <v>USA</v>
      </c>
      <c r="O1890" t="str">
        <f>VLOOKUP($E1890,Customer_Dim!$A$2:$F$501,6,FALSE)</f>
        <v>Platinum</v>
      </c>
      <c r="P1890" t="str">
        <f>VLOOKUP($A1890,Store_Dim!$A$2:$F$21,3,FALSE)</f>
        <v>WestThompsonborough</v>
      </c>
    </row>
    <row r="1891" spans="1:16" hidden="1" x14ac:dyDescent="0.25">
      <c r="A1891" t="s">
        <v>810</v>
      </c>
      <c r="B1891" t="s">
        <v>2772</v>
      </c>
      <c r="C1891" t="s">
        <v>744</v>
      </c>
      <c r="D1891" s="2">
        <v>45921</v>
      </c>
      <c r="E1891" t="s">
        <v>272</v>
      </c>
      <c r="F1891" t="str">
        <f>VLOOKUP($C1891,Product_Dim!$A$2:$D$101,3,FALSE)</f>
        <v>Collins-Stephenson</v>
      </c>
      <c r="G1891" t="str">
        <f>VLOOKUP($C1891,Product_Dim!$A$2:$D$101,2,FALSE)</f>
        <v>Home</v>
      </c>
      <c r="H1891">
        <v>2</v>
      </c>
      <c r="I1891">
        <v>30.14</v>
      </c>
      <c r="J1891">
        <v>0.21</v>
      </c>
      <c r="K1891" s="3">
        <v>47.621200000000002</v>
      </c>
      <c r="L1891" t="s">
        <v>852</v>
      </c>
      <c r="M1891" t="str">
        <f>VLOOKUP($E1891,Customer_Dim!$A$2:$F$501,3,FALSE)</f>
        <v>Female</v>
      </c>
      <c r="N1891" t="str">
        <f>VLOOKUP($E1891,Customer_Dim!$A$2:$F$501,5,FALSE)</f>
        <v>USA</v>
      </c>
      <c r="O1891" t="str">
        <f>VLOOKUP($E1891,Customer_Dim!$A$2:$F$501,6,FALSE)</f>
        <v>Bronze</v>
      </c>
      <c r="P1891" t="str">
        <f>VLOOKUP($A1891,Store_Dim!$A$2:$F$21,3,FALSE)</f>
        <v>WestThompsonborough</v>
      </c>
    </row>
    <row r="1892" spans="1:16" x14ac:dyDescent="0.25">
      <c r="A1892" t="s">
        <v>810</v>
      </c>
      <c r="B1892" t="s">
        <v>1660</v>
      </c>
      <c r="C1892" t="s">
        <v>744</v>
      </c>
      <c r="D1892" s="2">
        <v>45414</v>
      </c>
      <c r="E1892" t="s">
        <v>342</v>
      </c>
      <c r="F1892" t="str">
        <f>VLOOKUP($C1892,Product_Dim!$A$2:$D$101,3,FALSE)</f>
        <v>Collins-Stephenson</v>
      </c>
      <c r="G1892" t="str">
        <f>VLOOKUP($C1892,Product_Dim!$A$2:$D$101,2,FALSE)</f>
        <v>Home</v>
      </c>
      <c r="H1892">
        <v>3</v>
      </c>
      <c r="I1892">
        <v>654.47</v>
      </c>
      <c r="J1892">
        <v>0.18</v>
      </c>
      <c r="K1892" s="3">
        <v>1609.9962</v>
      </c>
      <c r="L1892" t="s">
        <v>857</v>
      </c>
      <c r="M1892" t="str">
        <f>VLOOKUP($E1892,Customer_Dim!$A$2:$F$501,3,FALSE)</f>
        <v>Male</v>
      </c>
      <c r="N1892" t="str">
        <f>VLOOKUP($E1892,Customer_Dim!$A$2:$F$501,5,FALSE)</f>
        <v>USA</v>
      </c>
      <c r="O1892" t="str">
        <f>VLOOKUP($E1892,Customer_Dim!$A$2:$F$501,6,FALSE)</f>
        <v>Gold</v>
      </c>
      <c r="P1892" t="str">
        <f>VLOOKUP($A1892,Store_Dim!$A$2:$F$21,3,FALSE)</f>
        <v>WestThompsonborough</v>
      </c>
    </row>
    <row r="1893" spans="1:16" x14ac:dyDescent="0.25">
      <c r="A1893" t="s">
        <v>810</v>
      </c>
      <c r="B1893" t="s">
        <v>2848</v>
      </c>
      <c r="C1893" t="s">
        <v>744</v>
      </c>
      <c r="D1893" s="2">
        <v>45844</v>
      </c>
      <c r="E1893" t="s">
        <v>540</v>
      </c>
      <c r="F1893" t="str">
        <f>VLOOKUP($C1893,Product_Dim!$A$2:$D$101,3,FALSE)</f>
        <v>Collins-Stephenson</v>
      </c>
      <c r="G1893" t="str">
        <f>VLOOKUP($C1893,Product_Dim!$A$2:$D$101,2,FALSE)</f>
        <v>Home</v>
      </c>
      <c r="H1893">
        <v>1</v>
      </c>
      <c r="I1893">
        <v>905.23</v>
      </c>
      <c r="J1893">
        <v>0</v>
      </c>
      <c r="K1893" s="3">
        <v>905.23</v>
      </c>
      <c r="L1893" t="s">
        <v>852</v>
      </c>
      <c r="M1893" t="str">
        <f>VLOOKUP($E1893,Customer_Dim!$A$2:$F$501,3,FALSE)</f>
        <v>Male</v>
      </c>
      <c r="N1893" t="str">
        <f>VLOOKUP($E1893,Customer_Dim!$A$2:$F$501,5,FALSE)</f>
        <v>USA</v>
      </c>
      <c r="O1893" t="str">
        <f>VLOOKUP($E1893,Customer_Dim!$A$2:$F$501,6,FALSE)</f>
        <v>Bronze</v>
      </c>
      <c r="P1893" t="str">
        <f>VLOOKUP($A1893,Store_Dim!$A$2:$F$21,3,FALSE)</f>
        <v>WestThompsonborough</v>
      </c>
    </row>
    <row r="1894" spans="1:16" hidden="1" x14ac:dyDescent="0.25">
      <c r="A1894" t="s">
        <v>810</v>
      </c>
      <c r="B1894" t="s">
        <v>1835</v>
      </c>
      <c r="C1894" t="s">
        <v>746</v>
      </c>
      <c r="D1894" s="2">
        <v>45481</v>
      </c>
      <c r="E1894" t="s">
        <v>512</v>
      </c>
      <c r="F1894" t="str">
        <f>VLOOKUP($C1894,Product_Dim!$A$2:$D$101,3,FALSE)</f>
        <v>Richardson-Carrillo</v>
      </c>
      <c r="G1894" t="str">
        <f>VLOOKUP($C1894,Product_Dim!$A$2:$D$101,2,FALSE)</f>
        <v>Clothing</v>
      </c>
      <c r="H1894">
        <v>2</v>
      </c>
      <c r="I1894">
        <v>943.93</v>
      </c>
      <c r="J1894">
        <v>0.22</v>
      </c>
      <c r="K1894" s="3">
        <v>1472.5308</v>
      </c>
      <c r="L1894" t="s">
        <v>854</v>
      </c>
      <c r="M1894" t="str">
        <f>VLOOKUP($E1894,Customer_Dim!$A$2:$F$501,3,FALSE)</f>
        <v>Female</v>
      </c>
      <c r="N1894" t="str">
        <f>VLOOKUP($E1894,Customer_Dim!$A$2:$F$501,5,FALSE)</f>
        <v>USA</v>
      </c>
      <c r="O1894" t="str">
        <f>VLOOKUP($E1894,Customer_Dim!$A$2:$F$501,6,FALSE)</f>
        <v>Platinum</v>
      </c>
      <c r="P1894" t="str">
        <f>VLOOKUP($A1894,Store_Dim!$A$2:$F$21,3,FALSE)</f>
        <v>WestThompsonborough</v>
      </c>
    </row>
    <row r="1895" spans="1:16" x14ac:dyDescent="0.25">
      <c r="A1895" t="s">
        <v>810</v>
      </c>
      <c r="B1895" t="s">
        <v>1093</v>
      </c>
      <c r="C1895" t="s">
        <v>748</v>
      </c>
      <c r="D1895" s="2">
        <v>45861</v>
      </c>
      <c r="E1895" t="s">
        <v>281</v>
      </c>
      <c r="F1895" t="str">
        <f>VLOOKUP($C1895,Product_Dim!$A$2:$D$101,3,FALSE)</f>
        <v>Taylor, Dodson and Johnston</v>
      </c>
      <c r="G1895" t="str">
        <f>VLOOKUP($C1895,Product_Dim!$A$2:$D$101,2,FALSE)</f>
        <v>Home</v>
      </c>
      <c r="H1895">
        <v>3</v>
      </c>
      <c r="I1895">
        <v>91.7</v>
      </c>
      <c r="J1895">
        <v>0.08</v>
      </c>
      <c r="K1895" s="3">
        <v>253.09200000000001</v>
      </c>
      <c r="L1895" t="s">
        <v>857</v>
      </c>
      <c r="M1895" t="str">
        <f>VLOOKUP($E1895,Customer_Dim!$A$2:$F$501,3,FALSE)</f>
        <v>Male</v>
      </c>
      <c r="N1895" t="str">
        <f>VLOOKUP($E1895,Customer_Dim!$A$2:$F$501,5,FALSE)</f>
        <v>USA</v>
      </c>
      <c r="O1895" t="str">
        <f>VLOOKUP($E1895,Customer_Dim!$A$2:$F$501,6,FALSE)</f>
        <v>Platinum</v>
      </c>
      <c r="P1895" t="str">
        <f>VLOOKUP($A1895,Store_Dim!$A$2:$F$21,3,FALSE)</f>
        <v>WestThompsonborough</v>
      </c>
    </row>
    <row r="1896" spans="1:16" x14ac:dyDescent="0.25">
      <c r="A1896" t="s">
        <v>810</v>
      </c>
      <c r="B1896" t="s">
        <v>1208</v>
      </c>
      <c r="C1896" t="s">
        <v>750</v>
      </c>
      <c r="D1896" s="2">
        <v>45398</v>
      </c>
      <c r="E1896" t="s">
        <v>314</v>
      </c>
      <c r="F1896" t="str">
        <f>VLOOKUP($C1896,Product_Dim!$A$2:$D$101,3,FALSE)</f>
        <v>Aguilar, Horton and Lewis</v>
      </c>
      <c r="G1896" t="str">
        <f>VLOOKUP($C1896,Product_Dim!$A$2:$D$101,2,FALSE)</f>
        <v>Home</v>
      </c>
      <c r="H1896">
        <v>4</v>
      </c>
      <c r="I1896">
        <v>289.66000000000003</v>
      </c>
      <c r="J1896">
        <v>0.25</v>
      </c>
      <c r="K1896" s="3">
        <v>868.98</v>
      </c>
      <c r="L1896" t="s">
        <v>857</v>
      </c>
      <c r="M1896" t="str">
        <f>VLOOKUP($E1896,Customer_Dim!$A$2:$F$501,3,FALSE)</f>
        <v>Male</v>
      </c>
      <c r="N1896" t="str">
        <f>VLOOKUP($E1896,Customer_Dim!$A$2:$F$501,5,FALSE)</f>
        <v>USA</v>
      </c>
      <c r="O1896" t="str">
        <f>VLOOKUP($E1896,Customer_Dim!$A$2:$F$501,6,FALSE)</f>
        <v>Gold</v>
      </c>
      <c r="P1896" t="str">
        <f>VLOOKUP($A1896,Store_Dim!$A$2:$F$21,3,FALSE)</f>
        <v>WestThompsonborough</v>
      </c>
    </row>
    <row r="1897" spans="1:16" x14ac:dyDescent="0.25">
      <c r="A1897" t="s">
        <v>810</v>
      </c>
      <c r="B1897" t="s">
        <v>1807</v>
      </c>
      <c r="C1897" t="s">
        <v>750</v>
      </c>
      <c r="D1897" s="2">
        <v>45377</v>
      </c>
      <c r="E1897" t="s">
        <v>536</v>
      </c>
      <c r="F1897" t="str">
        <f>VLOOKUP($C1897,Product_Dim!$A$2:$D$101,3,FALSE)</f>
        <v>Aguilar, Horton and Lewis</v>
      </c>
      <c r="G1897" t="str">
        <f>VLOOKUP($C1897,Product_Dim!$A$2:$D$101,2,FALSE)</f>
        <v>Home</v>
      </c>
      <c r="H1897">
        <v>3</v>
      </c>
      <c r="I1897">
        <v>662.82</v>
      </c>
      <c r="J1897">
        <v>0.01</v>
      </c>
      <c r="K1897" s="3">
        <v>1968.5753999999999</v>
      </c>
      <c r="L1897" t="s">
        <v>857</v>
      </c>
      <c r="M1897" t="str">
        <f>VLOOKUP($E1897,Customer_Dim!$A$2:$F$501,3,FALSE)</f>
        <v>Male</v>
      </c>
      <c r="N1897" t="str">
        <f>VLOOKUP($E1897,Customer_Dim!$A$2:$F$501,5,FALSE)</f>
        <v>USA</v>
      </c>
      <c r="O1897" t="str">
        <f>VLOOKUP($E1897,Customer_Dim!$A$2:$F$501,6,FALSE)</f>
        <v>Gold</v>
      </c>
      <c r="P1897" t="str">
        <f>VLOOKUP($A1897,Store_Dim!$A$2:$F$21,3,FALSE)</f>
        <v>WestThompsonborough</v>
      </c>
    </row>
    <row r="1898" spans="1:16" x14ac:dyDescent="0.25">
      <c r="A1898" t="s">
        <v>810</v>
      </c>
      <c r="B1898" t="s">
        <v>2321</v>
      </c>
      <c r="C1898" t="s">
        <v>593</v>
      </c>
      <c r="D1898" s="2">
        <v>45568</v>
      </c>
      <c r="E1898" t="s">
        <v>476</v>
      </c>
      <c r="F1898" t="str">
        <f>VLOOKUP($C1898,Product_Dim!$A$2:$D$101,3,FALSE)</f>
        <v>Hill PLC</v>
      </c>
      <c r="G1898" t="str">
        <f>VLOOKUP($C1898,Product_Dim!$A$2:$D$101,2,FALSE)</f>
        <v>Sports</v>
      </c>
      <c r="H1898">
        <v>3</v>
      </c>
      <c r="I1898">
        <v>136.4</v>
      </c>
      <c r="J1898">
        <v>0.15</v>
      </c>
      <c r="K1898" s="3">
        <v>347.82000000000011</v>
      </c>
      <c r="L1898" t="s">
        <v>854</v>
      </c>
      <c r="M1898" t="str">
        <f>VLOOKUP($E1898,Customer_Dim!$A$2:$F$501,3,FALSE)</f>
        <v>Male</v>
      </c>
      <c r="N1898" t="str">
        <f>VLOOKUP($E1898,Customer_Dim!$A$2:$F$501,5,FALSE)</f>
        <v>USA</v>
      </c>
      <c r="O1898" t="str">
        <f>VLOOKUP($E1898,Customer_Dim!$A$2:$F$501,6,FALSE)</f>
        <v>Gold</v>
      </c>
      <c r="P1898" t="str">
        <f>VLOOKUP($A1898,Store_Dim!$A$2:$F$21,3,FALSE)</f>
        <v>WestThompsonborough</v>
      </c>
    </row>
    <row r="1899" spans="1:16" hidden="1" x14ac:dyDescent="0.25">
      <c r="A1899" t="s">
        <v>810</v>
      </c>
      <c r="B1899" t="s">
        <v>1878</v>
      </c>
      <c r="C1899" t="s">
        <v>766</v>
      </c>
      <c r="D1899" s="2">
        <v>45354</v>
      </c>
      <c r="E1899" t="s">
        <v>435</v>
      </c>
      <c r="F1899" t="str">
        <f>VLOOKUP($C1899,Product_Dim!$A$2:$D$101,3,FALSE)</f>
        <v>Wilson Group</v>
      </c>
      <c r="G1899" t="str">
        <f>VLOOKUP($C1899,Product_Dim!$A$2:$D$101,2,FALSE)</f>
        <v>Sports</v>
      </c>
      <c r="H1899">
        <v>1</v>
      </c>
      <c r="I1899">
        <v>329.94</v>
      </c>
      <c r="J1899">
        <v>0.14000000000000001</v>
      </c>
      <c r="K1899" s="3">
        <v>283.7484</v>
      </c>
      <c r="L1899" t="s">
        <v>857</v>
      </c>
      <c r="M1899" t="str">
        <f>VLOOKUP($E1899,Customer_Dim!$A$2:$F$501,3,FALSE)</f>
        <v>Female</v>
      </c>
      <c r="N1899" t="str">
        <f>VLOOKUP($E1899,Customer_Dim!$A$2:$F$501,5,FALSE)</f>
        <v>USA</v>
      </c>
      <c r="O1899" t="str">
        <f>VLOOKUP($E1899,Customer_Dim!$A$2:$F$501,6,FALSE)</f>
        <v>Platinum</v>
      </c>
      <c r="P1899" t="str">
        <f>VLOOKUP($A1899,Store_Dim!$A$2:$F$21,3,FALSE)</f>
        <v>WestThompsonborough</v>
      </c>
    </row>
    <row r="1900" spans="1:16" hidden="1" x14ac:dyDescent="0.25">
      <c r="A1900" t="s">
        <v>810</v>
      </c>
      <c r="B1900" t="s">
        <v>2532</v>
      </c>
      <c r="C1900" t="s">
        <v>772</v>
      </c>
      <c r="D1900" s="2">
        <v>45679</v>
      </c>
      <c r="E1900" t="s">
        <v>168</v>
      </c>
      <c r="F1900" t="str">
        <f>VLOOKUP($C1900,Product_Dim!$A$2:$D$101,3,FALSE)</f>
        <v>Flores-King</v>
      </c>
      <c r="G1900" t="str">
        <f>VLOOKUP($C1900,Product_Dim!$A$2:$D$101,2,FALSE)</f>
        <v>Electronics</v>
      </c>
      <c r="H1900">
        <v>1</v>
      </c>
      <c r="I1900">
        <v>343.03</v>
      </c>
      <c r="J1900">
        <v>0.16</v>
      </c>
      <c r="K1900" s="3">
        <v>288.14519999999999</v>
      </c>
      <c r="L1900" t="s">
        <v>852</v>
      </c>
      <c r="M1900" t="str">
        <f>VLOOKUP($E1900,Customer_Dim!$A$2:$F$501,3,FALSE)</f>
        <v>Female</v>
      </c>
      <c r="N1900" t="str">
        <f>VLOOKUP($E1900,Customer_Dim!$A$2:$F$501,5,FALSE)</f>
        <v>USA</v>
      </c>
      <c r="O1900" t="str">
        <f>VLOOKUP($E1900,Customer_Dim!$A$2:$F$501,6,FALSE)</f>
        <v>Bronze</v>
      </c>
      <c r="P1900" t="str">
        <f>VLOOKUP($A1900,Store_Dim!$A$2:$F$21,3,FALSE)</f>
        <v>WestThompsonborough</v>
      </c>
    </row>
    <row r="1901" spans="1:16" hidden="1" x14ac:dyDescent="0.25">
      <c r="A1901" t="s">
        <v>810</v>
      </c>
      <c r="B1901" t="s">
        <v>880</v>
      </c>
      <c r="C1901" t="s">
        <v>772</v>
      </c>
      <c r="D1901" s="2">
        <v>45294</v>
      </c>
      <c r="E1901" t="s">
        <v>278</v>
      </c>
      <c r="F1901" t="str">
        <f>VLOOKUP($C1901,Product_Dim!$A$2:$D$101,3,FALSE)</f>
        <v>Flores-King</v>
      </c>
      <c r="G1901" t="str">
        <f>VLOOKUP($C1901,Product_Dim!$A$2:$D$101,2,FALSE)</f>
        <v>Electronics</v>
      </c>
      <c r="H1901">
        <v>4</v>
      </c>
      <c r="I1901">
        <v>156.16</v>
      </c>
      <c r="J1901">
        <v>0</v>
      </c>
      <c r="K1901" s="3">
        <v>599.65440000000001</v>
      </c>
      <c r="L1901" t="s">
        <v>852</v>
      </c>
      <c r="M1901" t="str">
        <f>VLOOKUP($E1901,Customer_Dim!$A$2:$F$501,3,FALSE)</f>
        <v>Female</v>
      </c>
      <c r="N1901" t="str">
        <f>VLOOKUP($E1901,Customer_Dim!$A$2:$F$501,5,FALSE)</f>
        <v>USA</v>
      </c>
      <c r="O1901" t="str">
        <f>VLOOKUP($E1901,Customer_Dim!$A$2:$F$501,6,FALSE)</f>
        <v>Platinum</v>
      </c>
      <c r="P1901" t="str">
        <f>VLOOKUP($A1901,Store_Dim!$A$2:$F$21,3,FALSE)</f>
        <v>WestThompsonborough</v>
      </c>
    </row>
    <row r="1902" spans="1:16" hidden="1" x14ac:dyDescent="0.25">
      <c r="A1902" t="s">
        <v>810</v>
      </c>
      <c r="B1902" t="s">
        <v>2127</v>
      </c>
      <c r="C1902" t="s">
        <v>772</v>
      </c>
      <c r="D1902" s="2">
        <v>45772</v>
      </c>
      <c r="E1902" t="s">
        <v>346</v>
      </c>
      <c r="F1902" t="str">
        <f>VLOOKUP($C1902,Product_Dim!$A$2:$D$101,3,FALSE)</f>
        <v>Flores-King</v>
      </c>
      <c r="G1902" t="str">
        <f>VLOOKUP($C1902,Product_Dim!$A$2:$D$101,2,FALSE)</f>
        <v>Electronics</v>
      </c>
      <c r="H1902">
        <v>3</v>
      </c>
      <c r="I1902">
        <v>992.81</v>
      </c>
      <c r="J1902">
        <v>0.04</v>
      </c>
      <c r="K1902" s="3">
        <v>2859.2928000000002</v>
      </c>
      <c r="L1902" t="s">
        <v>854</v>
      </c>
      <c r="M1902" t="str">
        <f>VLOOKUP($E1902,Customer_Dim!$A$2:$F$501,3,FALSE)</f>
        <v>Female</v>
      </c>
      <c r="N1902" t="str">
        <f>VLOOKUP($E1902,Customer_Dim!$A$2:$F$501,5,FALSE)</f>
        <v>USA</v>
      </c>
      <c r="O1902" t="str">
        <f>VLOOKUP($E1902,Customer_Dim!$A$2:$F$501,6,FALSE)</f>
        <v>Bronze</v>
      </c>
      <c r="P1902" t="str">
        <f>VLOOKUP($A1902,Store_Dim!$A$2:$F$21,3,FALSE)</f>
        <v>WestThompsonborough</v>
      </c>
    </row>
    <row r="1903" spans="1:16" hidden="1" x14ac:dyDescent="0.25">
      <c r="A1903" t="s">
        <v>810</v>
      </c>
      <c r="B1903" t="s">
        <v>1323</v>
      </c>
      <c r="C1903" t="s">
        <v>772</v>
      </c>
      <c r="D1903" s="2">
        <v>45614</v>
      </c>
      <c r="E1903" t="s">
        <v>544</v>
      </c>
      <c r="F1903" t="str">
        <f>VLOOKUP($C1903,Product_Dim!$A$2:$D$101,3,FALSE)</f>
        <v>Flores-King</v>
      </c>
      <c r="G1903" t="str">
        <f>VLOOKUP($C1903,Product_Dim!$A$2:$D$101,2,FALSE)</f>
        <v>Electronics</v>
      </c>
      <c r="H1903">
        <v>4</v>
      </c>
      <c r="I1903">
        <v>610.6</v>
      </c>
      <c r="J1903">
        <v>0.1</v>
      </c>
      <c r="K1903" s="3">
        <v>2198.16</v>
      </c>
      <c r="L1903" t="s">
        <v>854</v>
      </c>
      <c r="M1903" t="str">
        <f>VLOOKUP($E1903,Customer_Dim!$A$2:$F$501,3,FALSE)</f>
        <v>Female</v>
      </c>
      <c r="N1903" t="str">
        <f>VLOOKUP($E1903,Customer_Dim!$A$2:$F$501,5,FALSE)</f>
        <v>USA</v>
      </c>
      <c r="O1903" t="str">
        <f>VLOOKUP($E1903,Customer_Dim!$A$2:$F$501,6,FALSE)</f>
        <v>Platinum</v>
      </c>
      <c r="P1903" t="str">
        <f>VLOOKUP($A1903,Store_Dim!$A$2:$F$21,3,FALSE)</f>
        <v>WestThompsonborough</v>
      </c>
    </row>
    <row r="1904" spans="1:16" hidden="1" x14ac:dyDescent="0.25">
      <c r="A1904" t="s">
        <v>810</v>
      </c>
      <c r="B1904" t="s">
        <v>2653</v>
      </c>
      <c r="C1904" t="s">
        <v>774</v>
      </c>
      <c r="D1904" s="2">
        <v>45369</v>
      </c>
      <c r="E1904" t="s">
        <v>293</v>
      </c>
      <c r="F1904" t="str">
        <f>VLOOKUP($C1904,Product_Dim!$A$2:$D$101,3,FALSE)</f>
        <v>Campbell Ltd</v>
      </c>
      <c r="G1904" t="str">
        <f>VLOOKUP($C1904,Product_Dim!$A$2:$D$101,2,FALSE)</f>
        <v>Home</v>
      </c>
      <c r="H1904">
        <v>3</v>
      </c>
      <c r="I1904">
        <v>561.44000000000005</v>
      </c>
      <c r="J1904">
        <v>0.2</v>
      </c>
      <c r="K1904" s="3">
        <v>1347.4559999999999</v>
      </c>
      <c r="L1904" t="s">
        <v>857</v>
      </c>
      <c r="M1904" t="str">
        <f>VLOOKUP($E1904,Customer_Dim!$A$2:$F$501,3,FALSE)</f>
        <v>Female</v>
      </c>
      <c r="N1904" t="str">
        <f>VLOOKUP($E1904,Customer_Dim!$A$2:$F$501,5,FALSE)</f>
        <v>USA</v>
      </c>
      <c r="O1904" t="str">
        <f>VLOOKUP($E1904,Customer_Dim!$A$2:$F$501,6,FALSE)</f>
        <v>Gold</v>
      </c>
      <c r="P1904" t="str">
        <f>VLOOKUP($A1904,Store_Dim!$A$2:$F$21,3,FALSE)</f>
        <v>WestThompsonborough</v>
      </c>
    </row>
    <row r="1905" spans="1:16" hidden="1" x14ac:dyDescent="0.25">
      <c r="A1905" t="s">
        <v>810</v>
      </c>
      <c r="B1905" t="s">
        <v>2329</v>
      </c>
      <c r="C1905" t="s">
        <v>774</v>
      </c>
      <c r="D1905" s="2">
        <v>45379</v>
      </c>
      <c r="E1905" t="s">
        <v>325</v>
      </c>
      <c r="F1905" t="str">
        <f>VLOOKUP($C1905,Product_Dim!$A$2:$D$101,3,FALSE)</f>
        <v>Campbell Ltd</v>
      </c>
      <c r="G1905" t="str">
        <f>VLOOKUP($C1905,Product_Dim!$A$2:$D$101,2,FALSE)</f>
        <v>Home</v>
      </c>
      <c r="H1905">
        <v>2</v>
      </c>
      <c r="I1905">
        <v>916.12</v>
      </c>
      <c r="J1905">
        <v>0.05</v>
      </c>
      <c r="K1905" s="3">
        <v>1740.6279999999999</v>
      </c>
      <c r="L1905" t="s">
        <v>854</v>
      </c>
      <c r="M1905" t="str">
        <f>VLOOKUP($E1905,Customer_Dim!$A$2:$F$501,3,FALSE)</f>
        <v>Female</v>
      </c>
      <c r="N1905" t="str">
        <f>VLOOKUP($E1905,Customer_Dim!$A$2:$F$501,5,FALSE)</f>
        <v>USA</v>
      </c>
      <c r="O1905" t="str">
        <f>VLOOKUP($E1905,Customer_Dim!$A$2:$F$501,6,FALSE)</f>
        <v>Silver</v>
      </c>
      <c r="P1905" t="str">
        <f>VLOOKUP($A1905,Store_Dim!$A$2:$F$21,3,FALSE)</f>
        <v>WestThompsonborough</v>
      </c>
    </row>
    <row r="1906" spans="1:16" hidden="1" x14ac:dyDescent="0.25">
      <c r="A1906" t="s">
        <v>814</v>
      </c>
      <c r="B1906" t="s">
        <v>2168</v>
      </c>
      <c r="C1906" t="s">
        <v>571</v>
      </c>
      <c r="D1906" s="2">
        <v>45523</v>
      </c>
      <c r="E1906" t="s">
        <v>30</v>
      </c>
      <c r="F1906" t="str">
        <f>VLOOKUP($C1906,Product_Dim!$A$2:$D$101,3,FALSE)</f>
        <v>Hunt Inc</v>
      </c>
      <c r="G1906" t="str">
        <f>VLOOKUP($C1906,Product_Dim!$A$2:$D$101,2,FALSE)</f>
        <v>Electronics</v>
      </c>
      <c r="H1906">
        <v>2</v>
      </c>
      <c r="I1906">
        <v>943.8</v>
      </c>
      <c r="J1906">
        <v>0.06</v>
      </c>
      <c r="K1906" s="3">
        <v>1774.3440000000001</v>
      </c>
      <c r="L1906" t="s">
        <v>852</v>
      </c>
      <c r="M1906" t="str">
        <f>VLOOKUP($E1906,Customer_Dim!$A$2:$F$501,3,FALSE)</f>
        <v>Female</v>
      </c>
      <c r="N1906" t="str">
        <f>VLOOKUP($E1906,Customer_Dim!$A$2:$F$501,5,FALSE)</f>
        <v>USA</v>
      </c>
      <c r="O1906" t="str">
        <f>VLOOKUP($E1906,Customer_Dim!$A$2:$F$501,6,FALSE)</f>
        <v>Gold</v>
      </c>
      <c r="P1906" t="str">
        <f>VLOOKUP($A1906,Store_Dim!$A$2:$F$21,3,FALSE)</f>
        <v>SouthEast Johnstad</v>
      </c>
    </row>
    <row r="1907" spans="1:16" x14ac:dyDescent="0.25">
      <c r="A1907" t="s">
        <v>814</v>
      </c>
      <c r="B1907" t="s">
        <v>2044</v>
      </c>
      <c r="C1907" t="s">
        <v>571</v>
      </c>
      <c r="D1907" s="2">
        <v>45468</v>
      </c>
      <c r="E1907" t="s">
        <v>510</v>
      </c>
      <c r="F1907" t="str">
        <f>VLOOKUP($C1907,Product_Dim!$A$2:$D$101,3,FALSE)</f>
        <v>Hunt Inc</v>
      </c>
      <c r="G1907" t="str">
        <f>VLOOKUP($C1907,Product_Dim!$A$2:$D$101,2,FALSE)</f>
        <v>Electronics</v>
      </c>
      <c r="H1907">
        <v>2</v>
      </c>
      <c r="I1907">
        <v>540.48</v>
      </c>
      <c r="J1907">
        <v>0.28999999999999998</v>
      </c>
      <c r="K1907" s="3">
        <v>767.48159999999996</v>
      </c>
      <c r="L1907" t="s">
        <v>852</v>
      </c>
      <c r="M1907" t="str">
        <f>VLOOKUP($E1907,Customer_Dim!$A$2:$F$501,3,FALSE)</f>
        <v>Male</v>
      </c>
      <c r="N1907" t="str">
        <f>VLOOKUP($E1907,Customer_Dim!$A$2:$F$501,5,FALSE)</f>
        <v>USA</v>
      </c>
      <c r="O1907" t="str">
        <f>VLOOKUP($E1907,Customer_Dim!$A$2:$F$501,6,FALSE)</f>
        <v>Silver</v>
      </c>
      <c r="P1907" t="str">
        <f>VLOOKUP($A1907,Store_Dim!$A$2:$F$21,3,FALSE)</f>
        <v>SouthEast Johnstad</v>
      </c>
    </row>
    <row r="1908" spans="1:16" x14ac:dyDescent="0.25">
      <c r="A1908" t="s">
        <v>814</v>
      </c>
      <c r="B1908" t="s">
        <v>1109</v>
      </c>
      <c r="C1908" t="s">
        <v>574</v>
      </c>
      <c r="D1908" s="2">
        <v>45746</v>
      </c>
      <c r="E1908" t="s">
        <v>88</v>
      </c>
      <c r="F1908" t="str">
        <f>VLOOKUP($C1908,Product_Dim!$A$2:$D$101,3,FALSE)</f>
        <v>Terry-Moore</v>
      </c>
      <c r="G1908" t="str">
        <f>VLOOKUP($C1908,Product_Dim!$A$2:$D$101,2,FALSE)</f>
        <v>Clothing</v>
      </c>
      <c r="H1908">
        <v>3</v>
      </c>
      <c r="I1908">
        <v>546.96</v>
      </c>
      <c r="J1908">
        <v>0.19</v>
      </c>
      <c r="K1908" s="3">
        <v>1329.1128000000001</v>
      </c>
      <c r="L1908" t="s">
        <v>852</v>
      </c>
      <c r="M1908" t="str">
        <f>VLOOKUP($E1908,Customer_Dim!$A$2:$F$501,3,FALSE)</f>
        <v>Male</v>
      </c>
      <c r="N1908" t="str">
        <f>VLOOKUP($E1908,Customer_Dim!$A$2:$F$501,5,FALSE)</f>
        <v>USA</v>
      </c>
      <c r="O1908" t="str">
        <f>VLOOKUP($E1908,Customer_Dim!$A$2:$F$501,6,FALSE)</f>
        <v>Bronze</v>
      </c>
      <c r="P1908" t="str">
        <f>VLOOKUP($A1908,Store_Dim!$A$2:$F$21,3,FALSE)</f>
        <v>SouthEast Johnstad</v>
      </c>
    </row>
    <row r="1909" spans="1:16" hidden="1" x14ac:dyDescent="0.25">
      <c r="A1909" t="s">
        <v>814</v>
      </c>
      <c r="B1909" t="s">
        <v>2587</v>
      </c>
      <c r="C1909" t="s">
        <v>600</v>
      </c>
      <c r="D1909" s="2">
        <v>45862</v>
      </c>
      <c r="E1909" t="s">
        <v>18</v>
      </c>
      <c r="F1909" t="str">
        <f>VLOOKUP($C1909,Product_Dim!$A$2:$D$101,3,FALSE)</f>
        <v>Rice LLC</v>
      </c>
      <c r="G1909" t="str">
        <f>VLOOKUP($C1909,Product_Dim!$A$2:$D$101,2,FALSE)</f>
        <v>Beauty</v>
      </c>
      <c r="H1909">
        <v>1</v>
      </c>
      <c r="I1909">
        <v>437.65</v>
      </c>
      <c r="J1909">
        <v>0.02</v>
      </c>
      <c r="K1909" s="3">
        <v>428.89699999999999</v>
      </c>
      <c r="L1909" t="s">
        <v>854</v>
      </c>
      <c r="M1909" t="str">
        <f>VLOOKUP($E1909,Customer_Dim!$A$2:$F$501,3,FALSE)</f>
        <v>Female</v>
      </c>
      <c r="N1909" t="str">
        <f>VLOOKUP($E1909,Customer_Dim!$A$2:$F$501,5,FALSE)</f>
        <v>USA</v>
      </c>
      <c r="O1909" t="str">
        <f>VLOOKUP($E1909,Customer_Dim!$A$2:$F$501,6,FALSE)</f>
        <v>Bronze</v>
      </c>
      <c r="P1909" t="str">
        <f>VLOOKUP($A1909,Store_Dim!$A$2:$F$21,3,FALSE)</f>
        <v>SouthEast Johnstad</v>
      </c>
    </row>
    <row r="1910" spans="1:16" hidden="1" x14ac:dyDescent="0.25">
      <c r="A1910" t="s">
        <v>814</v>
      </c>
      <c r="B1910" t="s">
        <v>2312</v>
      </c>
      <c r="C1910" t="s">
        <v>602</v>
      </c>
      <c r="D1910" s="2">
        <v>45448</v>
      </c>
      <c r="E1910" t="s">
        <v>544</v>
      </c>
      <c r="F1910" t="str">
        <f>VLOOKUP($C1910,Product_Dim!$A$2:$D$101,3,FALSE)</f>
        <v>Dawson-Perkins</v>
      </c>
      <c r="G1910" t="str">
        <f>VLOOKUP($C1910,Product_Dim!$A$2:$D$101,2,FALSE)</f>
        <v>Electronics</v>
      </c>
      <c r="H1910">
        <v>3</v>
      </c>
      <c r="I1910">
        <v>769.06</v>
      </c>
      <c r="J1910">
        <v>0.23</v>
      </c>
      <c r="K1910" s="3">
        <v>1776.5286000000001</v>
      </c>
      <c r="L1910" t="s">
        <v>857</v>
      </c>
      <c r="M1910" t="str">
        <f>VLOOKUP($E1910,Customer_Dim!$A$2:$F$501,3,FALSE)</f>
        <v>Female</v>
      </c>
      <c r="N1910" t="str">
        <f>VLOOKUP($E1910,Customer_Dim!$A$2:$F$501,5,FALSE)</f>
        <v>USA</v>
      </c>
      <c r="O1910" t="str">
        <f>VLOOKUP($E1910,Customer_Dim!$A$2:$F$501,6,FALSE)</f>
        <v>Platinum</v>
      </c>
      <c r="P1910" t="str">
        <f>VLOOKUP($A1910,Store_Dim!$A$2:$F$21,3,FALSE)</f>
        <v>SouthEast Johnstad</v>
      </c>
    </row>
    <row r="1911" spans="1:16" x14ac:dyDescent="0.25">
      <c r="A1911" t="s">
        <v>814</v>
      </c>
      <c r="B1911" t="s">
        <v>1069</v>
      </c>
      <c r="C1911" t="s">
        <v>604</v>
      </c>
      <c r="D1911" s="2">
        <v>45356</v>
      </c>
      <c r="E1911" t="s">
        <v>510</v>
      </c>
      <c r="F1911" t="str">
        <f>VLOOKUP($C1911,Product_Dim!$A$2:$D$101,3,FALSE)</f>
        <v>Luna, Anderson and Bowman</v>
      </c>
      <c r="G1911" t="str">
        <f>VLOOKUP($C1911,Product_Dim!$A$2:$D$101,2,FALSE)</f>
        <v>Home</v>
      </c>
      <c r="H1911">
        <v>3</v>
      </c>
      <c r="I1911">
        <v>318.43</v>
      </c>
      <c r="J1911">
        <v>0.05</v>
      </c>
      <c r="K1911" s="3">
        <v>907.52549999999997</v>
      </c>
      <c r="L1911" t="s">
        <v>852</v>
      </c>
      <c r="M1911" t="str">
        <f>VLOOKUP($E1911,Customer_Dim!$A$2:$F$501,3,FALSE)</f>
        <v>Male</v>
      </c>
      <c r="N1911" t="str">
        <f>VLOOKUP($E1911,Customer_Dim!$A$2:$F$501,5,FALSE)</f>
        <v>USA</v>
      </c>
      <c r="O1911" t="str">
        <f>VLOOKUP($E1911,Customer_Dim!$A$2:$F$501,6,FALSE)</f>
        <v>Silver</v>
      </c>
      <c r="P1911" t="str">
        <f>VLOOKUP($A1911,Store_Dim!$A$2:$F$21,3,FALSE)</f>
        <v>SouthEast Johnstad</v>
      </c>
    </row>
    <row r="1912" spans="1:16" x14ac:dyDescent="0.25">
      <c r="A1912" t="s">
        <v>814</v>
      </c>
      <c r="B1912" t="s">
        <v>1333</v>
      </c>
      <c r="C1912" t="s">
        <v>606</v>
      </c>
      <c r="D1912" s="2">
        <v>45574</v>
      </c>
      <c r="E1912" t="s">
        <v>516</v>
      </c>
      <c r="F1912" t="str">
        <f>VLOOKUP($C1912,Product_Dim!$A$2:$D$101,3,FALSE)</f>
        <v>Thomas LLC</v>
      </c>
      <c r="G1912" t="str">
        <f>VLOOKUP($C1912,Product_Dim!$A$2:$D$101,2,FALSE)</f>
        <v>Electronics</v>
      </c>
      <c r="H1912">
        <v>3</v>
      </c>
      <c r="I1912">
        <v>635.13</v>
      </c>
      <c r="J1912">
        <v>0.09</v>
      </c>
      <c r="K1912" s="3">
        <v>1733.9049</v>
      </c>
      <c r="L1912" t="s">
        <v>854</v>
      </c>
      <c r="M1912" t="str">
        <f>VLOOKUP($E1912,Customer_Dim!$A$2:$F$501,3,FALSE)</f>
        <v>Male</v>
      </c>
      <c r="N1912" t="str">
        <f>VLOOKUP($E1912,Customer_Dim!$A$2:$F$501,5,FALSE)</f>
        <v>USA</v>
      </c>
      <c r="O1912" t="str">
        <f>VLOOKUP($E1912,Customer_Dim!$A$2:$F$501,6,FALSE)</f>
        <v>Bronze</v>
      </c>
      <c r="P1912" t="str">
        <f>VLOOKUP($A1912,Store_Dim!$A$2:$F$21,3,FALSE)</f>
        <v>SouthEast Johnstad</v>
      </c>
    </row>
    <row r="1913" spans="1:16" hidden="1" x14ac:dyDescent="0.25">
      <c r="A1913" t="s">
        <v>814</v>
      </c>
      <c r="B1913" t="s">
        <v>1829</v>
      </c>
      <c r="C1913" t="s">
        <v>608</v>
      </c>
      <c r="D1913" s="2">
        <v>45281</v>
      </c>
      <c r="E1913" t="s">
        <v>370</v>
      </c>
      <c r="F1913" t="str">
        <f>VLOOKUP($C1913,Product_Dim!$A$2:$D$101,3,FALSE)</f>
        <v>Erickson-Green</v>
      </c>
      <c r="G1913" t="str">
        <f>VLOOKUP($C1913,Product_Dim!$A$2:$D$101,2,FALSE)</f>
        <v>Beauty</v>
      </c>
      <c r="H1913">
        <v>2</v>
      </c>
      <c r="I1913">
        <v>61.42</v>
      </c>
      <c r="J1913">
        <v>0.08</v>
      </c>
      <c r="K1913" s="3">
        <v>113.0128</v>
      </c>
      <c r="L1913" t="s">
        <v>854</v>
      </c>
      <c r="M1913" t="str">
        <f>VLOOKUP($E1913,Customer_Dim!$A$2:$F$501,3,FALSE)</f>
        <v>Female</v>
      </c>
      <c r="N1913" t="str">
        <f>VLOOKUP($E1913,Customer_Dim!$A$2:$F$501,5,FALSE)</f>
        <v>USA</v>
      </c>
      <c r="O1913" t="str">
        <f>VLOOKUP($E1913,Customer_Dim!$A$2:$F$501,6,FALSE)</f>
        <v>Platinum</v>
      </c>
      <c r="P1913" t="str">
        <f>VLOOKUP($A1913,Store_Dim!$A$2:$F$21,3,FALSE)</f>
        <v>SouthEast Johnstad</v>
      </c>
    </row>
    <row r="1914" spans="1:16" x14ac:dyDescent="0.25">
      <c r="A1914" t="s">
        <v>814</v>
      </c>
      <c r="B1914" t="s">
        <v>1652</v>
      </c>
      <c r="C1914" t="s">
        <v>612</v>
      </c>
      <c r="D1914" s="2">
        <v>45717</v>
      </c>
      <c r="E1914" t="s">
        <v>158</v>
      </c>
      <c r="F1914" t="str">
        <f>VLOOKUP($C1914,Product_Dim!$A$2:$D$101,3,FALSE)</f>
        <v>Guerra-Hendrix</v>
      </c>
      <c r="G1914" t="str">
        <f>VLOOKUP($C1914,Product_Dim!$A$2:$D$101,2,FALSE)</f>
        <v>Clothing</v>
      </c>
      <c r="H1914">
        <v>1</v>
      </c>
      <c r="I1914">
        <v>423.48</v>
      </c>
      <c r="J1914">
        <v>0.18</v>
      </c>
      <c r="K1914" s="3">
        <v>347.25360000000012</v>
      </c>
      <c r="L1914" t="s">
        <v>854</v>
      </c>
      <c r="M1914" t="str">
        <f>VLOOKUP($E1914,Customer_Dim!$A$2:$F$501,3,FALSE)</f>
        <v>Male</v>
      </c>
      <c r="N1914" t="str">
        <f>VLOOKUP($E1914,Customer_Dim!$A$2:$F$501,5,FALSE)</f>
        <v>USA</v>
      </c>
      <c r="O1914" t="str">
        <f>VLOOKUP($E1914,Customer_Dim!$A$2:$F$501,6,FALSE)</f>
        <v>Silver</v>
      </c>
      <c r="P1914" t="str">
        <f>VLOOKUP($A1914,Store_Dim!$A$2:$F$21,3,FALSE)</f>
        <v>SouthEast Johnstad</v>
      </c>
    </row>
    <row r="1915" spans="1:16" x14ac:dyDescent="0.25">
      <c r="A1915" t="s">
        <v>814</v>
      </c>
      <c r="B1915" t="s">
        <v>1844</v>
      </c>
      <c r="C1915" t="s">
        <v>616</v>
      </c>
      <c r="D1915" s="2">
        <v>45875</v>
      </c>
      <c r="E1915" t="s">
        <v>132</v>
      </c>
      <c r="F1915" t="str">
        <f>VLOOKUP($C1915,Product_Dim!$A$2:$D$101,3,FALSE)</f>
        <v>Soto-Ellis</v>
      </c>
      <c r="G1915" t="str">
        <f>VLOOKUP($C1915,Product_Dim!$A$2:$D$101,2,FALSE)</f>
        <v>Sports</v>
      </c>
      <c r="H1915">
        <v>3</v>
      </c>
      <c r="I1915">
        <v>955.82</v>
      </c>
      <c r="J1915">
        <v>0.16</v>
      </c>
      <c r="K1915" s="3">
        <v>2408.6664000000001</v>
      </c>
      <c r="L1915" t="s">
        <v>857</v>
      </c>
      <c r="M1915" t="str">
        <f>VLOOKUP($E1915,Customer_Dim!$A$2:$F$501,3,FALSE)</f>
        <v>Male</v>
      </c>
      <c r="N1915" t="str">
        <f>VLOOKUP($E1915,Customer_Dim!$A$2:$F$501,5,FALSE)</f>
        <v>USA</v>
      </c>
      <c r="O1915" t="str">
        <f>VLOOKUP($E1915,Customer_Dim!$A$2:$F$501,6,FALSE)</f>
        <v>Gold</v>
      </c>
      <c r="P1915" t="str">
        <f>VLOOKUP($A1915,Store_Dim!$A$2:$F$21,3,FALSE)</f>
        <v>SouthEast Johnstad</v>
      </c>
    </row>
    <row r="1916" spans="1:16" x14ac:dyDescent="0.25">
      <c r="A1916" t="s">
        <v>814</v>
      </c>
      <c r="B1916" t="s">
        <v>1299</v>
      </c>
      <c r="C1916" t="s">
        <v>620</v>
      </c>
      <c r="D1916" s="2">
        <v>45709</v>
      </c>
      <c r="E1916" t="s">
        <v>412</v>
      </c>
      <c r="F1916" t="str">
        <f>VLOOKUP($C1916,Product_Dim!$A$2:$D$101,3,FALSE)</f>
        <v>Flores, Pineda and Rodriguez</v>
      </c>
      <c r="G1916" t="str">
        <f>VLOOKUP($C1916,Product_Dim!$A$2:$D$101,2,FALSE)</f>
        <v>Sports</v>
      </c>
      <c r="H1916">
        <v>4</v>
      </c>
      <c r="I1916">
        <v>164.02</v>
      </c>
      <c r="J1916">
        <v>0.01</v>
      </c>
      <c r="K1916" s="3">
        <v>649.51920000000007</v>
      </c>
      <c r="L1916" t="s">
        <v>854</v>
      </c>
      <c r="M1916" t="str">
        <f>VLOOKUP($E1916,Customer_Dim!$A$2:$F$501,3,FALSE)</f>
        <v>Male</v>
      </c>
      <c r="N1916" t="str">
        <f>VLOOKUP($E1916,Customer_Dim!$A$2:$F$501,5,FALSE)</f>
        <v>USA</v>
      </c>
      <c r="O1916" t="str">
        <f>VLOOKUP($E1916,Customer_Dim!$A$2:$F$501,6,FALSE)</f>
        <v>Bronze</v>
      </c>
      <c r="P1916" t="str">
        <f>VLOOKUP($A1916,Store_Dim!$A$2:$F$21,3,FALSE)</f>
        <v>SouthEast Johnstad</v>
      </c>
    </row>
    <row r="1917" spans="1:16" hidden="1" x14ac:dyDescent="0.25">
      <c r="A1917" t="s">
        <v>814</v>
      </c>
      <c r="B1917" t="s">
        <v>2255</v>
      </c>
      <c r="C1917" t="s">
        <v>624</v>
      </c>
      <c r="D1917" s="2">
        <v>45653</v>
      </c>
      <c r="E1917" t="s">
        <v>309</v>
      </c>
      <c r="F1917" t="str">
        <f>VLOOKUP($C1917,Product_Dim!$A$2:$D$101,3,FALSE)</f>
        <v>Cook Ltd</v>
      </c>
      <c r="G1917" t="str">
        <f>VLOOKUP($C1917,Product_Dim!$A$2:$D$101,2,FALSE)</f>
        <v>Sports</v>
      </c>
      <c r="H1917">
        <v>1</v>
      </c>
      <c r="I1917">
        <v>882.73</v>
      </c>
      <c r="J1917">
        <v>0.1</v>
      </c>
      <c r="K1917" s="3">
        <v>794.45699999999999</v>
      </c>
      <c r="L1917" t="s">
        <v>852</v>
      </c>
      <c r="M1917" t="str">
        <f>VLOOKUP($E1917,Customer_Dim!$A$2:$F$501,3,FALSE)</f>
        <v>Female</v>
      </c>
      <c r="N1917" t="str">
        <f>VLOOKUP($E1917,Customer_Dim!$A$2:$F$501,5,FALSE)</f>
        <v>USA</v>
      </c>
      <c r="O1917" t="str">
        <f>VLOOKUP($E1917,Customer_Dim!$A$2:$F$501,6,FALSE)</f>
        <v>Gold</v>
      </c>
      <c r="P1917" t="str">
        <f>VLOOKUP($A1917,Store_Dim!$A$2:$F$21,3,FALSE)</f>
        <v>SouthEast Johnstad</v>
      </c>
    </row>
    <row r="1918" spans="1:16" hidden="1" x14ac:dyDescent="0.25">
      <c r="A1918" t="s">
        <v>814</v>
      </c>
      <c r="B1918" t="s">
        <v>1198</v>
      </c>
      <c r="C1918" t="s">
        <v>628</v>
      </c>
      <c r="D1918" s="2">
        <v>45224</v>
      </c>
      <c r="E1918" t="s">
        <v>41</v>
      </c>
      <c r="F1918" t="str">
        <f>VLOOKUP($C1918,Product_Dim!$A$2:$D$101,3,FALSE)</f>
        <v>Reed-Schmidt</v>
      </c>
      <c r="G1918" t="str">
        <f>VLOOKUP($C1918,Product_Dim!$A$2:$D$101,2,FALSE)</f>
        <v>Electronics</v>
      </c>
      <c r="H1918">
        <v>1</v>
      </c>
      <c r="I1918">
        <v>907.95</v>
      </c>
      <c r="J1918">
        <v>0.1</v>
      </c>
      <c r="K1918" s="3">
        <v>817.15500000000009</v>
      </c>
      <c r="L1918" t="s">
        <v>854</v>
      </c>
      <c r="M1918" t="str">
        <f>VLOOKUP($E1918,Customer_Dim!$A$2:$F$501,3,FALSE)</f>
        <v>Female</v>
      </c>
      <c r="N1918" t="str">
        <f>VLOOKUP($E1918,Customer_Dim!$A$2:$F$501,5,FALSE)</f>
        <v>USA</v>
      </c>
      <c r="O1918" t="str">
        <f>VLOOKUP($E1918,Customer_Dim!$A$2:$F$501,6,FALSE)</f>
        <v>Silver</v>
      </c>
      <c r="P1918" t="str">
        <f>VLOOKUP($A1918,Store_Dim!$A$2:$F$21,3,FALSE)</f>
        <v>SouthEast Johnstad</v>
      </c>
    </row>
    <row r="1919" spans="1:16" x14ac:dyDescent="0.25">
      <c r="A1919" t="s">
        <v>814</v>
      </c>
      <c r="B1919" t="s">
        <v>2296</v>
      </c>
      <c r="C1919" t="s">
        <v>628</v>
      </c>
      <c r="D1919" s="2">
        <v>45893</v>
      </c>
      <c r="E1919" t="s">
        <v>220</v>
      </c>
      <c r="F1919" t="str">
        <f>VLOOKUP($C1919,Product_Dim!$A$2:$D$101,3,FALSE)</f>
        <v>Reed-Schmidt</v>
      </c>
      <c r="G1919" t="str">
        <f>VLOOKUP($C1919,Product_Dim!$A$2:$D$101,2,FALSE)</f>
        <v>Electronics</v>
      </c>
      <c r="H1919">
        <v>4</v>
      </c>
      <c r="I1919">
        <v>896.91</v>
      </c>
      <c r="J1919">
        <v>0.1</v>
      </c>
      <c r="K1919" s="3">
        <v>3228.8760000000002</v>
      </c>
      <c r="L1919" t="s">
        <v>852</v>
      </c>
      <c r="M1919" t="str">
        <f>VLOOKUP($E1919,Customer_Dim!$A$2:$F$501,3,FALSE)</f>
        <v>Male</v>
      </c>
      <c r="N1919" t="str">
        <f>VLOOKUP($E1919,Customer_Dim!$A$2:$F$501,5,FALSE)</f>
        <v>USA</v>
      </c>
      <c r="O1919" t="str">
        <f>VLOOKUP($E1919,Customer_Dim!$A$2:$F$501,6,FALSE)</f>
        <v>Bronze</v>
      </c>
      <c r="P1919" t="str">
        <f>VLOOKUP($A1919,Store_Dim!$A$2:$F$21,3,FALSE)</f>
        <v>SouthEast Johnstad</v>
      </c>
    </row>
    <row r="1920" spans="1:16" x14ac:dyDescent="0.25">
      <c r="A1920" t="s">
        <v>814</v>
      </c>
      <c r="B1920" t="s">
        <v>2034</v>
      </c>
      <c r="C1920" t="s">
        <v>630</v>
      </c>
      <c r="D1920" s="2">
        <v>45353</v>
      </c>
      <c r="E1920" t="s">
        <v>343</v>
      </c>
      <c r="F1920" t="str">
        <f>VLOOKUP($C1920,Product_Dim!$A$2:$D$101,3,FALSE)</f>
        <v>Khan, Jones and Paul</v>
      </c>
      <c r="G1920" t="str">
        <f>VLOOKUP($C1920,Product_Dim!$A$2:$D$101,2,FALSE)</f>
        <v>Home</v>
      </c>
      <c r="H1920">
        <v>2</v>
      </c>
      <c r="I1920">
        <v>717.21</v>
      </c>
      <c r="J1920">
        <v>0.15</v>
      </c>
      <c r="K1920" s="3">
        <v>1219.2570000000001</v>
      </c>
      <c r="L1920" t="s">
        <v>857</v>
      </c>
      <c r="M1920" t="str">
        <f>VLOOKUP($E1920,Customer_Dim!$A$2:$F$501,3,FALSE)</f>
        <v>Male</v>
      </c>
      <c r="N1920" t="str">
        <f>VLOOKUP($E1920,Customer_Dim!$A$2:$F$501,5,FALSE)</f>
        <v>USA</v>
      </c>
      <c r="O1920" t="str">
        <f>VLOOKUP($E1920,Customer_Dim!$A$2:$F$501,6,FALSE)</f>
        <v>Gold</v>
      </c>
      <c r="P1920" t="str">
        <f>VLOOKUP($A1920,Store_Dim!$A$2:$F$21,3,FALSE)</f>
        <v>SouthEast Johnstad</v>
      </c>
    </row>
    <row r="1921" spans="1:16" hidden="1" x14ac:dyDescent="0.25">
      <c r="A1921" t="s">
        <v>814</v>
      </c>
      <c r="B1921" t="s">
        <v>2520</v>
      </c>
      <c r="C1921" t="s">
        <v>630</v>
      </c>
      <c r="D1921" s="2">
        <v>45296</v>
      </c>
      <c r="E1921" t="s">
        <v>432</v>
      </c>
      <c r="F1921" t="str">
        <f>VLOOKUP($C1921,Product_Dim!$A$2:$D$101,3,FALSE)</f>
        <v>Khan, Jones and Paul</v>
      </c>
      <c r="G1921" t="str">
        <f>VLOOKUP($C1921,Product_Dim!$A$2:$D$101,2,FALSE)</f>
        <v>Home</v>
      </c>
      <c r="H1921">
        <v>4</v>
      </c>
      <c r="I1921">
        <v>208.34</v>
      </c>
      <c r="J1921">
        <v>0.01</v>
      </c>
      <c r="K1921" s="3">
        <v>825.02639999999997</v>
      </c>
      <c r="L1921" t="s">
        <v>854</v>
      </c>
      <c r="M1921" t="str">
        <f>VLOOKUP($E1921,Customer_Dim!$A$2:$F$501,3,FALSE)</f>
        <v>Female</v>
      </c>
      <c r="N1921" t="str">
        <f>VLOOKUP($E1921,Customer_Dim!$A$2:$F$501,5,FALSE)</f>
        <v>USA</v>
      </c>
      <c r="O1921" t="str">
        <f>VLOOKUP($E1921,Customer_Dim!$A$2:$F$501,6,FALSE)</f>
        <v>Platinum</v>
      </c>
      <c r="P1921" t="str">
        <f>VLOOKUP($A1921,Store_Dim!$A$2:$F$21,3,FALSE)</f>
        <v>SouthEast Johnstad</v>
      </c>
    </row>
    <row r="1922" spans="1:16" hidden="1" x14ac:dyDescent="0.25">
      <c r="A1922" t="s">
        <v>814</v>
      </c>
      <c r="B1922" t="s">
        <v>1997</v>
      </c>
      <c r="C1922" t="s">
        <v>632</v>
      </c>
      <c r="D1922" s="2">
        <v>45301</v>
      </c>
      <c r="E1922" t="s">
        <v>566</v>
      </c>
      <c r="F1922" t="str">
        <f>VLOOKUP($C1922,Product_Dim!$A$2:$D$101,3,FALSE)</f>
        <v>Burns-Hansen</v>
      </c>
      <c r="G1922" t="str">
        <f>VLOOKUP($C1922,Product_Dim!$A$2:$D$101,2,FALSE)</f>
        <v>Sports</v>
      </c>
      <c r="H1922">
        <v>2</v>
      </c>
      <c r="I1922">
        <v>67.55</v>
      </c>
      <c r="J1922">
        <v>0.03</v>
      </c>
      <c r="K1922" s="3">
        <v>131.047</v>
      </c>
      <c r="L1922" t="s">
        <v>852</v>
      </c>
      <c r="M1922" t="str">
        <f>VLOOKUP($E1922,Customer_Dim!$A$2:$F$501,3,FALSE)</f>
        <v>Female</v>
      </c>
      <c r="N1922" t="str">
        <f>VLOOKUP($E1922,Customer_Dim!$A$2:$F$501,5,FALSE)</f>
        <v>USA</v>
      </c>
      <c r="O1922" t="str">
        <f>VLOOKUP($E1922,Customer_Dim!$A$2:$F$501,6,FALSE)</f>
        <v>Platinum</v>
      </c>
      <c r="P1922" t="str">
        <f>VLOOKUP($A1922,Store_Dim!$A$2:$F$21,3,FALSE)</f>
        <v>SouthEast Johnstad</v>
      </c>
    </row>
    <row r="1923" spans="1:16" x14ac:dyDescent="0.25">
      <c r="A1923" t="s">
        <v>814</v>
      </c>
      <c r="B1923" t="s">
        <v>896</v>
      </c>
      <c r="C1923" t="s">
        <v>634</v>
      </c>
      <c r="D1923" s="2">
        <v>45649</v>
      </c>
      <c r="E1923" t="s">
        <v>402</v>
      </c>
      <c r="F1923" t="str">
        <f>VLOOKUP($C1923,Product_Dim!$A$2:$D$101,3,FALSE)</f>
        <v>Hoffman Group</v>
      </c>
      <c r="G1923" t="str">
        <f>VLOOKUP($C1923,Product_Dim!$A$2:$D$101,2,FALSE)</f>
        <v>Home</v>
      </c>
      <c r="H1923">
        <v>2</v>
      </c>
      <c r="I1923">
        <v>915.15</v>
      </c>
      <c r="J1923">
        <v>0.16</v>
      </c>
      <c r="K1923" s="3">
        <v>1537.452</v>
      </c>
      <c r="L1923" t="s">
        <v>854</v>
      </c>
      <c r="M1923" t="str">
        <f>VLOOKUP($E1923,Customer_Dim!$A$2:$F$501,3,FALSE)</f>
        <v>Male</v>
      </c>
      <c r="N1923" t="str">
        <f>VLOOKUP($E1923,Customer_Dim!$A$2:$F$501,5,FALSE)</f>
        <v>USA</v>
      </c>
      <c r="O1923" t="str">
        <f>VLOOKUP($E1923,Customer_Dim!$A$2:$F$501,6,FALSE)</f>
        <v>Platinum</v>
      </c>
      <c r="P1923" t="str">
        <f>VLOOKUP($A1923,Store_Dim!$A$2:$F$21,3,FALSE)</f>
        <v>SouthEast Johnstad</v>
      </c>
    </row>
    <row r="1924" spans="1:16" hidden="1" x14ac:dyDescent="0.25">
      <c r="A1924" t="s">
        <v>814</v>
      </c>
      <c r="B1924" t="s">
        <v>1669</v>
      </c>
      <c r="C1924" t="s">
        <v>579</v>
      </c>
      <c r="D1924" s="2">
        <v>45398</v>
      </c>
      <c r="E1924" t="s">
        <v>117</v>
      </c>
      <c r="F1924" t="str">
        <f>VLOOKUP($C1924,Product_Dim!$A$2:$D$101,3,FALSE)</f>
        <v>Pineda Ltd</v>
      </c>
      <c r="G1924" t="str">
        <f>VLOOKUP($C1924,Product_Dim!$A$2:$D$101,2,FALSE)</f>
        <v>Clothing</v>
      </c>
      <c r="H1924">
        <v>4</v>
      </c>
      <c r="I1924">
        <v>348.91</v>
      </c>
      <c r="J1924">
        <v>0.18</v>
      </c>
      <c r="K1924" s="3">
        <v>1144.4248</v>
      </c>
      <c r="L1924" t="s">
        <v>854</v>
      </c>
      <c r="M1924" t="str">
        <f>VLOOKUP($E1924,Customer_Dim!$A$2:$F$501,3,FALSE)</f>
        <v>Female</v>
      </c>
      <c r="N1924" t="str">
        <f>VLOOKUP($E1924,Customer_Dim!$A$2:$F$501,5,FALSE)</f>
        <v>USA</v>
      </c>
      <c r="O1924" t="str">
        <f>VLOOKUP($E1924,Customer_Dim!$A$2:$F$501,6,FALSE)</f>
        <v>Silver</v>
      </c>
      <c r="P1924" t="str">
        <f>VLOOKUP($A1924,Store_Dim!$A$2:$F$21,3,FALSE)</f>
        <v>SouthEast Johnstad</v>
      </c>
    </row>
    <row r="1925" spans="1:16" x14ac:dyDescent="0.25">
      <c r="A1925" t="s">
        <v>814</v>
      </c>
      <c r="B1925" t="s">
        <v>2382</v>
      </c>
      <c r="C1925" t="s">
        <v>579</v>
      </c>
      <c r="D1925" s="2">
        <v>45434</v>
      </c>
      <c r="E1925" t="s">
        <v>139</v>
      </c>
      <c r="F1925" t="str">
        <f>VLOOKUP($C1925,Product_Dim!$A$2:$D$101,3,FALSE)</f>
        <v>Pineda Ltd</v>
      </c>
      <c r="G1925" t="str">
        <f>VLOOKUP($C1925,Product_Dim!$A$2:$D$101,2,FALSE)</f>
        <v>Clothing</v>
      </c>
      <c r="H1925">
        <v>3</v>
      </c>
      <c r="I1925">
        <v>657.24</v>
      </c>
      <c r="J1925">
        <v>0.18</v>
      </c>
      <c r="K1925" s="3">
        <v>1616.8104000000001</v>
      </c>
      <c r="L1925" t="s">
        <v>854</v>
      </c>
      <c r="M1925" t="str">
        <f>VLOOKUP($E1925,Customer_Dim!$A$2:$F$501,3,FALSE)</f>
        <v>Male</v>
      </c>
      <c r="N1925" t="str">
        <f>VLOOKUP($E1925,Customer_Dim!$A$2:$F$501,5,FALSE)</f>
        <v>USA</v>
      </c>
      <c r="O1925" t="str">
        <f>VLOOKUP($E1925,Customer_Dim!$A$2:$F$501,6,FALSE)</f>
        <v>Bronze</v>
      </c>
      <c r="P1925" t="str">
        <f>VLOOKUP($A1925,Store_Dim!$A$2:$F$21,3,FALSE)</f>
        <v>SouthEast Johnstad</v>
      </c>
    </row>
    <row r="1926" spans="1:16" x14ac:dyDescent="0.25">
      <c r="A1926" t="s">
        <v>814</v>
      </c>
      <c r="B1926" t="s">
        <v>1289</v>
      </c>
      <c r="C1926" t="s">
        <v>579</v>
      </c>
      <c r="D1926" s="2">
        <v>45889</v>
      </c>
      <c r="E1926" t="s">
        <v>355</v>
      </c>
      <c r="F1926" t="str">
        <f>VLOOKUP($C1926,Product_Dim!$A$2:$D$101,3,FALSE)</f>
        <v>Pineda Ltd</v>
      </c>
      <c r="G1926" t="str">
        <f>VLOOKUP($C1926,Product_Dim!$A$2:$D$101,2,FALSE)</f>
        <v>Clothing</v>
      </c>
      <c r="H1926">
        <v>4</v>
      </c>
      <c r="I1926">
        <v>758.49</v>
      </c>
      <c r="J1926">
        <v>0.16</v>
      </c>
      <c r="K1926" s="3">
        <v>2548.5264000000002</v>
      </c>
      <c r="L1926" t="s">
        <v>857</v>
      </c>
      <c r="M1926" t="str">
        <f>VLOOKUP($E1926,Customer_Dim!$A$2:$F$501,3,FALSE)</f>
        <v>Male</v>
      </c>
      <c r="N1926" t="str">
        <f>VLOOKUP($E1926,Customer_Dim!$A$2:$F$501,5,FALSE)</f>
        <v>USA</v>
      </c>
      <c r="O1926" t="str">
        <f>VLOOKUP($E1926,Customer_Dim!$A$2:$F$501,6,FALSE)</f>
        <v>Gold</v>
      </c>
      <c r="P1926" t="str">
        <f>VLOOKUP($A1926,Store_Dim!$A$2:$F$21,3,FALSE)</f>
        <v>SouthEast Johnstad</v>
      </c>
    </row>
    <row r="1927" spans="1:16" hidden="1" x14ac:dyDescent="0.25">
      <c r="A1927" t="s">
        <v>814</v>
      </c>
      <c r="B1927" t="s">
        <v>1798</v>
      </c>
      <c r="C1927" t="s">
        <v>579</v>
      </c>
      <c r="D1927" s="2">
        <v>45503</v>
      </c>
      <c r="E1927" t="s">
        <v>450</v>
      </c>
      <c r="F1927" t="str">
        <f>VLOOKUP($C1927,Product_Dim!$A$2:$D$101,3,FALSE)</f>
        <v>Pineda Ltd</v>
      </c>
      <c r="G1927" t="str">
        <f>VLOOKUP($C1927,Product_Dim!$A$2:$D$101,2,FALSE)</f>
        <v>Clothing</v>
      </c>
      <c r="H1927">
        <v>3</v>
      </c>
      <c r="I1927">
        <v>462.75</v>
      </c>
      <c r="J1927">
        <v>0.22</v>
      </c>
      <c r="K1927" s="3">
        <v>1082.835</v>
      </c>
      <c r="L1927" t="s">
        <v>854</v>
      </c>
      <c r="M1927" t="str">
        <f>VLOOKUP($E1927,Customer_Dim!$A$2:$F$501,3,FALSE)</f>
        <v>Female</v>
      </c>
      <c r="N1927" t="str">
        <f>VLOOKUP($E1927,Customer_Dim!$A$2:$F$501,5,FALSE)</f>
        <v>USA</v>
      </c>
      <c r="O1927" t="str">
        <f>VLOOKUP($E1927,Customer_Dim!$A$2:$F$501,6,FALSE)</f>
        <v>Silver</v>
      </c>
      <c r="P1927" t="str">
        <f>VLOOKUP($A1927,Store_Dim!$A$2:$F$21,3,FALSE)</f>
        <v>SouthEast Johnstad</v>
      </c>
    </row>
    <row r="1928" spans="1:16" x14ac:dyDescent="0.25">
      <c r="A1928" t="s">
        <v>814</v>
      </c>
      <c r="B1928" t="s">
        <v>1022</v>
      </c>
      <c r="C1928" t="s">
        <v>636</v>
      </c>
      <c r="D1928" s="2">
        <v>45462</v>
      </c>
      <c r="E1928" t="s">
        <v>170</v>
      </c>
      <c r="F1928" t="str">
        <f>VLOOKUP($C1928,Product_Dim!$A$2:$D$101,3,FALSE)</f>
        <v>Stevens, Fernandez and Martin</v>
      </c>
      <c r="G1928" t="str">
        <f>VLOOKUP($C1928,Product_Dim!$A$2:$D$101,2,FALSE)</f>
        <v>Home</v>
      </c>
      <c r="H1928">
        <v>1</v>
      </c>
      <c r="I1928">
        <v>998.19</v>
      </c>
      <c r="J1928">
        <v>0.2</v>
      </c>
      <c r="K1928" s="3">
        <v>798.55200000000013</v>
      </c>
      <c r="L1928" t="s">
        <v>852</v>
      </c>
      <c r="M1928" t="str">
        <f>VLOOKUP($E1928,Customer_Dim!$A$2:$F$501,3,FALSE)</f>
        <v>Male</v>
      </c>
      <c r="N1928" t="str">
        <f>VLOOKUP($E1928,Customer_Dim!$A$2:$F$501,5,FALSE)</f>
        <v>USA</v>
      </c>
      <c r="O1928" t="str">
        <f>VLOOKUP($E1928,Customer_Dim!$A$2:$F$501,6,FALSE)</f>
        <v>Bronze</v>
      </c>
      <c r="P1928" t="str">
        <f>VLOOKUP($A1928,Store_Dim!$A$2:$F$21,3,FALSE)</f>
        <v>SouthEast Johnstad</v>
      </c>
    </row>
    <row r="1929" spans="1:16" x14ac:dyDescent="0.25">
      <c r="A1929" t="s">
        <v>814</v>
      </c>
      <c r="B1929" t="s">
        <v>1157</v>
      </c>
      <c r="C1929" t="s">
        <v>638</v>
      </c>
      <c r="D1929" s="2">
        <v>45813</v>
      </c>
      <c r="E1929" t="s">
        <v>158</v>
      </c>
      <c r="F1929" t="str">
        <f>VLOOKUP($C1929,Product_Dim!$A$2:$D$101,3,FALSE)</f>
        <v>Nolan-Snow</v>
      </c>
      <c r="G1929" t="str">
        <f>VLOOKUP($C1929,Product_Dim!$A$2:$D$101,2,FALSE)</f>
        <v>Sports</v>
      </c>
      <c r="H1929">
        <v>2</v>
      </c>
      <c r="I1929">
        <v>916.49</v>
      </c>
      <c r="J1929">
        <v>0.3</v>
      </c>
      <c r="K1929" s="3">
        <v>1283.086</v>
      </c>
      <c r="L1929" t="s">
        <v>857</v>
      </c>
      <c r="M1929" t="str">
        <f>VLOOKUP($E1929,Customer_Dim!$A$2:$F$501,3,FALSE)</f>
        <v>Male</v>
      </c>
      <c r="N1929" t="str">
        <f>VLOOKUP($E1929,Customer_Dim!$A$2:$F$501,5,FALSE)</f>
        <v>USA</v>
      </c>
      <c r="O1929" t="str">
        <f>VLOOKUP($E1929,Customer_Dim!$A$2:$F$501,6,FALSE)</f>
        <v>Silver</v>
      </c>
      <c r="P1929" t="str">
        <f>VLOOKUP($A1929,Store_Dim!$A$2:$F$21,3,FALSE)</f>
        <v>SouthEast Johnstad</v>
      </c>
    </row>
    <row r="1930" spans="1:16" hidden="1" x14ac:dyDescent="0.25">
      <c r="A1930" t="s">
        <v>814</v>
      </c>
      <c r="B1930" t="s">
        <v>1310</v>
      </c>
      <c r="C1930" t="s">
        <v>640</v>
      </c>
      <c r="D1930" s="2">
        <v>45527</v>
      </c>
      <c r="E1930" t="s">
        <v>280</v>
      </c>
      <c r="F1930" t="str">
        <f>VLOOKUP($C1930,Product_Dim!$A$2:$D$101,3,FALSE)</f>
        <v>Griffin Ltd</v>
      </c>
      <c r="G1930" t="str">
        <f>VLOOKUP($C1930,Product_Dim!$A$2:$D$101,2,FALSE)</f>
        <v>Beauty</v>
      </c>
      <c r="H1930">
        <v>4</v>
      </c>
      <c r="I1930">
        <v>315.95</v>
      </c>
      <c r="J1930">
        <v>0.19</v>
      </c>
      <c r="K1930" s="3">
        <v>1023.678</v>
      </c>
      <c r="L1930" t="s">
        <v>857</v>
      </c>
      <c r="M1930" t="str">
        <f>VLOOKUP($E1930,Customer_Dim!$A$2:$F$501,3,FALSE)</f>
        <v>Female</v>
      </c>
      <c r="N1930" t="str">
        <f>VLOOKUP($E1930,Customer_Dim!$A$2:$F$501,5,FALSE)</f>
        <v>USA</v>
      </c>
      <c r="O1930" t="str">
        <f>VLOOKUP($E1930,Customer_Dim!$A$2:$F$501,6,FALSE)</f>
        <v>Gold</v>
      </c>
      <c r="P1930" t="str">
        <f>VLOOKUP($A1930,Store_Dim!$A$2:$F$21,3,FALSE)</f>
        <v>SouthEast Johnstad</v>
      </c>
    </row>
    <row r="1931" spans="1:16" x14ac:dyDescent="0.25">
      <c r="A1931" t="s">
        <v>814</v>
      </c>
      <c r="B1931" t="s">
        <v>1887</v>
      </c>
      <c r="C1931" t="s">
        <v>642</v>
      </c>
      <c r="D1931" s="2">
        <v>45479</v>
      </c>
      <c r="E1931" t="s">
        <v>312</v>
      </c>
      <c r="F1931" t="str">
        <f>VLOOKUP($C1931,Product_Dim!$A$2:$D$101,3,FALSE)</f>
        <v>Weiss-Watson</v>
      </c>
      <c r="G1931" t="str">
        <f>VLOOKUP($C1931,Product_Dim!$A$2:$D$101,2,FALSE)</f>
        <v>Home</v>
      </c>
      <c r="H1931">
        <v>1</v>
      </c>
      <c r="I1931">
        <v>409.41</v>
      </c>
      <c r="J1931">
        <v>0.13</v>
      </c>
      <c r="K1931" s="3">
        <v>356.18669999999997</v>
      </c>
      <c r="L1931" t="s">
        <v>854</v>
      </c>
      <c r="M1931" t="str">
        <f>VLOOKUP($E1931,Customer_Dim!$A$2:$F$501,3,FALSE)</f>
        <v>Male</v>
      </c>
      <c r="N1931" t="str">
        <f>VLOOKUP($E1931,Customer_Dim!$A$2:$F$501,5,FALSE)</f>
        <v>USA</v>
      </c>
      <c r="O1931" t="str">
        <f>VLOOKUP($E1931,Customer_Dim!$A$2:$F$501,6,FALSE)</f>
        <v>Bronze</v>
      </c>
      <c r="P1931" t="str">
        <f>VLOOKUP($A1931,Store_Dim!$A$2:$F$21,3,FALSE)</f>
        <v>SouthEast Johnstad</v>
      </c>
    </row>
    <row r="1932" spans="1:16" hidden="1" x14ac:dyDescent="0.25">
      <c r="A1932" t="s">
        <v>814</v>
      </c>
      <c r="B1932" t="s">
        <v>1572</v>
      </c>
      <c r="C1932" t="s">
        <v>642</v>
      </c>
      <c r="D1932" s="2">
        <v>45656</v>
      </c>
      <c r="E1932" t="s">
        <v>564</v>
      </c>
      <c r="F1932" t="str">
        <f>VLOOKUP($C1932,Product_Dim!$A$2:$D$101,3,FALSE)</f>
        <v>Weiss-Watson</v>
      </c>
      <c r="G1932" t="str">
        <f>VLOOKUP($C1932,Product_Dim!$A$2:$D$101,2,FALSE)</f>
        <v>Home</v>
      </c>
      <c r="H1932">
        <v>2</v>
      </c>
      <c r="I1932">
        <v>974.35</v>
      </c>
      <c r="J1932">
        <v>0.15</v>
      </c>
      <c r="K1932" s="3">
        <v>1656.395</v>
      </c>
      <c r="L1932" t="s">
        <v>852</v>
      </c>
      <c r="M1932" t="str">
        <f>VLOOKUP($E1932,Customer_Dim!$A$2:$F$501,3,FALSE)</f>
        <v>Female</v>
      </c>
      <c r="N1932" t="str">
        <f>VLOOKUP($E1932,Customer_Dim!$A$2:$F$501,5,FALSE)</f>
        <v>USA</v>
      </c>
      <c r="O1932" t="str">
        <f>VLOOKUP($E1932,Customer_Dim!$A$2:$F$501,6,FALSE)</f>
        <v>Gold</v>
      </c>
      <c r="P1932" t="str">
        <f>VLOOKUP($A1932,Store_Dim!$A$2:$F$21,3,FALSE)</f>
        <v>SouthEast Johnstad</v>
      </c>
    </row>
    <row r="1933" spans="1:16" hidden="1" x14ac:dyDescent="0.25">
      <c r="A1933" t="s">
        <v>814</v>
      </c>
      <c r="B1933" t="s">
        <v>2482</v>
      </c>
      <c r="C1933" t="s">
        <v>644</v>
      </c>
      <c r="D1933" s="2">
        <v>45829</v>
      </c>
      <c r="E1933" t="s">
        <v>124</v>
      </c>
      <c r="F1933" t="str">
        <f>VLOOKUP($C1933,Product_Dim!$A$2:$D$101,3,FALSE)</f>
        <v>Lucero LLC</v>
      </c>
      <c r="G1933" t="str">
        <f>VLOOKUP($C1933,Product_Dim!$A$2:$D$101,2,FALSE)</f>
        <v>Electronics</v>
      </c>
      <c r="H1933">
        <v>3</v>
      </c>
      <c r="I1933">
        <v>109.5</v>
      </c>
      <c r="J1933">
        <v>0.06</v>
      </c>
      <c r="K1933" s="3">
        <v>308.79000000000002</v>
      </c>
      <c r="L1933" t="s">
        <v>857</v>
      </c>
      <c r="M1933" t="str">
        <f>VLOOKUP($E1933,Customer_Dim!$A$2:$F$501,3,FALSE)</f>
        <v>Female</v>
      </c>
      <c r="N1933" t="str">
        <f>VLOOKUP($E1933,Customer_Dim!$A$2:$F$501,5,FALSE)</f>
        <v>USA</v>
      </c>
      <c r="O1933" t="str">
        <f>VLOOKUP($E1933,Customer_Dim!$A$2:$F$501,6,FALSE)</f>
        <v>Gold</v>
      </c>
      <c r="P1933" t="str">
        <f>VLOOKUP($A1933,Store_Dim!$A$2:$F$21,3,FALSE)</f>
        <v>SouthEast Johnstad</v>
      </c>
    </row>
    <row r="1934" spans="1:16" hidden="1" x14ac:dyDescent="0.25">
      <c r="A1934" t="s">
        <v>814</v>
      </c>
      <c r="B1934" t="s">
        <v>2042</v>
      </c>
      <c r="C1934" t="s">
        <v>644</v>
      </c>
      <c r="D1934" s="2">
        <v>45530</v>
      </c>
      <c r="E1934" t="s">
        <v>274</v>
      </c>
      <c r="F1934" t="str">
        <f>VLOOKUP($C1934,Product_Dim!$A$2:$D$101,3,FALSE)</f>
        <v>Lucero LLC</v>
      </c>
      <c r="G1934" t="str">
        <f>VLOOKUP($C1934,Product_Dim!$A$2:$D$101,2,FALSE)</f>
        <v>Electronics</v>
      </c>
      <c r="H1934">
        <v>2</v>
      </c>
      <c r="I1934">
        <v>166.26</v>
      </c>
      <c r="J1934">
        <v>0.14000000000000001</v>
      </c>
      <c r="K1934" s="3">
        <v>285.96719999999999</v>
      </c>
      <c r="L1934" t="s">
        <v>854</v>
      </c>
      <c r="M1934" t="str">
        <f>VLOOKUP($E1934,Customer_Dim!$A$2:$F$501,3,FALSE)</f>
        <v>Female</v>
      </c>
      <c r="N1934" t="str">
        <f>VLOOKUP($E1934,Customer_Dim!$A$2:$F$501,5,FALSE)</f>
        <v>USA</v>
      </c>
      <c r="O1934" t="str">
        <f>VLOOKUP($E1934,Customer_Dim!$A$2:$F$501,6,FALSE)</f>
        <v>Platinum</v>
      </c>
      <c r="P1934" t="str">
        <f>VLOOKUP($A1934,Store_Dim!$A$2:$F$21,3,FALSE)</f>
        <v>SouthEast Johnstad</v>
      </c>
    </row>
    <row r="1935" spans="1:16" x14ac:dyDescent="0.25">
      <c r="A1935" t="s">
        <v>814</v>
      </c>
      <c r="B1935" t="s">
        <v>1057</v>
      </c>
      <c r="C1935" t="s">
        <v>644</v>
      </c>
      <c r="D1935" s="2">
        <v>45327</v>
      </c>
      <c r="E1935" t="s">
        <v>539</v>
      </c>
      <c r="F1935" t="str">
        <f>VLOOKUP($C1935,Product_Dim!$A$2:$D$101,3,FALSE)</f>
        <v>Lucero LLC</v>
      </c>
      <c r="G1935" t="str">
        <f>VLOOKUP($C1935,Product_Dim!$A$2:$D$101,2,FALSE)</f>
        <v>Electronics</v>
      </c>
      <c r="H1935">
        <v>2</v>
      </c>
      <c r="I1935">
        <v>597.07000000000005</v>
      </c>
      <c r="J1935">
        <v>0.28000000000000003</v>
      </c>
      <c r="K1935" s="3">
        <v>859.7808</v>
      </c>
      <c r="L1935" t="s">
        <v>854</v>
      </c>
      <c r="M1935" t="str">
        <f>VLOOKUP($E1935,Customer_Dim!$A$2:$F$501,3,FALSE)</f>
        <v>Male</v>
      </c>
      <c r="N1935" t="str">
        <f>VLOOKUP($E1935,Customer_Dim!$A$2:$F$501,5,FALSE)</f>
        <v>USA</v>
      </c>
      <c r="O1935" t="str">
        <f>VLOOKUP($E1935,Customer_Dim!$A$2:$F$501,6,FALSE)</f>
        <v>Silver</v>
      </c>
      <c r="P1935" t="str">
        <f>VLOOKUP($A1935,Store_Dim!$A$2:$F$21,3,FALSE)</f>
        <v>SouthEast Johnstad</v>
      </c>
    </row>
    <row r="1936" spans="1:16" x14ac:dyDescent="0.25">
      <c r="A1936" t="s">
        <v>814</v>
      </c>
      <c r="B1936" t="s">
        <v>2143</v>
      </c>
      <c r="C1936" t="s">
        <v>648</v>
      </c>
      <c r="D1936" s="2">
        <v>45537</v>
      </c>
      <c r="E1936" t="s">
        <v>241</v>
      </c>
      <c r="F1936" t="str">
        <f>VLOOKUP($C1936,Product_Dim!$A$2:$D$101,3,FALSE)</f>
        <v>Smith-Mills</v>
      </c>
      <c r="G1936" t="str">
        <f>VLOOKUP($C1936,Product_Dim!$A$2:$D$101,2,FALSE)</f>
        <v>Clothing</v>
      </c>
      <c r="H1936">
        <v>2</v>
      </c>
      <c r="I1936">
        <v>117.34</v>
      </c>
      <c r="J1936">
        <v>0.09</v>
      </c>
      <c r="K1936" s="3">
        <v>213.55879999999999</v>
      </c>
      <c r="L1936" t="s">
        <v>854</v>
      </c>
      <c r="M1936" t="str">
        <f>VLOOKUP($E1936,Customer_Dim!$A$2:$F$501,3,FALSE)</f>
        <v>Male</v>
      </c>
      <c r="N1936" t="str">
        <f>VLOOKUP($E1936,Customer_Dim!$A$2:$F$501,5,FALSE)</f>
        <v>USA</v>
      </c>
      <c r="O1936" t="str">
        <f>VLOOKUP($E1936,Customer_Dim!$A$2:$F$501,6,FALSE)</f>
        <v>Platinum</v>
      </c>
      <c r="P1936" t="str">
        <f>VLOOKUP($A1936,Store_Dim!$A$2:$F$21,3,FALSE)</f>
        <v>SouthEast Johnstad</v>
      </c>
    </row>
    <row r="1937" spans="1:16" hidden="1" x14ac:dyDescent="0.25">
      <c r="A1937" t="s">
        <v>814</v>
      </c>
      <c r="B1937" t="s">
        <v>869</v>
      </c>
      <c r="C1937" t="s">
        <v>648</v>
      </c>
      <c r="D1937" s="2">
        <v>45636</v>
      </c>
      <c r="E1937" t="s">
        <v>502</v>
      </c>
      <c r="F1937" t="str">
        <f>VLOOKUP($C1937,Product_Dim!$A$2:$D$101,3,FALSE)</f>
        <v>Smith-Mills</v>
      </c>
      <c r="G1937" t="str">
        <f>VLOOKUP($C1937,Product_Dim!$A$2:$D$101,2,FALSE)</f>
        <v>Clothing</v>
      </c>
      <c r="H1937" s="4">
        <f>K1937/(I1937-J1937)</f>
        <v>2.8801322162286236</v>
      </c>
      <c r="I1937">
        <v>871.34</v>
      </c>
      <c r="J1937">
        <v>0.04</v>
      </c>
      <c r="K1937" s="3">
        <v>2509.4591999999998</v>
      </c>
      <c r="L1937" t="s">
        <v>857</v>
      </c>
      <c r="M1937" t="str">
        <f>VLOOKUP($E1937,Customer_Dim!$A$2:$F$501,3,FALSE)</f>
        <v>Female</v>
      </c>
      <c r="N1937" t="str">
        <f>VLOOKUP($E1937,Customer_Dim!$A$2:$F$501,5,FALSE)</f>
        <v>USA</v>
      </c>
      <c r="O1937" t="str">
        <f>VLOOKUP($E1937,Customer_Dim!$A$2:$F$501,6,FALSE)</f>
        <v>Silver</v>
      </c>
      <c r="P1937" t="str">
        <f>VLOOKUP($A1937,Store_Dim!$A$2:$F$21,3,FALSE)</f>
        <v>SouthEast Johnstad</v>
      </c>
    </row>
    <row r="1938" spans="1:16" hidden="1" x14ac:dyDescent="0.25">
      <c r="A1938" t="s">
        <v>814</v>
      </c>
      <c r="B1938" t="s">
        <v>2811</v>
      </c>
      <c r="C1938" t="s">
        <v>650</v>
      </c>
      <c r="D1938" s="2">
        <v>45806</v>
      </c>
      <c r="E1938" t="s">
        <v>523</v>
      </c>
      <c r="F1938" t="str">
        <f>VLOOKUP($C1938,Product_Dim!$A$2:$D$101,3,FALSE)</f>
        <v>Hogan-Lee</v>
      </c>
      <c r="G1938" t="str">
        <f>VLOOKUP($C1938,Product_Dim!$A$2:$D$101,2,FALSE)</f>
        <v>Clothing</v>
      </c>
      <c r="H1938">
        <v>3</v>
      </c>
      <c r="I1938">
        <v>765.12</v>
      </c>
      <c r="J1938">
        <v>0.18</v>
      </c>
      <c r="K1938" s="3">
        <v>1882.1952000000001</v>
      </c>
      <c r="L1938" t="s">
        <v>852</v>
      </c>
      <c r="M1938" t="str">
        <f>VLOOKUP($E1938,Customer_Dim!$A$2:$F$501,3,FALSE)</f>
        <v>Female</v>
      </c>
      <c r="N1938" t="str">
        <f>VLOOKUP($E1938,Customer_Dim!$A$2:$F$501,5,FALSE)</f>
        <v>USA</v>
      </c>
      <c r="O1938" t="str">
        <f>VLOOKUP($E1938,Customer_Dim!$A$2:$F$501,6,FALSE)</f>
        <v>Gold</v>
      </c>
      <c r="P1938" t="str">
        <f>VLOOKUP($A1938,Store_Dim!$A$2:$F$21,3,FALSE)</f>
        <v>SouthEast Johnstad</v>
      </c>
    </row>
    <row r="1939" spans="1:16" hidden="1" x14ac:dyDescent="0.25">
      <c r="A1939" t="s">
        <v>814</v>
      </c>
      <c r="B1939" t="s">
        <v>2503</v>
      </c>
      <c r="C1939" t="s">
        <v>652</v>
      </c>
      <c r="D1939" s="2">
        <v>45787</v>
      </c>
      <c r="E1939" t="s">
        <v>100</v>
      </c>
      <c r="F1939" t="str">
        <f>VLOOKUP($C1939,Product_Dim!$A$2:$D$101,3,FALSE)</f>
        <v>Sims-Smith</v>
      </c>
      <c r="G1939" t="str">
        <f>VLOOKUP($C1939,Product_Dim!$A$2:$D$101,2,FALSE)</f>
        <v>Sports</v>
      </c>
      <c r="H1939">
        <v>1</v>
      </c>
      <c r="I1939">
        <v>228.69</v>
      </c>
      <c r="J1939">
        <v>0.14000000000000001</v>
      </c>
      <c r="K1939" s="3">
        <v>196.67339999999999</v>
      </c>
      <c r="L1939" t="s">
        <v>852</v>
      </c>
      <c r="M1939" t="str">
        <f>VLOOKUP($E1939,Customer_Dim!$A$2:$F$501,3,FALSE)</f>
        <v>Female</v>
      </c>
      <c r="N1939" t="str">
        <f>VLOOKUP($E1939,Customer_Dim!$A$2:$F$501,5,FALSE)</f>
        <v>USA</v>
      </c>
      <c r="O1939" t="str">
        <f>VLOOKUP($E1939,Customer_Dim!$A$2:$F$501,6,FALSE)</f>
        <v>Gold</v>
      </c>
      <c r="P1939" t="str">
        <f>VLOOKUP($A1939,Store_Dim!$A$2:$F$21,3,FALSE)</f>
        <v>SouthEast Johnstad</v>
      </c>
    </row>
    <row r="1940" spans="1:16" x14ac:dyDescent="0.25">
      <c r="A1940" t="s">
        <v>814</v>
      </c>
      <c r="B1940" t="s">
        <v>2147</v>
      </c>
      <c r="C1940" t="s">
        <v>652</v>
      </c>
      <c r="D1940" s="2">
        <v>45330</v>
      </c>
      <c r="E1940" t="s">
        <v>342</v>
      </c>
      <c r="F1940" t="str">
        <f>VLOOKUP($C1940,Product_Dim!$A$2:$D$101,3,FALSE)</f>
        <v>Sims-Smith</v>
      </c>
      <c r="G1940" t="str">
        <f>VLOOKUP($C1940,Product_Dim!$A$2:$D$101,2,FALSE)</f>
        <v>Sports</v>
      </c>
      <c r="H1940">
        <v>1</v>
      </c>
      <c r="I1940">
        <v>40.25</v>
      </c>
      <c r="J1940">
        <v>0.1</v>
      </c>
      <c r="K1940" s="3">
        <v>36.225000000000001</v>
      </c>
      <c r="L1940" t="s">
        <v>854</v>
      </c>
      <c r="M1940" t="str">
        <f>VLOOKUP($E1940,Customer_Dim!$A$2:$F$501,3,FALSE)</f>
        <v>Male</v>
      </c>
      <c r="N1940" t="str">
        <f>VLOOKUP($E1940,Customer_Dim!$A$2:$F$501,5,FALSE)</f>
        <v>USA</v>
      </c>
      <c r="O1940" t="str">
        <f>VLOOKUP($E1940,Customer_Dim!$A$2:$F$501,6,FALSE)</f>
        <v>Gold</v>
      </c>
      <c r="P1940" t="str">
        <f>VLOOKUP($A1940,Store_Dim!$A$2:$F$21,3,FALSE)</f>
        <v>SouthEast Johnstad</v>
      </c>
    </row>
    <row r="1941" spans="1:16" hidden="1" x14ac:dyDescent="0.25">
      <c r="A1941" t="s">
        <v>814</v>
      </c>
      <c r="B1941" t="s">
        <v>2451</v>
      </c>
      <c r="C1941" t="s">
        <v>652</v>
      </c>
      <c r="D1941" s="2">
        <v>45367</v>
      </c>
      <c r="E1941" t="s">
        <v>553</v>
      </c>
      <c r="F1941" t="str">
        <f>VLOOKUP($C1941,Product_Dim!$A$2:$D$101,3,FALSE)</f>
        <v>Sims-Smith</v>
      </c>
      <c r="G1941" t="str">
        <f>VLOOKUP($C1941,Product_Dim!$A$2:$D$101,2,FALSE)</f>
        <v>Sports</v>
      </c>
      <c r="H1941">
        <v>2</v>
      </c>
      <c r="I1941">
        <v>999.08</v>
      </c>
      <c r="J1941">
        <v>0.3</v>
      </c>
      <c r="K1941" s="3">
        <v>1398.712</v>
      </c>
      <c r="L1941" t="s">
        <v>854</v>
      </c>
      <c r="M1941" t="str">
        <f>VLOOKUP($E1941,Customer_Dim!$A$2:$F$501,3,FALSE)</f>
        <v>Female</v>
      </c>
      <c r="N1941" t="str">
        <f>VLOOKUP($E1941,Customer_Dim!$A$2:$F$501,5,FALSE)</f>
        <v>USA</v>
      </c>
      <c r="O1941" t="str">
        <f>VLOOKUP($E1941,Customer_Dim!$A$2:$F$501,6,FALSE)</f>
        <v>Bronze</v>
      </c>
      <c r="P1941" t="str">
        <f>VLOOKUP($A1941,Store_Dim!$A$2:$F$21,3,FALSE)</f>
        <v>SouthEast Johnstad</v>
      </c>
    </row>
    <row r="1942" spans="1:16" hidden="1" x14ac:dyDescent="0.25">
      <c r="A1942" t="s">
        <v>814</v>
      </c>
      <c r="B1942" t="s">
        <v>1788</v>
      </c>
      <c r="C1942" t="s">
        <v>654</v>
      </c>
      <c r="D1942" s="2">
        <v>45317</v>
      </c>
      <c r="E1942" t="s">
        <v>311</v>
      </c>
      <c r="F1942" t="str">
        <f>VLOOKUP($C1942,Product_Dim!$A$2:$D$101,3,FALSE)</f>
        <v>Cummings and Sons</v>
      </c>
      <c r="G1942" t="str">
        <f>VLOOKUP($C1942,Product_Dim!$A$2:$D$101,2,FALSE)</f>
        <v>Electronics</v>
      </c>
      <c r="H1942">
        <v>2</v>
      </c>
      <c r="I1942">
        <v>986.73</v>
      </c>
      <c r="J1942">
        <v>0.05</v>
      </c>
      <c r="K1942" s="3">
        <v>1874.787</v>
      </c>
      <c r="L1942" t="s">
        <v>854</v>
      </c>
      <c r="M1942" t="str">
        <f>VLOOKUP($E1942,Customer_Dim!$A$2:$F$501,3,FALSE)</f>
        <v>Female</v>
      </c>
      <c r="N1942" t="str">
        <f>VLOOKUP($E1942,Customer_Dim!$A$2:$F$501,5,FALSE)</f>
        <v>USA</v>
      </c>
      <c r="O1942" t="str">
        <f>VLOOKUP($E1942,Customer_Dim!$A$2:$F$501,6,FALSE)</f>
        <v>Platinum</v>
      </c>
      <c r="P1942" t="str">
        <f>VLOOKUP($A1942,Store_Dim!$A$2:$F$21,3,FALSE)</f>
        <v>SouthEast Johnstad</v>
      </c>
    </row>
    <row r="1943" spans="1:16" hidden="1" x14ac:dyDescent="0.25">
      <c r="A1943" t="s">
        <v>814</v>
      </c>
      <c r="B1943" t="s">
        <v>2226</v>
      </c>
      <c r="C1943" t="s">
        <v>581</v>
      </c>
      <c r="D1943" s="2">
        <v>45499</v>
      </c>
      <c r="E1943" t="s">
        <v>529</v>
      </c>
      <c r="F1943" t="str">
        <f>VLOOKUP($C1943,Product_Dim!$A$2:$D$101,3,FALSE)</f>
        <v>Gonzales-Davis</v>
      </c>
      <c r="G1943" t="str">
        <f>VLOOKUP($C1943,Product_Dim!$A$2:$D$101,2,FALSE)</f>
        <v>Clothing</v>
      </c>
      <c r="H1943">
        <v>2</v>
      </c>
      <c r="I1943">
        <v>409.26</v>
      </c>
      <c r="J1943">
        <v>0.1</v>
      </c>
      <c r="K1943" s="3">
        <v>736.66800000000001</v>
      </c>
      <c r="L1943" t="s">
        <v>854</v>
      </c>
      <c r="M1943" t="str">
        <f>VLOOKUP($E1943,Customer_Dim!$A$2:$F$501,3,FALSE)</f>
        <v>Female</v>
      </c>
      <c r="N1943" t="str">
        <f>VLOOKUP($E1943,Customer_Dim!$A$2:$F$501,5,FALSE)</f>
        <v>USA</v>
      </c>
      <c r="O1943" t="str">
        <f>VLOOKUP($E1943,Customer_Dim!$A$2:$F$501,6,FALSE)</f>
        <v>Silver</v>
      </c>
      <c r="P1943" t="str">
        <f>VLOOKUP($A1943,Store_Dim!$A$2:$F$21,3,FALSE)</f>
        <v>SouthEast Johnstad</v>
      </c>
    </row>
    <row r="1944" spans="1:16" hidden="1" x14ac:dyDescent="0.25">
      <c r="A1944" t="s">
        <v>814</v>
      </c>
      <c r="B1944" t="s">
        <v>2819</v>
      </c>
      <c r="C1944" t="s">
        <v>656</v>
      </c>
      <c r="D1944" s="2">
        <v>45424</v>
      </c>
      <c r="E1944" t="s">
        <v>67</v>
      </c>
      <c r="F1944" t="str">
        <f>VLOOKUP($C1944,Product_Dim!$A$2:$D$101,3,FALSE)</f>
        <v>Taylor-Hart</v>
      </c>
      <c r="G1944" t="str">
        <f>VLOOKUP($C1944,Product_Dim!$A$2:$D$101,2,FALSE)</f>
        <v>Electronics</v>
      </c>
      <c r="H1944">
        <v>2</v>
      </c>
      <c r="I1944">
        <v>26.36</v>
      </c>
      <c r="J1944">
        <v>0.03</v>
      </c>
      <c r="K1944" s="3">
        <v>51.138399999999997</v>
      </c>
      <c r="L1944" t="s">
        <v>857</v>
      </c>
      <c r="M1944" t="str">
        <f>VLOOKUP($E1944,Customer_Dim!$A$2:$F$501,3,FALSE)</f>
        <v>Female</v>
      </c>
      <c r="N1944" t="str">
        <f>VLOOKUP($E1944,Customer_Dim!$A$2:$F$501,5,FALSE)</f>
        <v>USA</v>
      </c>
      <c r="O1944" t="str">
        <f>VLOOKUP($E1944,Customer_Dim!$A$2:$F$501,6,FALSE)</f>
        <v>Bronze</v>
      </c>
      <c r="P1944" t="str">
        <f>VLOOKUP($A1944,Store_Dim!$A$2:$F$21,3,FALSE)</f>
        <v>SouthEast Johnstad</v>
      </c>
    </row>
    <row r="1945" spans="1:16" hidden="1" x14ac:dyDescent="0.25">
      <c r="A1945" t="s">
        <v>814</v>
      </c>
      <c r="B1945" t="s">
        <v>1525</v>
      </c>
      <c r="C1945" t="s">
        <v>658</v>
      </c>
      <c r="D1945" s="2">
        <v>45701</v>
      </c>
      <c r="E1945" t="s">
        <v>39</v>
      </c>
      <c r="F1945" t="str">
        <f>VLOOKUP($C1945,Product_Dim!$A$2:$D$101,3,FALSE)</f>
        <v>Carroll, Long and Mendoza</v>
      </c>
      <c r="G1945" t="str">
        <f>VLOOKUP($C1945,Product_Dim!$A$2:$D$101,2,FALSE)</f>
        <v>Sports</v>
      </c>
      <c r="H1945">
        <v>4</v>
      </c>
      <c r="I1945">
        <v>682.11</v>
      </c>
      <c r="J1945">
        <v>0.14000000000000001</v>
      </c>
      <c r="K1945" s="3">
        <v>2346.4584</v>
      </c>
      <c r="L1945" t="s">
        <v>852</v>
      </c>
      <c r="M1945" t="str">
        <f>VLOOKUP($E1945,Customer_Dim!$A$2:$F$501,3,FALSE)</f>
        <v>Female</v>
      </c>
      <c r="N1945" t="str">
        <f>VLOOKUP($E1945,Customer_Dim!$A$2:$F$501,5,FALSE)</f>
        <v>USA</v>
      </c>
      <c r="O1945" t="str">
        <f>VLOOKUP($E1945,Customer_Dim!$A$2:$F$501,6,FALSE)</f>
        <v>Silver</v>
      </c>
      <c r="P1945" t="str">
        <f>VLOOKUP($A1945,Store_Dim!$A$2:$F$21,3,FALSE)</f>
        <v>SouthEast Johnstad</v>
      </c>
    </row>
    <row r="1946" spans="1:16" hidden="1" x14ac:dyDescent="0.25">
      <c r="A1946" t="s">
        <v>814</v>
      </c>
      <c r="B1946" t="s">
        <v>1213</v>
      </c>
      <c r="C1946" t="s">
        <v>658</v>
      </c>
      <c r="D1946" s="2">
        <v>45480</v>
      </c>
      <c r="E1946" t="s">
        <v>484</v>
      </c>
      <c r="F1946" t="str">
        <f>VLOOKUP($C1946,Product_Dim!$A$2:$D$101,3,FALSE)</f>
        <v>Carroll, Long and Mendoza</v>
      </c>
      <c r="G1946" t="str">
        <f>VLOOKUP($C1946,Product_Dim!$A$2:$D$101,2,FALSE)</f>
        <v>Sports</v>
      </c>
      <c r="H1946">
        <v>3</v>
      </c>
      <c r="I1946">
        <v>771.7</v>
      </c>
      <c r="J1946">
        <v>0.05</v>
      </c>
      <c r="K1946" s="3">
        <v>2199.3449999999998</v>
      </c>
      <c r="L1946" t="s">
        <v>857</v>
      </c>
      <c r="M1946" t="str">
        <f>VLOOKUP($E1946,Customer_Dim!$A$2:$F$501,3,FALSE)</f>
        <v>Female</v>
      </c>
      <c r="N1946" t="str">
        <f>VLOOKUP($E1946,Customer_Dim!$A$2:$F$501,5,FALSE)</f>
        <v>USA</v>
      </c>
      <c r="O1946" t="str">
        <f>VLOOKUP($E1946,Customer_Dim!$A$2:$F$501,6,FALSE)</f>
        <v>Bronze</v>
      </c>
      <c r="P1946" t="str">
        <f>VLOOKUP($A1946,Store_Dim!$A$2:$F$21,3,FALSE)</f>
        <v>SouthEast Johnstad</v>
      </c>
    </row>
    <row r="1947" spans="1:16" x14ac:dyDescent="0.25">
      <c r="A1947" t="s">
        <v>814</v>
      </c>
      <c r="B1947" t="s">
        <v>1734</v>
      </c>
      <c r="C1947" t="s">
        <v>660</v>
      </c>
      <c r="D1947" s="2">
        <v>45575</v>
      </c>
      <c r="E1947" t="s">
        <v>185</v>
      </c>
      <c r="F1947" t="str">
        <f>VLOOKUP($C1947,Product_Dim!$A$2:$D$101,3,FALSE)</f>
        <v>Holmes LLC</v>
      </c>
      <c r="G1947" t="str">
        <f>VLOOKUP($C1947,Product_Dim!$A$2:$D$101,2,FALSE)</f>
        <v>Electronics</v>
      </c>
      <c r="H1947">
        <v>4</v>
      </c>
      <c r="I1947">
        <v>194.36</v>
      </c>
      <c r="J1947">
        <v>0.18</v>
      </c>
      <c r="K1947" s="3">
        <v>637.50080000000014</v>
      </c>
      <c r="L1947" t="s">
        <v>857</v>
      </c>
      <c r="M1947" t="str">
        <f>VLOOKUP($E1947,Customer_Dim!$A$2:$F$501,3,FALSE)</f>
        <v>Male</v>
      </c>
      <c r="N1947" t="str">
        <f>VLOOKUP($E1947,Customer_Dim!$A$2:$F$501,5,FALSE)</f>
        <v>USA</v>
      </c>
      <c r="O1947" t="str">
        <f>VLOOKUP($E1947,Customer_Dim!$A$2:$F$501,6,FALSE)</f>
        <v>Platinum</v>
      </c>
      <c r="P1947" t="str">
        <f>VLOOKUP($A1947,Store_Dim!$A$2:$F$21,3,FALSE)</f>
        <v>SouthEast Johnstad</v>
      </c>
    </row>
    <row r="1948" spans="1:16" hidden="1" x14ac:dyDescent="0.25">
      <c r="A1948" t="s">
        <v>814</v>
      </c>
      <c r="B1948" t="s">
        <v>1891</v>
      </c>
      <c r="C1948" t="s">
        <v>662</v>
      </c>
      <c r="D1948" s="2">
        <v>45779</v>
      </c>
      <c r="E1948" t="s">
        <v>223</v>
      </c>
      <c r="F1948" t="str">
        <f>VLOOKUP($C1948,Product_Dim!$A$2:$D$101,3,FALSE)</f>
        <v>Robinson Inc</v>
      </c>
      <c r="G1948" t="str">
        <f>VLOOKUP($C1948,Product_Dim!$A$2:$D$101,2,FALSE)</f>
        <v>Electronics</v>
      </c>
      <c r="H1948">
        <v>2</v>
      </c>
      <c r="I1948">
        <v>257.77999999999997</v>
      </c>
      <c r="J1948">
        <v>0.05</v>
      </c>
      <c r="K1948" s="3">
        <v>489.78199999999993</v>
      </c>
      <c r="L1948" t="s">
        <v>852</v>
      </c>
      <c r="M1948" t="str">
        <f>VLOOKUP($E1948,Customer_Dim!$A$2:$F$501,3,FALSE)</f>
        <v>Female</v>
      </c>
      <c r="N1948" t="str">
        <f>VLOOKUP($E1948,Customer_Dim!$A$2:$F$501,5,FALSE)</f>
        <v>USA</v>
      </c>
      <c r="O1948" t="str">
        <f>VLOOKUP($E1948,Customer_Dim!$A$2:$F$501,6,FALSE)</f>
        <v>Gold</v>
      </c>
      <c r="P1948" t="str">
        <f>VLOOKUP($A1948,Store_Dim!$A$2:$F$21,3,FALSE)</f>
        <v>SouthEast Johnstad</v>
      </c>
    </row>
    <row r="1949" spans="1:16" hidden="1" x14ac:dyDescent="0.25">
      <c r="A1949" t="s">
        <v>814</v>
      </c>
      <c r="B1949" t="s">
        <v>2469</v>
      </c>
      <c r="C1949" t="s">
        <v>662</v>
      </c>
      <c r="D1949" s="2">
        <v>45742</v>
      </c>
      <c r="E1949" t="s">
        <v>284</v>
      </c>
      <c r="F1949" t="str">
        <f>VLOOKUP($C1949,Product_Dim!$A$2:$D$101,3,FALSE)</f>
        <v>Robinson Inc</v>
      </c>
      <c r="G1949" t="str">
        <f>VLOOKUP($C1949,Product_Dim!$A$2:$D$101,2,FALSE)</f>
        <v>Electronics</v>
      </c>
      <c r="H1949">
        <v>4</v>
      </c>
      <c r="I1949">
        <v>639.05999999999995</v>
      </c>
      <c r="J1949">
        <v>0.12</v>
      </c>
      <c r="K1949" s="3">
        <v>2249.4911999999999</v>
      </c>
      <c r="L1949" t="s">
        <v>854</v>
      </c>
      <c r="M1949" t="str">
        <f>VLOOKUP($E1949,Customer_Dim!$A$2:$F$501,3,FALSE)</f>
        <v>Female</v>
      </c>
      <c r="N1949" t="str">
        <f>VLOOKUP($E1949,Customer_Dim!$A$2:$F$501,5,FALSE)</f>
        <v>USA</v>
      </c>
      <c r="O1949" t="str">
        <f>VLOOKUP($E1949,Customer_Dim!$A$2:$F$501,6,FALSE)</f>
        <v>Gold</v>
      </c>
      <c r="P1949" t="str">
        <f>VLOOKUP($A1949,Store_Dim!$A$2:$F$21,3,FALSE)</f>
        <v>SouthEast Johnstad</v>
      </c>
    </row>
    <row r="1950" spans="1:16" hidden="1" x14ac:dyDescent="0.25">
      <c r="A1950" t="s">
        <v>814</v>
      </c>
      <c r="B1950" t="s">
        <v>2522</v>
      </c>
      <c r="C1950" t="s">
        <v>664</v>
      </c>
      <c r="D1950" s="2">
        <v>45843</v>
      </c>
      <c r="E1950" t="s">
        <v>388</v>
      </c>
      <c r="F1950" t="str">
        <f>VLOOKUP($C1950,Product_Dim!$A$2:$D$101,3,FALSE)</f>
        <v>Cox Inc</v>
      </c>
      <c r="G1950" t="str">
        <f>VLOOKUP($C1950,Product_Dim!$A$2:$D$101,2,FALSE)</f>
        <v>Sports</v>
      </c>
      <c r="H1950">
        <v>4</v>
      </c>
      <c r="I1950">
        <v>791.65</v>
      </c>
      <c r="J1950">
        <v>0.06</v>
      </c>
      <c r="K1950" s="3">
        <v>2976.6039999999998</v>
      </c>
      <c r="L1950" t="s">
        <v>857</v>
      </c>
      <c r="M1950" t="str">
        <f>VLOOKUP($E1950,Customer_Dim!$A$2:$F$501,3,FALSE)</f>
        <v>Female</v>
      </c>
      <c r="N1950" t="str">
        <f>VLOOKUP($E1950,Customer_Dim!$A$2:$F$501,5,FALSE)</f>
        <v>USA</v>
      </c>
      <c r="O1950" t="str">
        <f>VLOOKUP($E1950,Customer_Dim!$A$2:$F$501,6,FALSE)</f>
        <v>Bronze</v>
      </c>
      <c r="P1950" t="str">
        <f>VLOOKUP($A1950,Store_Dim!$A$2:$F$21,3,FALSE)</f>
        <v>SouthEast Johnstad</v>
      </c>
    </row>
    <row r="1951" spans="1:16" hidden="1" x14ac:dyDescent="0.25">
      <c r="A1951" t="s">
        <v>814</v>
      </c>
      <c r="B1951" t="s">
        <v>1102</v>
      </c>
      <c r="C1951" t="s">
        <v>666</v>
      </c>
      <c r="D1951" s="2">
        <v>45768</v>
      </c>
      <c r="E1951" t="s">
        <v>140</v>
      </c>
      <c r="F1951" t="str">
        <f>VLOOKUP($C1951,Product_Dim!$A$2:$D$101,3,FALSE)</f>
        <v>Bridges, Banks and Cummings</v>
      </c>
      <c r="G1951" t="str">
        <f>VLOOKUP($C1951,Product_Dim!$A$2:$D$101,2,FALSE)</f>
        <v>Sports</v>
      </c>
      <c r="H1951">
        <v>3</v>
      </c>
      <c r="I1951">
        <v>499.12</v>
      </c>
      <c r="J1951">
        <v>0.05</v>
      </c>
      <c r="K1951" s="3">
        <v>1422.492</v>
      </c>
      <c r="L1951" t="s">
        <v>854</v>
      </c>
      <c r="M1951" t="str">
        <f>VLOOKUP($E1951,Customer_Dim!$A$2:$F$501,3,FALSE)</f>
        <v>Female</v>
      </c>
      <c r="N1951" t="str">
        <f>VLOOKUP($E1951,Customer_Dim!$A$2:$F$501,5,FALSE)</f>
        <v>USA</v>
      </c>
      <c r="O1951" t="str">
        <f>VLOOKUP($E1951,Customer_Dim!$A$2:$F$501,6,FALSE)</f>
        <v>Bronze</v>
      </c>
      <c r="P1951" t="str">
        <f>VLOOKUP($A1951,Store_Dim!$A$2:$F$21,3,FALSE)</f>
        <v>SouthEast Johnstad</v>
      </c>
    </row>
    <row r="1952" spans="1:16" hidden="1" x14ac:dyDescent="0.25">
      <c r="A1952" t="s">
        <v>814</v>
      </c>
      <c r="B1952" t="s">
        <v>2069</v>
      </c>
      <c r="C1952" t="s">
        <v>668</v>
      </c>
      <c r="D1952" s="2">
        <v>45849</v>
      </c>
      <c r="E1952" t="s">
        <v>413</v>
      </c>
      <c r="F1952" t="str">
        <f>VLOOKUP($C1952,Product_Dim!$A$2:$D$101,3,FALSE)</f>
        <v>Kelly, Smith and Perez</v>
      </c>
      <c r="G1952" t="str">
        <f>VLOOKUP($C1952,Product_Dim!$A$2:$D$101,2,FALSE)</f>
        <v>Clothing</v>
      </c>
      <c r="H1952">
        <v>2</v>
      </c>
      <c r="I1952">
        <v>152.25</v>
      </c>
      <c r="J1952">
        <v>0.13</v>
      </c>
      <c r="K1952" s="3">
        <v>264.91500000000002</v>
      </c>
      <c r="L1952" t="s">
        <v>852</v>
      </c>
      <c r="M1952" t="str">
        <f>VLOOKUP($E1952,Customer_Dim!$A$2:$F$501,3,FALSE)</f>
        <v>Female</v>
      </c>
      <c r="N1952" t="str">
        <f>VLOOKUP($E1952,Customer_Dim!$A$2:$F$501,5,FALSE)</f>
        <v>USA</v>
      </c>
      <c r="O1952" t="str">
        <f>VLOOKUP($E1952,Customer_Dim!$A$2:$F$501,6,FALSE)</f>
        <v>Platinum</v>
      </c>
      <c r="P1952" t="str">
        <f>VLOOKUP($A1952,Store_Dim!$A$2:$F$21,3,FALSE)</f>
        <v>SouthEast Johnstad</v>
      </c>
    </row>
    <row r="1953" spans="1:16" hidden="1" x14ac:dyDescent="0.25">
      <c r="A1953" t="s">
        <v>814</v>
      </c>
      <c r="B1953" t="s">
        <v>1319</v>
      </c>
      <c r="C1953" t="s">
        <v>668</v>
      </c>
      <c r="D1953" s="2">
        <v>45711</v>
      </c>
      <c r="E1953" t="s">
        <v>472</v>
      </c>
      <c r="F1953" t="str">
        <f>VLOOKUP($C1953,Product_Dim!$A$2:$D$101,3,FALSE)</f>
        <v>Kelly, Smith and Perez</v>
      </c>
      <c r="G1953" t="str">
        <f>VLOOKUP($C1953,Product_Dim!$A$2:$D$101,2,FALSE)</f>
        <v>Clothing</v>
      </c>
      <c r="H1953">
        <v>1</v>
      </c>
      <c r="I1953">
        <v>83.83</v>
      </c>
      <c r="J1953">
        <v>0.05</v>
      </c>
      <c r="K1953" s="3">
        <v>79.638499999999993</v>
      </c>
      <c r="L1953" t="s">
        <v>852</v>
      </c>
      <c r="M1953" t="str">
        <f>VLOOKUP($E1953,Customer_Dim!$A$2:$F$501,3,FALSE)</f>
        <v>Female</v>
      </c>
      <c r="N1953" t="str">
        <f>VLOOKUP($E1953,Customer_Dim!$A$2:$F$501,5,FALSE)</f>
        <v>USA</v>
      </c>
      <c r="O1953" t="str">
        <f>VLOOKUP($E1953,Customer_Dim!$A$2:$F$501,6,FALSE)</f>
        <v>Gold</v>
      </c>
      <c r="P1953" t="str">
        <f>VLOOKUP($A1953,Store_Dim!$A$2:$F$21,3,FALSE)</f>
        <v>SouthEast Johnstad</v>
      </c>
    </row>
    <row r="1954" spans="1:16" hidden="1" x14ac:dyDescent="0.25">
      <c r="A1954" t="s">
        <v>814</v>
      </c>
      <c r="B1954" t="s">
        <v>2200</v>
      </c>
      <c r="C1954" t="s">
        <v>672</v>
      </c>
      <c r="D1954" s="2">
        <v>45249</v>
      </c>
      <c r="E1954" t="s">
        <v>327</v>
      </c>
      <c r="F1954" t="str">
        <f>VLOOKUP($C1954,Product_Dim!$A$2:$D$101,3,FALSE)</f>
        <v>Byrd, Stewart and Valdez</v>
      </c>
      <c r="G1954" t="str">
        <f>VLOOKUP($C1954,Product_Dim!$A$2:$D$101,2,FALSE)</f>
        <v>Electronics</v>
      </c>
      <c r="H1954">
        <v>2</v>
      </c>
      <c r="I1954">
        <v>636.51</v>
      </c>
      <c r="J1954">
        <v>0.25</v>
      </c>
      <c r="K1954" s="3">
        <v>954.76499999999999</v>
      </c>
      <c r="L1954" t="s">
        <v>852</v>
      </c>
      <c r="M1954" t="str">
        <f>VLOOKUP($E1954,Customer_Dim!$A$2:$F$501,3,FALSE)</f>
        <v>Female</v>
      </c>
      <c r="N1954" t="str">
        <f>VLOOKUP($E1954,Customer_Dim!$A$2:$F$501,5,FALSE)</f>
        <v>USA</v>
      </c>
      <c r="O1954" t="str">
        <f>VLOOKUP($E1954,Customer_Dim!$A$2:$F$501,6,FALSE)</f>
        <v>Silver</v>
      </c>
      <c r="P1954" t="str">
        <f>VLOOKUP($A1954,Store_Dim!$A$2:$F$21,3,FALSE)</f>
        <v>SouthEast Johnstad</v>
      </c>
    </row>
    <row r="1955" spans="1:16" x14ac:dyDescent="0.25">
      <c r="A1955" t="s">
        <v>814</v>
      </c>
      <c r="B1955" t="s">
        <v>2784</v>
      </c>
      <c r="C1955" t="s">
        <v>672</v>
      </c>
      <c r="D1955" s="2">
        <v>45847</v>
      </c>
      <c r="E1955" t="s">
        <v>367</v>
      </c>
      <c r="F1955" t="str">
        <f>VLOOKUP($C1955,Product_Dim!$A$2:$D$101,3,FALSE)</f>
        <v>Byrd, Stewart and Valdez</v>
      </c>
      <c r="G1955" t="str">
        <f>VLOOKUP($C1955,Product_Dim!$A$2:$D$101,2,FALSE)</f>
        <v>Electronics</v>
      </c>
      <c r="H1955">
        <v>1</v>
      </c>
      <c r="I1955">
        <v>841.53</v>
      </c>
      <c r="J1955">
        <v>0.15</v>
      </c>
      <c r="K1955" s="3">
        <v>715.30049999999994</v>
      </c>
      <c r="L1955" t="s">
        <v>852</v>
      </c>
      <c r="M1955" t="str">
        <f>VLOOKUP($E1955,Customer_Dim!$A$2:$F$501,3,FALSE)</f>
        <v>Male</v>
      </c>
      <c r="N1955" t="str">
        <f>VLOOKUP($E1955,Customer_Dim!$A$2:$F$501,5,FALSE)</f>
        <v>USA</v>
      </c>
      <c r="O1955" t="str">
        <f>VLOOKUP($E1955,Customer_Dim!$A$2:$F$501,6,FALSE)</f>
        <v>Silver</v>
      </c>
      <c r="P1955" t="str">
        <f>VLOOKUP($A1955,Store_Dim!$A$2:$F$21,3,FALSE)</f>
        <v>SouthEast Johnstad</v>
      </c>
    </row>
    <row r="1956" spans="1:16" hidden="1" x14ac:dyDescent="0.25">
      <c r="A1956" t="s">
        <v>814</v>
      </c>
      <c r="B1956" t="s">
        <v>1585</v>
      </c>
      <c r="C1956" t="s">
        <v>583</v>
      </c>
      <c r="D1956" s="2">
        <v>45569</v>
      </c>
      <c r="E1956" t="s">
        <v>105</v>
      </c>
      <c r="F1956" t="str">
        <f>VLOOKUP($C1956,Product_Dim!$A$2:$D$101,3,FALSE)</f>
        <v>Baldwin, Garza and Gonzalez</v>
      </c>
      <c r="G1956" t="str">
        <f>VLOOKUP($C1956,Product_Dim!$A$2:$D$101,2,FALSE)</f>
        <v>Clothing</v>
      </c>
      <c r="H1956">
        <v>3</v>
      </c>
      <c r="I1956">
        <v>966.02</v>
      </c>
      <c r="J1956">
        <v>0.03</v>
      </c>
      <c r="K1956" s="3">
        <v>2811.1181999999999</v>
      </c>
      <c r="L1956" t="s">
        <v>857</v>
      </c>
      <c r="M1956" t="str">
        <f>VLOOKUP($E1956,Customer_Dim!$A$2:$F$501,3,FALSE)</f>
        <v>Female</v>
      </c>
      <c r="N1956" t="str">
        <f>VLOOKUP($E1956,Customer_Dim!$A$2:$F$501,5,FALSE)</f>
        <v>USA</v>
      </c>
      <c r="O1956" t="str">
        <f>VLOOKUP($E1956,Customer_Dim!$A$2:$F$501,6,FALSE)</f>
        <v>Platinum</v>
      </c>
      <c r="P1956" t="str">
        <f>VLOOKUP($A1956,Store_Dim!$A$2:$F$21,3,FALSE)</f>
        <v>SouthEast Johnstad</v>
      </c>
    </row>
    <row r="1957" spans="1:16" hidden="1" x14ac:dyDescent="0.25">
      <c r="A1957" t="s">
        <v>814</v>
      </c>
      <c r="B1957" t="s">
        <v>1362</v>
      </c>
      <c r="C1957" t="s">
        <v>583</v>
      </c>
      <c r="D1957" s="2">
        <v>45656</v>
      </c>
      <c r="E1957" t="s">
        <v>435</v>
      </c>
      <c r="F1957" t="str">
        <f>VLOOKUP($C1957,Product_Dim!$A$2:$D$101,3,FALSE)</f>
        <v>Baldwin, Garza and Gonzalez</v>
      </c>
      <c r="G1957" t="str">
        <f>VLOOKUP($C1957,Product_Dim!$A$2:$D$101,2,FALSE)</f>
        <v>Clothing</v>
      </c>
      <c r="H1957">
        <v>1</v>
      </c>
      <c r="I1957">
        <v>191.6</v>
      </c>
      <c r="J1957">
        <v>0.27</v>
      </c>
      <c r="K1957" s="3">
        <v>139.86799999999999</v>
      </c>
      <c r="L1957" t="s">
        <v>854</v>
      </c>
      <c r="M1957" t="str">
        <f>VLOOKUP($E1957,Customer_Dim!$A$2:$F$501,3,FALSE)</f>
        <v>Female</v>
      </c>
      <c r="N1957" t="str">
        <f>VLOOKUP($E1957,Customer_Dim!$A$2:$F$501,5,FALSE)</f>
        <v>USA</v>
      </c>
      <c r="O1957" t="str">
        <f>VLOOKUP($E1957,Customer_Dim!$A$2:$F$501,6,FALSE)</f>
        <v>Platinum</v>
      </c>
      <c r="P1957" t="str">
        <f>VLOOKUP($A1957,Store_Dim!$A$2:$F$21,3,FALSE)</f>
        <v>SouthEast Johnstad</v>
      </c>
    </row>
    <row r="1958" spans="1:16" hidden="1" x14ac:dyDescent="0.25">
      <c r="A1958" t="s">
        <v>814</v>
      </c>
      <c r="B1958" t="s">
        <v>904</v>
      </c>
      <c r="C1958" t="s">
        <v>680</v>
      </c>
      <c r="D1958" s="2">
        <v>45291</v>
      </c>
      <c r="E1958" t="s">
        <v>123</v>
      </c>
      <c r="F1958" t="str">
        <f>VLOOKUP($C1958,Product_Dim!$A$2:$D$101,3,FALSE)</f>
        <v>Harris Inc</v>
      </c>
      <c r="G1958" t="str">
        <f>VLOOKUP($C1958,Product_Dim!$A$2:$D$101,2,FALSE)</f>
        <v>Sports</v>
      </c>
      <c r="H1958">
        <v>3</v>
      </c>
      <c r="I1958">
        <v>83.7</v>
      </c>
      <c r="J1958">
        <v>0.24</v>
      </c>
      <c r="K1958" s="3">
        <v>190.83600000000001</v>
      </c>
      <c r="L1958" t="s">
        <v>854</v>
      </c>
      <c r="M1958" t="str">
        <f>VLOOKUP($E1958,Customer_Dim!$A$2:$F$501,3,FALSE)</f>
        <v>Female</v>
      </c>
      <c r="N1958" t="str">
        <f>VLOOKUP($E1958,Customer_Dim!$A$2:$F$501,5,FALSE)</f>
        <v>USA</v>
      </c>
      <c r="O1958" t="str">
        <f>VLOOKUP($E1958,Customer_Dim!$A$2:$F$501,6,FALSE)</f>
        <v>Gold</v>
      </c>
      <c r="P1958" t="str">
        <f>VLOOKUP($A1958,Store_Dim!$A$2:$F$21,3,FALSE)</f>
        <v>SouthEast Johnstad</v>
      </c>
    </row>
    <row r="1959" spans="1:16" hidden="1" x14ac:dyDescent="0.25">
      <c r="A1959" t="s">
        <v>814</v>
      </c>
      <c r="B1959" t="s">
        <v>1311</v>
      </c>
      <c r="C1959" t="s">
        <v>680</v>
      </c>
      <c r="D1959" s="2">
        <v>45796</v>
      </c>
      <c r="E1959" t="s">
        <v>295</v>
      </c>
      <c r="F1959" t="str">
        <f>VLOOKUP($C1959,Product_Dim!$A$2:$D$101,3,FALSE)</f>
        <v>Harris Inc</v>
      </c>
      <c r="G1959" t="str">
        <f>VLOOKUP($C1959,Product_Dim!$A$2:$D$101,2,FALSE)</f>
        <v>Sports</v>
      </c>
      <c r="H1959">
        <v>2</v>
      </c>
      <c r="I1959">
        <v>810.17</v>
      </c>
      <c r="J1959">
        <v>0.27</v>
      </c>
      <c r="K1959" s="3">
        <v>1182.8481999999999</v>
      </c>
      <c r="L1959" t="s">
        <v>852</v>
      </c>
      <c r="M1959" t="str">
        <f>VLOOKUP($E1959,Customer_Dim!$A$2:$F$501,3,FALSE)</f>
        <v>Female</v>
      </c>
      <c r="N1959" t="str">
        <f>VLOOKUP($E1959,Customer_Dim!$A$2:$F$501,5,FALSE)</f>
        <v>USA</v>
      </c>
      <c r="O1959" t="str">
        <f>VLOOKUP($E1959,Customer_Dim!$A$2:$F$501,6,FALSE)</f>
        <v>Bronze</v>
      </c>
      <c r="P1959" t="str">
        <f>VLOOKUP($A1959,Store_Dim!$A$2:$F$21,3,FALSE)</f>
        <v>SouthEast Johnstad</v>
      </c>
    </row>
    <row r="1960" spans="1:16" hidden="1" x14ac:dyDescent="0.25">
      <c r="A1960" t="s">
        <v>814</v>
      </c>
      <c r="B1960" t="s">
        <v>2344</v>
      </c>
      <c r="C1960" t="s">
        <v>684</v>
      </c>
      <c r="D1960" s="2">
        <v>45739</v>
      </c>
      <c r="E1960" t="s">
        <v>49</v>
      </c>
      <c r="F1960" t="str">
        <f>VLOOKUP($C1960,Product_Dim!$A$2:$D$101,3,FALSE)</f>
        <v>Thompson-French</v>
      </c>
      <c r="G1960" t="str">
        <f>VLOOKUP($C1960,Product_Dim!$A$2:$D$101,2,FALSE)</f>
        <v>Sports</v>
      </c>
      <c r="H1960">
        <v>1</v>
      </c>
      <c r="I1960">
        <v>687.91</v>
      </c>
      <c r="J1960">
        <v>0.25</v>
      </c>
      <c r="K1960" s="3">
        <v>515.9325</v>
      </c>
      <c r="L1960" t="s">
        <v>852</v>
      </c>
      <c r="M1960" t="str">
        <f>VLOOKUP($E1960,Customer_Dim!$A$2:$F$501,3,FALSE)</f>
        <v>Female</v>
      </c>
      <c r="N1960" t="str">
        <f>VLOOKUP($E1960,Customer_Dim!$A$2:$F$501,5,FALSE)</f>
        <v>USA</v>
      </c>
      <c r="O1960" t="str">
        <f>VLOOKUP($E1960,Customer_Dim!$A$2:$F$501,6,FALSE)</f>
        <v>Platinum</v>
      </c>
      <c r="P1960" t="str">
        <f>VLOOKUP($A1960,Store_Dim!$A$2:$F$21,3,FALSE)</f>
        <v>SouthEast Johnstad</v>
      </c>
    </row>
    <row r="1961" spans="1:16" hidden="1" x14ac:dyDescent="0.25">
      <c r="A1961" t="s">
        <v>814</v>
      </c>
      <c r="B1961" t="s">
        <v>1423</v>
      </c>
      <c r="C1961" t="s">
        <v>688</v>
      </c>
      <c r="D1961" s="2">
        <v>45384</v>
      </c>
      <c r="E1961" t="s">
        <v>167</v>
      </c>
      <c r="F1961" t="str">
        <f>VLOOKUP($C1961,Product_Dim!$A$2:$D$101,3,FALSE)</f>
        <v>Hernandez, Kennedy and Porter</v>
      </c>
      <c r="G1961" t="str">
        <f>VLOOKUP($C1961,Product_Dim!$A$2:$D$101,2,FALSE)</f>
        <v>Home</v>
      </c>
      <c r="H1961">
        <v>3</v>
      </c>
      <c r="I1961">
        <v>600.58000000000004</v>
      </c>
      <c r="J1961">
        <v>0.28999999999999998</v>
      </c>
      <c r="K1961" s="3">
        <v>1279.2354</v>
      </c>
      <c r="L1961" t="s">
        <v>857</v>
      </c>
      <c r="M1961" t="str">
        <f>VLOOKUP($E1961,Customer_Dim!$A$2:$F$501,3,FALSE)</f>
        <v>Female</v>
      </c>
      <c r="N1961" t="str">
        <f>VLOOKUP($E1961,Customer_Dim!$A$2:$F$501,5,FALSE)</f>
        <v>USA</v>
      </c>
      <c r="O1961" t="str">
        <f>VLOOKUP($E1961,Customer_Dim!$A$2:$F$501,6,FALSE)</f>
        <v>Gold</v>
      </c>
      <c r="P1961" t="str">
        <f>VLOOKUP($A1961,Store_Dim!$A$2:$F$21,3,FALSE)</f>
        <v>SouthEast Johnstad</v>
      </c>
    </row>
    <row r="1962" spans="1:16" x14ac:dyDescent="0.25">
      <c r="A1962" t="s">
        <v>814</v>
      </c>
      <c r="B1962" t="s">
        <v>2797</v>
      </c>
      <c r="C1962" t="s">
        <v>688</v>
      </c>
      <c r="D1962" s="2">
        <v>45814</v>
      </c>
      <c r="E1962" t="s">
        <v>342</v>
      </c>
      <c r="F1962" t="str">
        <f>VLOOKUP($C1962,Product_Dim!$A$2:$D$101,3,FALSE)</f>
        <v>Hernandez, Kennedy and Porter</v>
      </c>
      <c r="G1962" t="str">
        <f>VLOOKUP($C1962,Product_Dim!$A$2:$D$101,2,FALSE)</f>
        <v>Home</v>
      </c>
      <c r="H1962">
        <v>3</v>
      </c>
      <c r="I1962">
        <v>442.64</v>
      </c>
      <c r="J1962">
        <v>0.15</v>
      </c>
      <c r="K1962" s="3">
        <v>1128.732</v>
      </c>
      <c r="L1962" t="s">
        <v>857</v>
      </c>
      <c r="M1962" t="str">
        <f>VLOOKUP($E1962,Customer_Dim!$A$2:$F$501,3,FALSE)</f>
        <v>Male</v>
      </c>
      <c r="N1962" t="str">
        <f>VLOOKUP($E1962,Customer_Dim!$A$2:$F$501,5,FALSE)</f>
        <v>USA</v>
      </c>
      <c r="O1962" t="str">
        <f>VLOOKUP($E1962,Customer_Dim!$A$2:$F$501,6,FALSE)</f>
        <v>Gold</v>
      </c>
      <c r="P1962" t="str">
        <f>VLOOKUP($A1962,Store_Dim!$A$2:$F$21,3,FALSE)</f>
        <v>SouthEast Johnstad</v>
      </c>
    </row>
    <row r="1963" spans="1:16" hidden="1" x14ac:dyDescent="0.25">
      <c r="A1963" t="s">
        <v>814</v>
      </c>
      <c r="B1963" t="s">
        <v>2068</v>
      </c>
      <c r="C1963" t="s">
        <v>690</v>
      </c>
      <c r="D1963" s="2">
        <v>45783</v>
      </c>
      <c r="E1963" t="s">
        <v>229</v>
      </c>
      <c r="F1963" t="str">
        <f>VLOOKUP($C1963,Product_Dim!$A$2:$D$101,3,FALSE)</f>
        <v>Atkinson, Camacho and Oliver</v>
      </c>
      <c r="G1963" t="str">
        <f>VLOOKUP($C1963,Product_Dim!$A$2:$D$101,2,FALSE)</f>
        <v>Sports</v>
      </c>
      <c r="H1963">
        <v>4</v>
      </c>
      <c r="I1963">
        <v>64.06</v>
      </c>
      <c r="J1963">
        <v>0.26</v>
      </c>
      <c r="K1963" s="3">
        <v>189.61760000000001</v>
      </c>
      <c r="L1963" t="s">
        <v>852</v>
      </c>
      <c r="M1963" t="str">
        <f>VLOOKUP($E1963,Customer_Dim!$A$2:$F$501,3,FALSE)</f>
        <v>Female</v>
      </c>
      <c r="N1963" t="str">
        <f>VLOOKUP($E1963,Customer_Dim!$A$2:$F$501,5,FALSE)</f>
        <v>USA</v>
      </c>
      <c r="O1963" t="str">
        <f>VLOOKUP($E1963,Customer_Dim!$A$2:$F$501,6,FALSE)</f>
        <v>Platinum</v>
      </c>
      <c r="P1963" t="str">
        <f>VLOOKUP($A1963,Store_Dim!$A$2:$F$21,3,FALSE)</f>
        <v>SouthEast Johnstad</v>
      </c>
    </row>
    <row r="1964" spans="1:16" x14ac:dyDescent="0.25">
      <c r="A1964" t="s">
        <v>814</v>
      </c>
      <c r="B1964" t="s">
        <v>1206</v>
      </c>
      <c r="C1964" t="s">
        <v>690</v>
      </c>
      <c r="D1964" s="2">
        <v>45603</v>
      </c>
      <c r="E1964" t="s">
        <v>323</v>
      </c>
      <c r="F1964" t="str">
        <f>VLOOKUP($C1964,Product_Dim!$A$2:$D$101,3,FALSE)</f>
        <v>Atkinson, Camacho and Oliver</v>
      </c>
      <c r="G1964" t="str">
        <f>VLOOKUP($C1964,Product_Dim!$A$2:$D$101,2,FALSE)</f>
        <v>Sports</v>
      </c>
      <c r="H1964">
        <v>4</v>
      </c>
      <c r="I1964">
        <v>488.56</v>
      </c>
      <c r="J1964">
        <v>0.26</v>
      </c>
      <c r="K1964" s="3">
        <v>1446.1376</v>
      </c>
      <c r="L1964" t="s">
        <v>857</v>
      </c>
      <c r="M1964" t="str">
        <f>VLOOKUP($E1964,Customer_Dim!$A$2:$F$501,3,FALSE)</f>
        <v>Male</v>
      </c>
      <c r="N1964" t="str">
        <f>VLOOKUP($E1964,Customer_Dim!$A$2:$F$501,5,FALSE)</f>
        <v>USA</v>
      </c>
      <c r="O1964" t="str">
        <f>VLOOKUP($E1964,Customer_Dim!$A$2:$F$501,6,FALSE)</f>
        <v>Silver</v>
      </c>
      <c r="P1964" t="str">
        <f>VLOOKUP($A1964,Store_Dim!$A$2:$F$21,3,FALSE)</f>
        <v>SouthEast Johnstad</v>
      </c>
    </row>
    <row r="1965" spans="1:16" x14ac:dyDescent="0.25">
      <c r="A1965" t="s">
        <v>814</v>
      </c>
      <c r="B1965" t="s">
        <v>2081</v>
      </c>
      <c r="C1965" t="s">
        <v>694</v>
      </c>
      <c r="D1965" s="2">
        <v>45681</v>
      </c>
      <c r="E1965" t="s">
        <v>475</v>
      </c>
      <c r="F1965" t="str">
        <f>VLOOKUP($C1965,Product_Dim!$A$2:$D$101,3,FALSE)</f>
        <v>Cline-Mccarthy</v>
      </c>
      <c r="G1965" t="str">
        <f>VLOOKUP($C1965,Product_Dim!$A$2:$D$101,2,FALSE)</f>
        <v>Beauty</v>
      </c>
      <c r="H1965">
        <v>2</v>
      </c>
      <c r="I1965">
        <v>107.97</v>
      </c>
      <c r="J1965">
        <v>0.06</v>
      </c>
      <c r="K1965" s="3">
        <v>202.9836</v>
      </c>
      <c r="L1965" t="s">
        <v>852</v>
      </c>
      <c r="M1965" t="str">
        <f>VLOOKUP($E1965,Customer_Dim!$A$2:$F$501,3,FALSE)</f>
        <v>Male</v>
      </c>
      <c r="N1965" t="str">
        <f>VLOOKUP($E1965,Customer_Dim!$A$2:$F$501,5,FALSE)</f>
        <v>USA</v>
      </c>
      <c r="O1965" t="str">
        <f>VLOOKUP($E1965,Customer_Dim!$A$2:$F$501,6,FALSE)</f>
        <v>Gold</v>
      </c>
      <c r="P1965" t="str">
        <f>VLOOKUP($A1965,Store_Dim!$A$2:$F$21,3,FALSE)</f>
        <v>SouthEast Johnstad</v>
      </c>
    </row>
    <row r="1966" spans="1:16" hidden="1" x14ac:dyDescent="0.25">
      <c r="A1966" t="s">
        <v>814</v>
      </c>
      <c r="B1966" t="s">
        <v>1816</v>
      </c>
      <c r="C1966" t="s">
        <v>585</v>
      </c>
      <c r="D1966" s="2">
        <v>45472</v>
      </c>
      <c r="E1966" t="s">
        <v>156</v>
      </c>
      <c r="F1966" t="str">
        <f>VLOOKUP($C1966,Product_Dim!$A$2:$D$101,3,FALSE)</f>
        <v>Davidson PLC</v>
      </c>
      <c r="G1966" t="str">
        <f>VLOOKUP($C1966,Product_Dim!$A$2:$D$101,2,FALSE)</f>
        <v>Beauty</v>
      </c>
      <c r="H1966">
        <v>4</v>
      </c>
      <c r="I1966">
        <v>579.70000000000005</v>
      </c>
      <c r="J1966">
        <v>0.18</v>
      </c>
      <c r="K1966" s="3">
        <v>1901.4159999999999</v>
      </c>
      <c r="L1966" t="s">
        <v>854</v>
      </c>
      <c r="M1966" t="str">
        <f>VLOOKUP($E1966,Customer_Dim!$A$2:$F$501,3,FALSE)</f>
        <v>Female</v>
      </c>
      <c r="N1966" t="str">
        <f>VLOOKUP($E1966,Customer_Dim!$A$2:$F$501,5,FALSE)</f>
        <v>USA</v>
      </c>
      <c r="O1966" t="str">
        <f>VLOOKUP($E1966,Customer_Dim!$A$2:$F$501,6,FALSE)</f>
        <v>Platinum</v>
      </c>
      <c r="P1966" t="str">
        <f>VLOOKUP($A1966,Store_Dim!$A$2:$F$21,3,FALSE)</f>
        <v>SouthEast Johnstad</v>
      </c>
    </row>
    <row r="1967" spans="1:16" hidden="1" x14ac:dyDescent="0.25">
      <c r="A1967" t="s">
        <v>814</v>
      </c>
      <c r="B1967" t="s">
        <v>2509</v>
      </c>
      <c r="C1967" t="s">
        <v>696</v>
      </c>
      <c r="D1967" s="2">
        <v>45708</v>
      </c>
      <c r="E1967" t="s">
        <v>70</v>
      </c>
      <c r="F1967" t="str">
        <f>VLOOKUP($C1967,Product_Dim!$A$2:$D$101,3,FALSE)</f>
        <v>Gibson, Green and Lopez</v>
      </c>
      <c r="G1967" t="str">
        <f>VLOOKUP($C1967,Product_Dim!$A$2:$D$101,2,FALSE)</f>
        <v>Beauty</v>
      </c>
      <c r="H1967">
        <v>2</v>
      </c>
      <c r="I1967">
        <v>666.49</v>
      </c>
      <c r="J1967">
        <v>0.06</v>
      </c>
      <c r="K1967" s="3">
        <v>1253.0011999999999</v>
      </c>
      <c r="L1967" t="s">
        <v>852</v>
      </c>
      <c r="M1967" t="str">
        <f>VLOOKUP($E1967,Customer_Dim!$A$2:$F$501,3,FALSE)</f>
        <v>Female</v>
      </c>
      <c r="N1967" t="str">
        <f>VLOOKUP($E1967,Customer_Dim!$A$2:$F$501,5,FALSE)</f>
        <v>USA</v>
      </c>
      <c r="O1967" t="str">
        <f>VLOOKUP($E1967,Customer_Dim!$A$2:$F$501,6,FALSE)</f>
        <v>Gold</v>
      </c>
      <c r="P1967" t="str">
        <f>VLOOKUP($A1967,Store_Dim!$A$2:$F$21,3,FALSE)</f>
        <v>SouthEast Johnstad</v>
      </c>
    </row>
    <row r="1968" spans="1:16" hidden="1" x14ac:dyDescent="0.25">
      <c r="A1968" t="s">
        <v>814</v>
      </c>
      <c r="B1968" t="s">
        <v>2738</v>
      </c>
      <c r="C1968" t="s">
        <v>702</v>
      </c>
      <c r="D1968" s="2">
        <v>45502</v>
      </c>
      <c r="E1968" t="s">
        <v>100</v>
      </c>
      <c r="F1968" t="str">
        <f>VLOOKUP($C1968,Product_Dim!$A$2:$D$101,3,FALSE)</f>
        <v>Anderson-Riley</v>
      </c>
      <c r="G1968" t="str">
        <f>VLOOKUP($C1968,Product_Dim!$A$2:$D$101,2,FALSE)</f>
        <v>Beauty</v>
      </c>
      <c r="H1968">
        <v>2</v>
      </c>
      <c r="I1968">
        <v>386.09</v>
      </c>
      <c r="J1968">
        <v>0.19</v>
      </c>
      <c r="K1968" s="3">
        <v>625.46579999999994</v>
      </c>
      <c r="L1968" t="s">
        <v>854</v>
      </c>
      <c r="M1968" t="str">
        <f>VLOOKUP($E1968,Customer_Dim!$A$2:$F$501,3,FALSE)</f>
        <v>Female</v>
      </c>
      <c r="N1968" t="str">
        <f>VLOOKUP($E1968,Customer_Dim!$A$2:$F$501,5,FALSE)</f>
        <v>USA</v>
      </c>
      <c r="O1968" t="str">
        <f>VLOOKUP($E1968,Customer_Dim!$A$2:$F$501,6,FALSE)</f>
        <v>Gold</v>
      </c>
      <c r="P1968" t="str">
        <f>VLOOKUP($A1968,Store_Dim!$A$2:$F$21,3,FALSE)</f>
        <v>SouthEast Johnstad</v>
      </c>
    </row>
    <row r="1969" spans="1:16" hidden="1" x14ac:dyDescent="0.25">
      <c r="A1969" t="s">
        <v>814</v>
      </c>
      <c r="B1969" t="s">
        <v>1267</v>
      </c>
      <c r="C1969" t="s">
        <v>708</v>
      </c>
      <c r="D1969" s="2">
        <v>45863</v>
      </c>
      <c r="E1969" t="s">
        <v>250</v>
      </c>
      <c r="F1969" t="str">
        <f>VLOOKUP($C1969,Product_Dim!$A$2:$D$101,3,FALSE)</f>
        <v>Torres, Spencer and Potter</v>
      </c>
      <c r="G1969" t="str">
        <f>VLOOKUP($C1969,Product_Dim!$A$2:$D$101,2,FALSE)</f>
        <v>Beauty</v>
      </c>
      <c r="H1969">
        <v>1</v>
      </c>
      <c r="I1969">
        <v>87.78</v>
      </c>
      <c r="J1969">
        <v>0.06</v>
      </c>
      <c r="K1969" s="3">
        <v>82.513199999999998</v>
      </c>
      <c r="L1969" t="s">
        <v>852</v>
      </c>
      <c r="M1969" t="str">
        <f>VLOOKUP($E1969,Customer_Dim!$A$2:$F$501,3,FALSE)</f>
        <v>Female</v>
      </c>
      <c r="N1969" t="str">
        <f>VLOOKUP($E1969,Customer_Dim!$A$2:$F$501,5,FALSE)</f>
        <v>USA</v>
      </c>
      <c r="O1969" t="str">
        <f>VLOOKUP($E1969,Customer_Dim!$A$2:$F$501,6,FALSE)</f>
        <v>Platinum</v>
      </c>
      <c r="P1969" t="str">
        <f>VLOOKUP($A1969,Store_Dim!$A$2:$F$21,3,FALSE)</f>
        <v>SouthEast Johnstad</v>
      </c>
    </row>
    <row r="1970" spans="1:16" x14ac:dyDescent="0.25">
      <c r="A1970" t="s">
        <v>814</v>
      </c>
      <c r="B1970" t="s">
        <v>2056</v>
      </c>
      <c r="C1970" t="s">
        <v>708</v>
      </c>
      <c r="D1970" s="2">
        <v>45371</v>
      </c>
      <c r="E1970" t="s">
        <v>330</v>
      </c>
      <c r="F1970" t="str">
        <f>VLOOKUP($C1970,Product_Dim!$A$2:$D$101,3,FALSE)</f>
        <v>Torres, Spencer and Potter</v>
      </c>
      <c r="G1970" t="str">
        <f>VLOOKUP($C1970,Product_Dim!$A$2:$D$101,2,FALSE)</f>
        <v>Beauty</v>
      </c>
      <c r="H1970">
        <v>2</v>
      </c>
      <c r="I1970">
        <v>972.4</v>
      </c>
      <c r="J1970">
        <v>0.06</v>
      </c>
      <c r="K1970" s="3">
        <v>1828.1120000000001</v>
      </c>
      <c r="L1970" t="s">
        <v>857</v>
      </c>
      <c r="M1970" t="str">
        <f>VLOOKUP($E1970,Customer_Dim!$A$2:$F$501,3,FALSE)</f>
        <v>Male</v>
      </c>
      <c r="N1970" t="str">
        <f>VLOOKUP($E1970,Customer_Dim!$A$2:$F$501,5,FALSE)</f>
        <v>USA</v>
      </c>
      <c r="O1970" t="str">
        <f>VLOOKUP($E1970,Customer_Dim!$A$2:$F$501,6,FALSE)</f>
        <v>Gold</v>
      </c>
      <c r="P1970" t="str">
        <f>VLOOKUP($A1970,Store_Dim!$A$2:$F$21,3,FALSE)</f>
        <v>SouthEast Johnstad</v>
      </c>
    </row>
    <row r="1971" spans="1:16" hidden="1" x14ac:dyDescent="0.25">
      <c r="A1971" t="s">
        <v>814</v>
      </c>
      <c r="B1971" t="s">
        <v>1058</v>
      </c>
      <c r="C1971" t="s">
        <v>710</v>
      </c>
      <c r="D1971" s="2">
        <v>45465</v>
      </c>
      <c r="E1971" t="s">
        <v>55</v>
      </c>
      <c r="F1971" t="str">
        <f>VLOOKUP($C1971,Product_Dim!$A$2:$D$101,3,FALSE)</f>
        <v>Flores-Davis</v>
      </c>
      <c r="G1971" t="str">
        <f>VLOOKUP($C1971,Product_Dim!$A$2:$D$101,2,FALSE)</f>
        <v>Electronics</v>
      </c>
      <c r="H1971">
        <v>3</v>
      </c>
      <c r="I1971">
        <v>723.47</v>
      </c>
      <c r="J1971">
        <v>0.12</v>
      </c>
      <c r="K1971" s="3">
        <v>1909.9608000000001</v>
      </c>
      <c r="L1971" t="s">
        <v>857</v>
      </c>
      <c r="M1971" t="str">
        <f>VLOOKUP($E1971,Customer_Dim!$A$2:$F$501,3,FALSE)</f>
        <v>Female</v>
      </c>
      <c r="N1971" t="str">
        <f>VLOOKUP($E1971,Customer_Dim!$A$2:$F$501,5,FALSE)</f>
        <v>USA</v>
      </c>
      <c r="O1971" t="str">
        <f>VLOOKUP($E1971,Customer_Dim!$A$2:$F$501,6,FALSE)</f>
        <v>Silver</v>
      </c>
      <c r="P1971" t="str">
        <f>VLOOKUP($A1971,Store_Dim!$A$2:$F$21,3,FALSE)</f>
        <v>SouthEast Johnstad</v>
      </c>
    </row>
    <row r="1972" spans="1:16" x14ac:dyDescent="0.25">
      <c r="A1972" t="s">
        <v>814</v>
      </c>
      <c r="B1972" t="s">
        <v>1185</v>
      </c>
      <c r="C1972" t="s">
        <v>712</v>
      </c>
      <c r="D1972" s="2">
        <v>45890</v>
      </c>
      <c r="E1972" t="s">
        <v>323</v>
      </c>
      <c r="F1972" t="str">
        <f>VLOOKUP($C1972,Product_Dim!$A$2:$D$101,3,FALSE)</f>
        <v>Wolfe, Ross and Hester</v>
      </c>
      <c r="G1972" t="str">
        <f>VLOOKUP($C1972,Product_Dim!$A$2:$D$101,2,FALSE)</f>
        <v>Home</v>
      </c>
      <c r="H1972">
        <v>1</v>
      </c>
      <c r="I1972">
        <v>78.5</v>
      </c>
      <c r="J1972">
        <v>0.17</v>
      </c>
      <c r="K1972" s="3">
        <v>65.155000000000001</v>
      </c>
      <c r="L1972" t="s">
        <v>857</v>
      </c>
      <c r="M1972" t="str">
        <f>VLOOKUP($E1972,Customer_Dim!$A$2:$F$501,3,FALSE)</f>
        <v>Male</v>
      </c>
      <c r="N1972" t="str">
        <f>VLOOKUP($E1972,Customer_Dim!$A$2:$F$501,5,FALSE)</f>
        <v>USA</v>
      </c>
      <c r="O1972" t="str">
        <f>VLOOKUP($E1972,Customer_Dim!$A$2:$F$501,6,FALSE)</f>
        <v>Silver</v>
      </c>
      <c r="P1972" t="str">
        <f>VLOOKUP($A1972,Store_Dim!$A$2:$F$21,3,FALSE)</f>
        <v>SouthEast Johnstad</v>
      </c>
    </row>
    <row r="1973" spans="1:16" hidden="1" x14ac:dyDescent="0.25">
      <c r="A1973" t="s">
        <v>814</v>
      </c>
      <c r="B1973" t="s">
        <v>2093</v>
      </c>
      <c r="C1973" t="s">
        <v>716</v>
      </c>
      <c r="D1973" s="2">
        <v>45619</v>
      </c>
      <c r="E1973" t="s">
        <v>141</v>
      </c>
      <c r="F1973" t="str">
        <f>VLOOKUP($C1973,Product_Dim!$A$2:$D$101,3,FALSE)</f>
        <v>Duran Group</v>
      </c>
      <c r="G1973" t="str">
        <f>VLOOKUP($C1973,Product_Dim!$A$2:$D$101,2,FALSE)</f>
        <v>Home</v>
      </c>
      <c r="H1973">
        <v>4</v>
      </c>
      <c r="I1973">
        <v>930.38</v>
      </c>
      <c r="J1973">
        <v>0</v>
      </c>
      <c r="K1973" s="3">
        <v>3721.52</v>
      </c>
      <c r="L1973" t="s">
        <v>857</v>
      </c>
      <c r="M1973" t="str">
        <f>VLOOKUP($E1973,Customer_Dim!$A$2:$F$501,3,FALSE)</f>
        <v>Female</v>
      </c>
      <c r="N1973" t="str">
        <f>VLOOKUP($E1973,Customer_Dim!$A$2:$F$501,5,FALSE)</f>
        <v>USA</v>
      </c>
      <c r="O1973" t="str">
        <f>VLOOKUP($E1973,Customer_Dim!$A$2:$F$501,6,FALSE)</f>
        <v>Platinum</v>
      </c>
      <c r="P1973" t="str">
        <f>VLOOKUP($A1973,Store_Dim!$A$2:$F$21,3,FALSE)</f>
        <v>SouthEast Johnstad</v>
      </c>
    </row>
    <row r="1974" spans="1:16" x14ac:dyDescent="0.25">
      <c r="A1974" t="s">
        <v>814</v>
      </c>
      <c r="B1974" t="s">
        <v>935</v>
      </c>
      <c r="C1974" t="s">
        <v>718</v>
      </c>
      <c r="D1974" s="2">
        <v>45616</v>
      </c>
      <c r="E1974" t="s">
        <v>319</v>
      </c>
      <c r="F1974" t="str">
        <f>VLOOKUP($C1974,Product_Dim!$A$2:$D$101,3,FALSE)</f>
        <v>Hopkins Ltd</v>
      </c>
      <c r="G1974" t="str">
        <f>VLOOKUP($C1974,Product_Dim!$A$2:$D$101,2,FALSE)</f>
        <v>Beauty</v>
      </c>
      <c r="H1974">
        <v>1</v>
      </c>
      <c r="I1974">
        <v>363.73</v>
      </c>
      <c r="J1974">
        <v>0.25</v>
      </c>
      <c r="K1974" s="3">
        <v>272.79750000000001</v>
      </c>
      <c r="L1974" t="s">
        <v>854</v>
      </c>
      <c r="M1974" t="str">
        <f>VLOOKUP($E1974,Customer_Dim!$A$2:$F$501,3,FALSE)</f>
        <v>Male</v>
      </c>
      <c r="N1974" t="str">
        <f>VLOOKUP($E1974,Customer_Dim!$A$2:$F$501,5,FALSE)</f>
        <v>USA</v>
      </c>
      <c r="O1974" t="str">
        <f>VLOOKUP($E1974,Customer_Dim!$A$2:$F$501,6,FALSE)</f>
        <v>Bronze</v>
      </c>
      <c r="P1974" t="str">
        <f>VLOOKUP($A1974,Store_Dim!$A$2:$F$21,3,FALSE)</f>
        <v>SouthEast Johnstad</v>
      </c>
    </row>
    <row r="1975" spans="1:16" hidden="1" x14ac:dyDescent="0.25">
      <c r="A1975" t="s">
        <v>814</v>
      </c>
      <c r="B1975" t="s">
        <v>1044</v>
      </c>
      <c r="C1975" t="s">
        <v>718</v>
      </c>
      <c r="D1975" s="2">
        <v>45775</v>
      </c>
      <c r="E1975" t="s">
        <v>401</v>
      </c>
      <c r="F1975" t="str">
        <f>VLOOKUP($C1975,Product_Dim!$A$2:$D$101,3,FALSE)</f>
        <v>Hopkins Ltd</v>
      </c>
      <c r="G1975" t="str">
        <f>VLOOKUP($C1975,Product_Dim!$A$2:$D$101,2,FALSE)</f>
        <v>Beauty</v>
      </c>
      <c r="H1975">
        <v>3</v>
      </c>
      <c r="I1975">
        <v>444.55</v>
      </c>
      <c r="J1975">
        <v>0.14000000000000001</v>
      </c>
      <c r="K1975" s="3">
        <v>1146.9390000000001</v>
      </c>
      <c r="L1975" t="s">
        <v>854</v>
      </c>
      <c r="M1975" t="str">
        <f>VLOOKUP($E1975,Customer_Dim!$A$2:$F$501,3,FALSE)</f>
        <v>Female</v>
      </c>
      <c r="N1975" t="str">
        <f>VLOOKUP($E1975,Customer_Dim!$A$2:$F$501,5,FALSE)</f>
        <v>USA</v>
      </c>
      <c r="O1975" t="str">
        <f>VLOOKUP($E1975,Customer_Dim!$A$2:$F$501,6,FALSE)</f>
        <v>Silver</v>
      </c>
      <c r="P1975" t="str">
        <f>VLOOKUP($A1975,Store_Dim!$A$2:$F$21,3,FALSE)</f>
        <v>SouthEast Johnstad</v>
      </c>
    </row>
    <row r="1976" spans="1:16" x14ac:dyDescent="0.25">
      <c r="A1976" t="s">
        <v>814</v>
      </c>
      <c r="B1976" t="s">
        <v>990</v>
      </c>
      <c r="C1976" t="s">
        <v>718</v>
      </c>
      <c r="D1976" s="2">
        <v>45751</v>
      </c>
      <c r="E1976" t="s">
        <v>416</v>
      </c>
      <c r="F1976" t="str">
        <f>VLOOKUP($C1976,Product_Dim!$A$2:$D$101,3,FALSE)</f>
        <v>Hopkins Ltd</v>
      </c>
      <c r="G1976" t="str">
        <f>VLOOKUP($C1976,Product_Dim!$A$2:$D$101,2,FALSE)</f>
        <v>Beauty</v>
      </c>
      <c r="H1976">
        <v>3</v>
      </c>
      <c r="I1976">
        <v>849.36</v>
      </c>
      <c r="J1976">
        <v>0.03</v>
      </c>
      <c r="K1976" s="3">
        <v>2471.6376</v>
      </c>
      <c r="L1976" t="s">
        <v>852</v>
      </c>
      <c r="M1976" t="str">
        <f>VLOOKUP($E1976,Customer_Dim!$A$2:$F$501,3,FALSE)</f>
        <v>Male</v>
      </c>
      <c r="N1976" t="str">
        <f>VLOOKUP($E1976,Customer_Dim!$A$2:$F$501,5,FALSE)</f>
        <v>USA</v>
      </c>
      <c r="O1976" t="str">
        <f>VLOOKUP($E1976,Customer_Dim!$A$2:$F$501,6,FALSE)</f>
        <v>Bronze</v>
      </c>
      <c r="P1976" t="str">
        <f>VLOOKUP($A1976,Store_Dim!$A$2:$F$21,3,FALSE)</f>
        <v>SouthEast Johnstad</v>
      </c>
    </row>
    <row r="1977" spans="1:16" hidden="1" x14ac:dyDescent="0.25">
      <c r="A1977" t="s">
        <v>814</v>
      </c>
      <c r="B1977" t="s">
        <v>1972</v>
      </c>
      <c r="C1977" t="s">
        <v>720</v>
      </c>
      <c r="D1977" s="2">
        <v>45687</v>
      </c>
      <c r="E1977" t="s">
        <v>270</v>
      </c>
      <c r="F1977" t="str">
        <f>VLOOKUP($C1977,Product_Dim!$A$2:$D$101,3,FALSE)</f>
        <v>Davis PLC</v>
      </c>
      <c r="G1977" t="str">
        <f>VLOOKUP($C1977,Product_Dim!$A$2:$D$101,2,FALSE)</f>
        <v>Sports</v>
      </c>
      <c r="H1977">
        <v>1</v>
      </c>
      <c r="I1977">
        <v>724.74</v>
      </c>
      <c r="J1977">
        <v>0.15</v>
      </c>
      <c r="K1977" s="3">
        <v>616.029</v>
      </c>
      <c r="L1977" t="s">
        <v>854</v>
      </c>
      <c r="M1977" t="str">
        <f>VLOOKUP($E1977,Customer_Dim!$A$2:$F$501,3,FALSE)</f>
        <v>Female</v>
      </c>
      <c r="N1977" t="str">
        <f>VLOOKUP($E1977,Customer_Dim!$A$2:$F$501,5,FALSE)</f>
        <v>USA</v>
      </c>
      <c r="O1977" t="str">
        <f>VLOOKUP($E1977,Customer_Dim!$A$2:$F$501,6,FALSE)</f>
        <v>Gold</v>
      </c>
      <c r="P1977" t="str">
        <f>VLOOKUP($A1977,Store_Dim!$A$2:$F$21,3,FALSE)</f>
        <v>SouthEast Johnstad</v>
      </c>
    </row>
    <row r="1978" spans="1:16" hidden="1" x14ac:dyDescent="0.25">
      <c r="A1978" t="s">
        <v>814</v>
      </c>
      <c r="B1978" t="s">
        <v>1079</v>
      </c>
      <c r="C1978" t="s">
        <v>722</v>
      </c>
      <c r="D1978" s="2">
        <v>45607</v>
      </c>
      <c r="E1978" t="s">
        <v>122</v>
      </c>
      <c r="F1978" t="str">
        <f>VLOOKUP($C1978,Product_Dim!$A$2:$D$101,3,FALSE)</f>
        <v>French Ltd</v>
      </c>
      <c r="G1978" t="str">
        <f>VLOOKUP($C1978,Product_Dim!$A$2:$D$101,2,FALSE)</f>
        <v>Sports</v>
      </c>
      <c r="H1978">
        <v>3</v>
      </c>
      <c r="I1978">
        <v>927.6</v>
      </c>
      <c r="J1978">
        <v>0.09</v>
      </c>
      <c r="K1978" s="3">
        <v>2532.348</v>
      </c>
      <c r="L1978" t="s">
        <v>852</v>
      </c>
      <c r="M1978" t="str">
        <f>VLOOKUP($E1978,Customer_Dim!$A$2:$F$501,3,FALSE)</f>
        <v>Female</v>
      </c>
      <c r="N1978" t="str">
        <f>VLOOKUP($E1978,Customer_Dim!$A$2:$F$501,5,FALSE)</f>
        <v>USA</v>
      </c>
      <c r="O1978" t="str">
        <f>VLOOKUP($E1978,Customer_Dim!$A$2:$F$501,6,FALSE)</f>
        <v>Platinum</v>
      </c>
      <c r="P1978" t="str">
        <f>VLOOKUP($A1978,Store_Dim!$A$2:$F$21,3,FALSE)</f>
        <v>SouthEast Johnstad</v>
      </c>
    </row>
    <row r="1979" spans="1:16" hidden="1" x14ac:dyDescent="0.25">
      <c r="A1979" t="s">
        <v>814</v>
      </c>
      <c r="B1979" t="s">
        <v>2175</v>
      </c>
      <c r="C1979" t="s">
        <v>724</v>
      </c>
      <c r="D1979" s="2">
        <v>45383</v>
      </c>
      <c r="E1979" t="s">
        <v>374</v>
      </c>
      <c r="F1979" t="str">
        <f>VLOOKUP($C1979,Product_Dim!$A$2:$D$101,3,FALSE)</f>
        <v>Bruce-Bowen</v>
      </c>
      <c r="G1979" t="str">
        <f>VLOOKUP($C1979,Product_Dim!$A$2:$D$101,2,FALSE)</f>
        <v>Electronics</v>
      </c>
      <c r="H1979">
        <v>3</v>
      </c>
      <c r="I1979">
        <v>627.29</v>
      </c>
      <c r="J1979">
        <v>0.27</v>
      </c>
      <c r="K1979" s="3">
        <v>1373.7651000000001</v>
      </c>
      <c r="L1979" t="s">
        <v>857</v>
      </c>
      <c r="M1979" t="str">
        <f>VLOOKUP($E1979,Customer_Dim!$A$2:$F$501,3,FALSE)</f>
        <v>Female</v>
      </c>
      <c r="N1979" t="str">
        <f>VLOOKUP($E1979,Customer_Dim!$A$2:$F$501,5,FALSE)</f>
        <v>USA</v>
      </c>
      <c r="O1979" t="str">
        <f>VLOOKUP($E1979,Customer_Dim!$A$2:$F$501,6,FALSE)</f>
        <v>Bronze</v>
      </c>
      <c r="P1979" t="str">
        <f>VLOOKUP($A1979,Store_Dim!$A$2:$F$21,3,FALSE)</f>
        <v>SouthEast Johnstad</v>
      </c>
    </row>
    <row r="1980" spans="1:16" hidden="1" x14ac:dyDescent="0.25">
      <c r="A1980" t="s">
        <v>814</v>
      </c>
      <c r="B1980" t="s">
        <v>1104</v>
      </c>
      <c r="C1980" t="s">
        <v>726</v>
      </c>
      <c r="D1980" s="2">
        <v>45513</v>
      </c>
      <c r="E1980" t="s">
        <v>195</v>
      </c>
      <c r="F1980" t="str">
        <f>VLOOKUP($C1980,Product_Dim!$A$2:$D$101,3,FALSE)</f>
        <v>Poole PLC</v>
      </c>
      <c r="G1980" t="str">
        <f>VLOOKUP($C1980,Product_Dim!$A$2:$D$101,2,FALSE)</f>
        <v>Clothing</v>
      </c>
      <c r="H1980">
        <v>4</v>
      </c>
      <c r="I1980">
        <v>578.39</v>
      </c>
      <c r="J1980">
        <v>0.01</v>
      </c>
      <c r="K1980" s="3">
        <v>2290.4243999999999</v>
      </c>
      <c r="L1980" t="s">
        <v>852</v>
      </c>
      <c r="M1980" t="str">
        <f>VLOOKUP($E1980,Customer_Dim!$A$2:$F$501,3,FALSE)</f>
        <v>Female</v>
      </c>
      <c r="N1980" t="str">
        <f>VLOOKUP($E1980,Customer_Dim!$A$2:$F$501,5,FALSE)</f>
        <v>USA</v>
      </c>
      <c r="O1980" t="str">
        <f>VLOOKUP($E1980,Customer_Dim!$A$2:$F$501,6,FALSE)</f>
        <v>Bronze</v>
      </c>
      <c r="P1980" t="str">
        <f>VLOOKUP($A1980,Store_Dim!$A$2:$F$21,3,FALSE)</f>
        <v>SouthEast Johnstad</v>
      </c>
    </row>
    <row r="1981" spans="1:16" x14ac:dyDescent="0.25">
      <c r="A1981" t="s">
        <v>814</v>
      </c>
      <c r="B1981" t="s">
        <v>1928</v>
      </c>
      <c r="C1981" t="s">
        <v>726</v>
      </c>
      <c r="D1981" s="2">
        <v>45428</v>
      </c>
      <c r="E1981" t="s">
        <v>430</v>
      </c>
      <c r="F1981" t="str">
        <f>VLOOKUP($C1981,Product_Dim!$A$2:$D$101,3,FALSE)</f>
        <v>Poole PLC</v>
      </c>
      <c r="G1981" t="str">
        <f>VLOOKUP($C1981,Product_Dim!$A$2:$D$101,2,FALSE)</f>
        <v>Clothing</v>
      </c>
      <c r="H1981">
        <v>4</v>
      </c>
      <c r="I1981">
        <v>255.48</v>
      </c>
      <c r="J1981">
        <v>0.03</v>
      </c>
      <c r="K1981" s="3">
        <v>991.26239999999996</v>
      </c>
      <c r="L1981" t="s">
        <v>857</v>
      </c>
      <c r="M1981" t="str">
        <f>VLOOKUP($E1981,Customer_Dim!$A$2:$F$501,3,FALSE)</f>
        <v>Male</v>
      </c>
      <c r="N1981" t="str">
        <f>VLOOKUP($E1981,Customer_Dim!$A$2:$F$501,5,FALSE)</f>
        <v>USA</v>
      </c>
      <c r="O1981" t="str">
        <f>VLOOKUP($E1981,Customer_Dim!$A$2:$F$501,6,FALSE)</f>
        <v>Bronze</v>
      </c>
      <c r="P1981" t="str">
        <f>VLOOKUP($A1981,Store_Dim!$A$2:$F$21,3,FALSE)</f>
        <v>SouthEast Johnstad</v>
      </c>
    </row>
    <row r="1982" spans="1:16" x14ac:dyDescent="0.25">
      <c r="A1982" t="s">
        <v>814</v>
      </c>
      <c r="B1982" t="s">
        <v>1314</v>
      </c>
      <c r="C1982" t="s">
        <v>730</v>
      </c>
      <c r="D1982" s="2">
        <v>45311</v>
      </c>
      <c r="E1982" t="s">
        <v>63</v>
      </c>
      <c r="F1982" t="str">
        <f>VLOOKUP($C1982,Product_Dim!$A$2:$D$101,3,FALSE)</f>
        <v>White, Reeves and Woods</v>
      </c>
      <c r="G1982" t="str">
        <f>VLOOKUP($C1982,Product_Dim!$A$2:$D$101,2,FALSE)</f>
        <v>Electronics</v>
      </c>
      <c r="H1982">
        <v>4</v>
      </c>
      <c r="I1982">
        <v>700.31</v>
      </c>
      <c r="J1982">
        <v>0.2</v>
      </c>
      <c r="K1982" s="3">
        <v>2240.9920000000002</v>
      </c>
      <c r="L1982" t="s">
        <v>854</v>
      </c>
      <c r="M1982" t="str">
        <f>VLOOKUP($E1982,Customer_Dim!$A$2:$F$501,3,FALSE)</f>
        <v>Male</v>
      </c>
      <c r="N1982" t="str">
        <f>VLOOKUP($E1982,Customer_Dim!$A$2:$F$501,5,FALSE)</f>
        <v>USA</v>
      </c>
      <c r="O1982" t="str">
        <f>VLOOKUP($E1982,Customer_Dim!$A$2:$F$501,6,FALSE)</f>
        <v>UNKNOWN</v>
      </c>
      <c r="P1982" t="str">
        <f>VLOOKUP($A1982,Store_Dim!$A$2:$F$21,3,FALSE)</f>
        <v>SouthEast Johnstad</v>
      </c>
    </row>
    <row r="1983" spans="1:16" hidden="1" x14ac:dyDescent="0.25">
      <c r="A1983" t="s">
        <v>814</v>
      </c>
      <c r="B1983" t="s">
        <v>1864</v>
      </c>
      <c r="C1983" t="s">
        <v>734</v>
      </c>
      <c r="D1983" s="2">
        <v>45908</v>
      </c>
      <c r="E1983" t="s">
        <v>274</v>
      </c>
      <c r="F1983" t="str">
        <f>VLOOKUP($C1983,Product_Dim!$A$2:$D$101,3,FALSE)</f>
        <v>Ramirez-Hanson</v>
      </c>
      <c r="G1983" t="str">
        <f>VLOOKUP($C1983,Product_Dim!$A$2:$D$101,2,FALSE)</f>
        <v>Home</v>
      </c>
      <c r="H1983">
        <v>4</v>
      </c>
      <c r="I1983">
        <v>202.59</v>
      </c>
      <c r="J1983">
        <v>0.06</v>
      </c>
      <c r="K1983" s="3">
        <v>761.73839999999996</v>
      </c>
      <c r="L1983" t="s">
        <v>857</v>
      </c>
      <c r="M1983" t="str">
        <f>VLOOKUP($E1983,Customer_Dim!$A$2:$F$501,3,FALSE)</f>
        <v>Female</v>
      </c>
      <c r="N1983" t="str">
        <f>VLOOKUP($E1983,Customer_Dim!$A$2:$F$501,5,FALSE)</f>
        <v>USA</v>
      </c>
      <c r="O1983" t="str">
        <f>VLOOKUP($E1983,Customer_Dim!$A$2:$F$501,6,FALSE)</f>
        <v>Platinum</v>
      </c>
      <c r="P1983" t="str">
        <f>VLOOKUP($A1983,Store_Dim!$A$2:$F$21,3,FALSE)</f>
        <v>SouthEast Johnstad</v>
      </c>
    </row>
    <row r="1984" spans="1:16" hidden="1" x14ac:dyDescent="0.25">
      <c r="A1984" t="s">
        <v>814</v>
      </c>
      <c r="B1984" t="s">
        <v>1598</v>
      </c>
      <c r="C1984" t="s">
        <v>734</v>
      </c>
      <c r="D1984" s="2">
        <v>45687</v>
      </c>
      <c r="E1984" t="s">
        <v>537</v>
      </c>
      <c r="F1984" t="str">
        <f>VLOOKUP($C1984,Product_Dim!$A$2:$D$101,3,FALSE)</f>
        <v>Ramirez-Hanson</v>
      </c>
      <c r="G1984" t="str">
        <f>VLOOKUP($C1984,Product_Dim!$A$2:$D$101,2,FALSE)</f>
        <v>Home</v>
      </c>
      <c r="H1984">
        <v>4</v>
      </c>
      <c r="I1984">
        <v>848.47</v>
      </c>
      <c r="J1984">
        <v>0.21</v>
      </c>
      <c r="K1984" s="3">
        <v>2681.1651999999999</v>
      </c>
      <c r="L1984" t="s">
        <v>857</v>
      </c>
      <c r="M1984" t="str">
        <f>VLOOKUP($E1984,Customer_Dim!$A$2:$F$501,3,FALSE)</f>
        <v>Female</v>
      </c>
      <c r="N1984" t="str">
        <f>VLOOKUP($E1984,Customer_Dim!$A$2:$F$501,5,FALSE)</f>
        <v>USA</v>
      </c>
      <c r="O1984" t="str">
        <f>VLOOKUP($E1984,Customer_Dim!$A$2:$F$501,6,FALSE)</f>
        <v>Gold</v>
      </c>
      <c r="P1984" t="str">
        <f>VLOOKUP($A1984,Store_Dim!$A$2:$F$21,3,FALSE)</f>
        <v>SouthEast Johnstad</v>
      </c>
    </row>
    <row r="1985" spans="1:16" hidden="1" x14ac:dyDescent="0.25">
      <c r="A1985" t="s">
        <v>814</v>
      </c>
      <c r="B1985" t="s">
        <v>1191</v>
      </c>
      <c r="C1985" t="s">
        <v>590</v>
      </c>
      <c r="D1985" s="2">
        <v>45921</v>
      </c>
      <c r="E1985" t="s">
        <v>145</v>
      </c>
      <c r="F1985" t="str">
        <f>VLOOKUP($C1985,Product_Dim!$A$2:$D$101,3,FALSE)</f>
        <v>Perez-Johnston</v>
      </c>
      <c r="G1985" t="str">
        <f>VLOOKUP($C1985,Product_Dim!$A$2:$D$101,2,FALSE)</f>
        <v>Electronics</v>
      </c>
      <c r="H1985">
        <v>1</v>
      </c>
      <c r="I1985">
        <v>125</v>
      </c>
      <c r="J1985">
        <v>0.23</v>
      </c>
      <c r="K1985" s="3">
        <v>96.25</v>
      </c>
      <c r="L1985" t="s">
        <v>852</v>
      </c>
      <c r="M1985" t="str">
        <f>VLOOKUP($E1985,Customer_Dim!$A$2:$F$501,3,FALSE)</f>
        <v>Female</v>
      </c>
      <c r="N1985" t="str">
        <f>VLOOKUP($E1985,Customer_Dim!$A$2:$F$501,5,FALSE)</f>
        <v>USA</v>
      </c>
      <c r="O1985" t="str">
        <f>VLOOKUP($E1985,Customer_Dim!$A$2:$F$501,6,FALSE)</f>
        <v>Bronze</v>
      </c>
      <c r="P1985" t="str">
        <f>VLOOKUP($A1985,Store_Dim!$A$2:$F$21,3,FALSE)</f>
        <v>SouthEast Johnstad</v>
      </c>
    </row>
    <row r="1986" spans="1:16" hidden="1" x14ac:dyDescent="0.25">
      <c r="A1986" t="s">
        <v>814</v>
      </c>
      <c r="B1986" t="s">
        <v>1901</v>
      </c>
      <c r="C1986" t="s">
        <v>736</v>
      </c>
      <c r="D1986" s="2">
        <v>45288</v>
      </c>
      <c r="E1986" t="s">
        <v>100</v>
      </c>
      <c r="F1986" t="str">
        <f>VLOOKUP($C1986,Product_Dim!$A$2:$D$101,3,FALSE)</f>
        <v>Allison Ltd</v>
      </c>
      <c r="G1986" t="str">
        <f>VLOOKUP($C1986,Product_Dim!$A$2:$D$101,2,FALSE)</f>
        <v>Home</v>
      </c>
      <c r="H1986">
        <v>1</v>
      </c>
      <c r="I1986">
        <v>813.87</v>
      </c>
      <c r="J1986">
        <v>0.23</v>
      </c>
      <c r="K1986" s="3">
        <v>626.67989999999998</v>
      </c>
      <c r="L1986" t="s">
        <v>852</v>
      </c>
      <c r="M1986" t="str">
        <f>VLOOKUP($E1986,Customer_Dim!$A$2:$F$501,3,FALSE)</f>
        <v>Female</v>
      </c>
      <c r="N1986" t="str">
        <f>VLOOKUP($E1986,Customer_Dim!$A$2:$F$501,5,FALSE)</f>
        <v>USA</v>
      </c>
      <c r="O1986" t="str">
        <f>VLOOKUP($E1986,Customer_Dim!$A$2:$F$501,6,FALSE)</f>
        <v>Gold</v>
      </c>
      <c r="P1986" t="str">
        <f>VLOOKUP($A1986,Store_Dim!$A$2:$F$21,3,FALSE)</f>
        <v>SouthEast Johnstad</v>
      </c>
    </row>
    <row r="1987" spans="1:16" x14ac:dyDescent="0.25">
      <c r="A1987" t="s">
        <v>814</v>
      </c>
      <c r="B1987" t="s">
        <v>2258</v>
      </c>
      <c r="C1987" t="s">
        <v>738</v>
      </c>
      <c r="D1987" s="2">
        <v>45277</v>
      </c>
      <c r="E1987" t="s">
        <v>239</v>
      </c>
      <c r="F1987" t="str">
        <f>VLOOKUP($C1987,Product_Dim!$A$2:$D$101,3,FALSE)</f>
        <v>Robinson-Brown</v>
      </c>
      <c r="G1987" t="str">
        <f>VLOOKUP($C1987,Product_Dim!$A$2:$D$101,2,FALSE)</f>
        <v>Sports</v>
      </c>
      <c r="H1987">
        <v>3</v>
      </c>
      <c r="I1987">
        <v>113.87</v>
      </c>
      <c r="J1987">
        <v>0.21</v>
      </c>
      <c r="K1987" s="3">
        <v>269.87189999999998</v>
      </c>
      <c r="L1987" t="s">
        <v>857</v>
      </c>
      <c r="M1987" t="str">
        <f>VLOOKUP($E1987,Customer_Dim!$A$2:$F$501,3,FALSE)</f>
        <v>Male</v>
      </c>
      <c r="N1987" t="str">
        <f>VLOOKUP($E1987,Customer_Dim!$A$2:$F$501,5,FALSE)</f>
        <v>USA</v>
      </c>
      <c r="O1987" t="str">
        <f>VLOOKUP($E1987,Customer_Dim!$A$2:$F$501,6,FALSE)</f>
        <v>Platinum</v>
      </c>
      <c r="P1987" t="str">
        <f>VLOOKUP($A1987,Store_Dim!$A$2:$F$21,3,FALSE)</f>
        <v>SouthEast Johnstad</v>
      </c>
    </row>
    <row r="1988" spans="1:16" hidden="1" x14ac:dyDescent="0.25">
      <c r="A1988" t="s">
        <v>814</v>
      </c>
      <c r="B1988" t="s">
        <v>2840</v>
      </c>
      <c r="C1988" t="s">
        <v>740</v>
      </c>
      <c r="D1988" s="2">
        <v>45349</v>
      </c>
      <c r="E1988" t="s">
        <v>375</v>
      </c>
      <c r="F1988" t="str">
        <f>VLOOKUP($C1988,Product_Dim!$A$2:$D$101,3,FALSE)</f>
        <v>Reese-Watson</v>
      </c>
      <c r="G1988" t="str">
        <f>VLOOKUP($C1988,Product_Dim!$A$2:$D$101,2,FALSE)</f>
        <v>Sports</v>
      </c>
      <c r="H1988">
        <v>4</v>
      </c>
      <c r="I1988">
        <v>752.48</v>
      </c>
      <c r="J1988">
        <v>0.23</v>
      </c>
      <c r="K1988" s="3">
        <v>2317.6383999999998</v>
      </c>
      <c r="L1988" t="s">
        <v>852</v>
      </c>
      <c r="M1988" t="str">
        <f>VLOOKUP($E1988,Customer_Dim!$A$2:$F$501,3,FALSE)</f>
        <v>Female</v>
      </c>
      <c r="N1988" t="str">
        <f>VLOOKUP($E1988,Customer_Dim!$A$2:$F$501,5,FALSE)</f>
        <v>USA</v>
      </c>
      <c r="O1988" t="str">
        <f>VLOOKUP($E1988,Customer_Dim!$A$2:$F$501,6,FALSE)</f>
        <v>Gold</v>
      </c>
      <c r="P1988" t="str">
        <f>VLOOKUP($A1988,Store_Dim!$A$2:$F$21,3,FALSE)</f>
        <v>SouthEast Johnstad</v>
      </c>
    </row>
    <row r="1989" spans="1:16" x14ac:dyDescent="0.25">
      <c r="A1989" t="s">
        <v>814</v>
      </c>
      <c r="B1989" t="s">
        <v>1744</v>
      </c>
      <c r="C1989" t="s">
        <v>742</v>
      </c>
      <c r="D1989" s="2">
        <v>45325</v>
      </c>
      <c r="E1989" t="s">
        <v>176</v>
      </c>
      <c r="F1989" t="str">
        <f>VLOOKUP($C1989,Product_Dim!$A$2:$D$101,3,FALSE)</f>
        <v>Butler Group</v>
      </c>
      <c r="G1989" t="str">
        <f>VLOOKUP($C1989,Product_Dim!$A$2:$D$101,2,FALSE)</f>
        <v>Beauty</v>
      </c>
      <c r="H1989">
        <v>3</v>
      </c>
      <c r="I1989">
        <v>470.42</v>
      </c>
      <c r="J1989">
        <v>0.16</v>
      </c>
      <c r="K1989" s="3">
        <v>1185.4584</v>
      </c>
      <c r="L1989" t="s">
        <v>852</v>
      </c>
      <c r="M1989" t="str">
        <f>VLOOKUP($E1989,Customer_Dim!$A$2:$F$501,3,FALSE)</f>
        <v>Male</v>
      </c>
      <c r="N1989" t="str">
        <f>VLOOKUP($E1989,Customer_Dim!$A$2:$F$501,5,FALSE)</f>
        <v>USA</v>
      </c>
      <c r="O1989" t="str">
        <f>VLOOKUP($E1989,Customer_Dim!$A$2:$F$501,6,FALSE)</f>
        <v>Gold</v>
      </c>
      <c r="P1989" t="str">
        <f>VLOOKUP($A1989,Store_Dim!$A$2:$F$21,3,FALSE)</f>
        <v>SouthEast Johnstad</v>
      </c>
    </row>
    <row r="1990" spans="1:16" hidden="1" x14ac:dyDescent="0.25">
      <c r="A1990" t="s">
        <v>814</v>
      </c>
      <c r="B1990" t="s">
        <v>1595</v>
      </c>
      <c r="C1990" t="s">
        <v>748</v>
      </c>
      <c r="D1990" s="2">
        <v>45372</v>
      </c>
      <c r="E1990" t="s">
        <v>16</v>
      </c>
      <c r="F1990" t="str">
        <f>VLOOKUP($C1990,Product_Dim!$A$2:$D$101,3,FALSE)</f>
        <v>Taylor, Dodson and Johnston</v>
      </c>
      <c r="G1990" t="str">
        <f>VLOOKUP($C1990,Product_Dim!$A$2:$D$101,2,FALSE)</f>
        <v>Home</v>
      </c>
      <c r="H1990">
        <v>1</v>
      </c>
      <c r="I1990">
        <v>431.69</v>
      </c>
      <c r="J1990">
        <v>0.09</v>
      </c>
      <c r="K1990" s="3">
        <v>392.83789999999999</v>
      </c>
      <c r="L1990" t="s">
        <v>852</v>
      </c>
      <c r="M1990" t="str">
        <f>VLOOKUP($E1990,Customer_Dim!$A$2:$F$501,3,FALSE)</f>
        <v>Female</v>
      </c>
      <c r="N1990" t="str">
        <f>VLOOKUP($E1990,Customer_Dim!$A$2:$F$501,5,FALSE)</f>
        <v>USA</v>
      </c>
      <c r="O1990" t="str">
        <f>VLOOKUP($E1990,Customer_Dim!$A$2:$F$501,6,FALSE)</f>
        <v>Platinum</v>
      </c>
      <c r="P1990" t="str">
        <f>VLOOKUP($A1990,Store_Dim!$A$2:$F$21,3,FALSE)</f>
        <v>SouthEast Johnstad</v>
      </c>
    </row>
    <row r="1991" spans="1:16" hidden="1" x14ac:dyDescent="0.25">
      <c r="A1991" t="s">
        <v>814</v>
      </c>
      <c r="B1991" t="s">
        <v>1388</v>
      </c>
      <c r="C1991" t="s">
        <v>750</v>
      </c>
      <c r="D1991" s="2">
        <v>45697</v>
      </c>
      <c r="E1991" t="s">
        <v>266</v>
      </c>
      <c r="F1991" t="str">
        <f>VLOOKUP($C1991,Product_Dim!$A$2:$D$101,3,FALSE)</f>
        <v>Aguilar, Horton and Lewis</v>
      </c>
      <c r="G1991" t="str">
        <f>VLOOKUP($C1991,Product_Dim!$A$2:$D$101,2,FALSE)</f>
        <v>Home</v>
      </c>
      <c r="H1991">
        <v>1</v>
      </c>
      <c r="I1991">
        <v>972.06</v>
      </c>
      <c r="J1991">
        <v>0.3</v>
      </c>
      <c r="K1991" s="3">
        <v>680.44199999999989</v>
      </c>
      <c r="L1991" t="s">
        <v>857</v>
      </c>
      <c r="M1991" t="str">
        <f>VLOOKUP($E1991,Customer_Dim!$A$2:$F$501,3,FALSE)</f>
        <v>Female</v>
      </c>
      <c r="N1991" t="str">
        <f>VLOOKUP($E1991,Customer_Dim!$A$2:$F$501,5,FALSE)</f>
        <v>USA</v>
      </c>
      <c r="O1991" t="str">
        <f>VLOOKUP($E1991,Customer_Dim!$A$2:$F$501,6,FALSE)</f>
        <v>Bronze</v>
      </c>
      <c r="P1991" t="str">
        <f>VLOOKUP($A1991,Store_Dim!$A$2:$F$21,3,FALSE)</f>
        <v>SouthEast Johnstad</v>
      </c>
    </row>
    <row r="1992" spans="1:16" x14ac:dyDescent="0.25">
      <c r="A1992" t="s">
        <v>814</v>
      </c>
      <c r="B1992" t="s">
        <v>1279</v>
      </c>
      <c r="C1992" t="s">
        <v>750</v>
      </c>
      <c r="D1992" s="2">
        <v>45807</v>
      </c>
      <c r="E1992" t="s">
        <v>545</v>
      </c>
      <c r="F1992" t="str">
        <f>VLOOKUP($C1992,Product_Dim!$A$2:$D$101,3,FALSE)</f>
        <v>Aguilar, Horton and Lewis</v>
      </c>
      <c r="G1992" t="str">
        <f>VLOOKUP($C1992,Product_Dim!$A$2:$D$101,2,FALSE)</f>
        <v>Home</v>
      </c>
      <c r="H1992">
        <v>2</v>
      </c>
      <c r="I1992">
        <v>209.96</v>
      </c>
      <c r="J1992">
        <v>0</v>
      </c>
      <c r="K1992" s="3">
        <v>419.92</v>
      </c>
      <c r="L1992" t="s">
        <v>852</v>
      </c>
      <c r="M1992" t="str">
        <f>VLOOKUP($E1992,Customer_Dim!$A$2:$F$501,3,FALSE)</f>
        <v>Male</v>
      </c>
      <c r="N1992" t="str">
        <f>VLOOKUP($E1992,Customer_Dim!$A$2:$F$501,5,FALSE)</f>
        <v>USA</v>
      </c>
      <c r="O1992" t="str">
        <f>VLOOKUP($E1992,Customer_Dim!$A$2:$F$501,6,FALSE)</f>
        <v>Gold</v>
      </c>
      <c r="P1992" t="str">
        <f>VLOOKUP($A1992,Store_Dim!$A$2:$F$21,3,FALSE)</f>
        <v>SouthEast Johnstad</v>
      </c>
    </row>
    <row r="1993" spans="1:16" hidden="1" x14ac:dyDescent="0.25">
      <c r="A1993" t="s">
        <v>814</v>
      </c>
      <c r="B1993" t="s">
        <v>2250</v>
      </c>
      <c r="C1993" t="s">
        <v>754</v>
      </c>
      <c r="D1993" s="2">
        <v>45744</v>
      </c>
      <c r="E1993" t="s">
        <v>542</v>
      </c>
      <c r="F1993" t="str">
        <f>VLOOKUP($C1993,Product_Dim!$A$2:$D$101,3,FALSE)</f>
        <v>Taylor-Elliott</v>
      </c>
      <c r="G1993" t="str">
        <f>VLOOKUP($C1993,Product_Dim!$A$2:$D$101,2,FALSE)</f>
        <v>Beauty</v>
      </c>
      <c r="H1993">
        <v>1</v>
      </c>
      <c r="I1993">
        <v>317.14999999999998</v>
      </c>
      <c r="J1993">
        <v>0.24</v>
      </c>
      <c r="K1993" s="3">
        <v>241.03399999999999</v>
      </c>
      <c r="L1993" t="s">
        <v>857</v>
      </c>
      <c r="M1993" t="str">
        <f>VLOOKUP($E1993,Customer_Dim!$A$2:$F$501,3,FALSE)</f>
        <v>Female</v>
      </c>
      <c r="N1993" t="str">
        <f>VLOOKUP($E1993,Customer_Dim!$A$2:$F$501,5,FALSE)</f>
        <v>USA</v>
      </c>
      <c r="O1993" t="str">
        <f>VLOOKUP($E1993,Customer_Dim!$A$2:$F$501,6,FALSE)</f>
        <v>Platinum</v>
      </c>
      <c r="P1993" t="str">
        <f>VLOOKUP($A1993,Store_Dim!$A$2:$F$21,3,FALSE)</f>
        <v>SouthEast Johnstad</v>
      </c>
    </row>
    <row r="1994" spans="1:16" x14ac:dyDescent="0.25">
      <c r="A1994" t="s">
        <v>814</v>
      </c>
      <c r="B1994" t="s">
        <v>1184</v>
      </c>
      <c r="C1994" t="s">
        <v>593</v>
      </c>
      <c r="D1994" s="2">
        <v>45478</v>
      </c>
      <c r="E1994" t="s">
        <v>317</v>
      </c>
      <c r="F1994" t="str">
        <f>VLOOKUP($C1994,Product_Dim!$A$2:$D$101,3,FALSE)</f>
        <v>Hill PLC</v>
      </c>
      <c r="G1994" t="str">
        <f>VLOOKUP($C1994,Product_Dim!$A$2:$D$101,2,FALSE)</f>
        <v>Sports</v>
      </c>
      <c r="H1994">
        <v>3</v>
      </c>
      <c r="I1994">
        <v>268.89</v>
      </c>
      <c r="J1994">
        <v>7.0000000000000007E-2</v>
      </c>
      <c r="K1994" s="3">
        <v>750.20309999999995</v>
      </c>
      <c r="L1994" t="s">
        <v>857</v>
      </c>
      <c r="M1994" t="str">
        <f>VLOOKUP($E1994,Customer_Dim!$A$2:$F$501,3,FALSE)</f>
        <v>Male</v>
      </c>
      <c r="N1994" t="str">
        <f>VLOOKUP($E1994,Customer_Dim!$A$2:$F$501,5,FALSE)</f>
        <v>USA</v>
      </c>
      <c r="O1994" t="str">
        <f>VLOOKUP($E1994,Customer_Dim!$A$2:$F$501,6,FALSE)</f>
        <v>Silver</v>
      </c>
      <c r="P1994" t="str">
        <f>VLOOKUP($A1994,Store_Dim!$A$2:$F$21,3,FALSE)</f>
        <v>SouthEast Johnstad</v>
      </c>
    </row>
    <row r="1995" spans="1:16" hidden="1" x14ac:dyDescent="0.25">
      <c r="A1995" t="s">
        <v>814</v>
      </c>
      <c r="B1995" t="s">
        <v>2683</v>
      </c>
      <c r="C1995" t="s">
        <v>593</v>
      </c>
      <c r="D1995" s="2">
        <v>45379</v>
      </c>
      <c r="E1995" t="s">
        <v>401</v>
      </c>
      <c r="F1995" t="str">
        <f>VLOOKUP($C1995,Product_Dim!$A$2:$D$101,3,FALSE)</f>
        <v>Hill PLC</v>
      </c>
      <c r="G1995" t="str">
        <f>VLOOKUP($C1995,Product_Dim!$A$2:$D$101,2,FALSE)</f>
        <v>Sports</v>
      </c>
      <c r="H1995">
        <v>2</v>
      </c>
      <c r="I1995">
        <v>169.46</v>
      </c>
      <c r="J1995">
        <v>0.03</v>
      </c>
      <c r="K1995" s="3">
        <v>328.75240000000002</v>
      </c>
      <c r="L1995" t="s">
        <v>854</v>
      </c>
      <c r="M1995" t="str">
        <f>VLOOKUP($E1995,Customer_Dim!$A$2:$F$501,3,FALSE)</f>
        <v>Female</v>
      </c>
      <c r="N1995" t="str">
        <f>VLOOKUP($E1995,Customer_Dim!$A$2:$F$501,5,FALSE)</f>
        <v>USA</v>
      </c>
      <c r="O1995" t="str">
        <f>VLOOKUP($E1995,Customer_Dim!$A$2:$F$501,6,FALSE)</f>
        <v>Silver</v>
      </c>
      <c r="P1995" t="str">
        <f>VLOOKUP($A1995,Store_Dim!$A$2:$F$21,3,FALSE)</f>
        <v>SouthEast Johnstad</v>
      </c>
    </row>
    <row r="1996" spans="1:16" x14ac:dyDescent="0.25">
      <c r="A1996" t="s">
        <v>814</v>
      </c>
      <c r="B1996" t="s">
        <v>1540</v>
      </c>
      <c r="C1996" t="s">
        <v>758</v>
      </c>
      <c r="D1996" s="2">
        <v>45942</v>
      </c>
      <c r="E1996" t="s">
        <v>332</v>
      </c>
      <c r="F1996" t="str">
        <f>VLOOKUP($C1996,Product_Dim!$A$2:$D$101,3,FALSE)</f>
        <v>Smith-Charles</v>
      </c>
      <c r="G1996" t="str">
        <f>VLOOKUP($C1996,Product_Dim!$A$2:$D$101,2,FALSE)</f>
        <v>Clothing</v>
      </c>
      <c r="H1996">
        <v>4</v>
      </c>
      <c r="I1996">
        <v>547.21</v>
      </c>
      <c r="J1996">
        <v>0.25</v>
      </c>
      <c r="K1996" s="3">
        <v>1641.63</v>
      </c>
      <c r="L1996" t="s">
        <v>852</v>
      </c>
      <c r="M1996" t="str">
        <f>VLOOKUP($E1996,Customer_Dim!$A$2:$F$501,3,FALSE)</f>
        <v>Male</v>
      </c>
      <c r="N1996" t="str">
        <f>VLOOKUP($E1996,Customer_Dim!$A$2:$F$501,5,FALSE)</f>
        <v>USA</v>
      </c>
      <c r="O1996" t="str">
        <f>VLOOKUP($E1996,Customer_Dim!$A$2:$F$501,6,FALSE)</f>
        <v>Silver</v>
      </c>
      <c r="P1996" t="str">
        <f>VLOOKUP($A1996,Store_Dim!$A$2:$F$21,3,FALSE)</f>
        <v>SouthEast Johnstad</v>
      </c>
    </row>
    <row r="1997" spans="1:16" hidden="1" x14ac:dyDescent="0.25">
      <c r="A1997" t="s">
        <v>814</v>
      </c>
      <c r="B1997" t="s">
        <v>1117</v>
      </c>
      <c r="C1997" t="s">
        <v>758</v>
      </c>
      <c r="D1997" s="2">
        <v>45826</v>
      </c>
      <c r="E1997" t="s">
        <v>349</v>
      </c>
      <c r="F1997" t="str">
        <f>VLOOKUP($C1997,Product_Dim!$A$2:$D$101,3,FALSE)</f>
        <v>Smith-Charles</v>
      </c>
      <c r="G1997" t="str">
        <f>VLOOKUP($C1997,Product_Dim!$A$2:$D$101,2,FALSE)</f>
        <v>Clothing</v>
      </c>
      <c r="H1997">
        <v>2</v>
      </c>
      <c r="I1997">
        <v>903.08</v>
      </c>
      <c r="J1997">
        <v>0.18</v>
      </c>
      <c r="K1997" s="3">
        <v>1481.0512000000001</v>
      </c>
      <c r="L1997" t="s">
        <v>857</v>
      </c>
      <c r="M1997" t="str">
        <f>VLOOKUP($E1997,Customer_Dim!$A$2:$F$501,3,FALSE)</f>
        <v>Female</v>
      </c>
      <c r="N1997" t="str">
        <f>VLOOKUP($E1997,Customer_Dim!$A$2:$F$501,5,FALSE)</f>
        <v>USA</v>
      </c>
      <c r="O1997" t="str">
        <f>VLOOKUP($E1997,Customer_Dim!$A$2:$F$501,6,FALSE)</f>
        <v>Gold</v>
      </c>
      <c r="P1997" t="str">
        <f>VLOOKUP($A1997,Store_Dim!$A$2:$F$21,3,FALSE)</f>
        <v>SouthEast Johnstad</v>
      </c>
    </row>
    <row r="1998" spans="1:16" hidden="1" x14ac:dyDescent="0.25">
      <c r="A1998" t="s">
        <v>814</v>
      </c>
      <c r="B1998" t="s">
        <v>2427</v>
      </c>
      <c r="C1998" t="s">
        <v>758</v>
      </c>
      <c r="D1998" s="2">
        <v>45612</v>
      </c>
      <c r="E1998" t="s">
        <v>500</v>
      </c>
      <c r="F1998" t="str">
        <f>VLOOKUP($C1998,Product_Dim!$A$2:$D$101,3,FALSE)</f>
        <v>Smith-Charles</v>
      </c>
      <c r="G1998" t="str">
        <f>VLOOKUP($C1998,Product_Dim!$A$2:$D$101,2,FALSE)</f>
        <v>Clothing</v>
      </c>
      <c r="H1998">
        <v>2</v>
      </c>
      <c r="I1998">
        <v>976.83</v>
      </c>
      <c r="J1998">
        <v>0.1</v>
      </c>
      <c r="K1998" s="3">
        <v>1758.2940000000001</v>
      </c>
      <c r="L1998" t="s">
        <v>854</v>
      </c>
      <c r="M1998" t="str">
        <f>VLOOKUP($E1998,Customer_Dim!$A$2:$F$501,3,FALSE)</f>
        <v>Female</v>
      </c>
      <c r="N1998" t="str">
        <f>VLOOKUP($E1998,Customer_Dim!$A$2:$F$501,5,FALSE)</f>
        <v>USA</v>
      </c>
      <c r="O1998" t="str">
        <f>VLOOKUP($E1998,Customer_Dim!$A$2:$F$501,6,FALSE)</f>
        <v>Silver</v>
      </c>
      <c r="P1998" t="str">
        <f>VLOOKUP($A1998,Store_Dim!$A$2:$F$21,3,FALSE)</f>
        <v>SouthEast Johnstad</v>
      </c>
    </row>
    <row r="1999" spans="1:16" hidden="1" x14ac:dyDescent="0.25">
      <c r="A1999" t="s">
        <v>814</v>
      </c>
      <c r="B1999" t="s">
        <v>982</v>
      </c>
      <c r="C1999" t="s">
        <v>764</v>
      </c>
      <c r="D1999" s="2">
        <v>45347</v>
      </c>
      <c r="E1999" t="s">
        <v>464</v>
      </c>
      <c r="F1999" t="str">
        <f>VLOOKUP($C1999,Product_Dim!$A$2:$D$101,3,FALSE)</f>
        <v>Hoffman-Williams</v>
      </c>
      <c r="G1999" t="str">
        <f>VLOOKUP($C1999,Product_Dim!$A$2:$D$101,2,FALSE)</f>
        <v>Beauty</v>
      </c>
      <c r="H1999">
        <v>2</v>
      </c>
      <c r="I1999">
        <v>724.97</v>
      </c>
      <c r="J1999">
        <v>0.1</v>
      </c>
      <c r="K1999" s="3">
        <v>1304.9459999999999</v>
      </c>
      <c r="L1999" t="s">
        <v>852</v>
      </c>
      <c r="M1999" t="str">
        <f>VLOOKUP($E1999,Customer_Dim!$A$2:$F$501,3,FALSE)</f>
        <v>Female</v>
      </c>
      <c r="N1999" t="str">
        <f>VLOOKUP($E1999,Customer_Dim!$A$2:$F$501,5,FALSE)</f>
        <v>USA</v>
      </c>
      <c r="O1999" t="str">
        <f>VLOOKUP($E1999,Customer_Dim!$A$2:$F$501,6,FALSE)</f>
        <v>Platinum</v>
      </c>
      <c r="P1999" t="str">
        <f>VLOOKUP($A1999,Store_Dim!$A$2:$F$21,3,FALSE)</f>
        <v>SouthEast Johnstad</v>
      </c>
    </row>
    <row r="2000" spans="1:16" hidden="1" x14ac:dyDescent="0.25">
      <c r="A2000" t="s">
        <v>814</v>
      </c>
      <c r="B2000" t="s">
        <v>2770</v>
      </c>
      <c r="C2000" t="s">
        <v>774</v>
      </c>
      <c r="D2000" s="2">
        <v>45714</v>
      </c>
      <c r="E2000" t="s">
        <v>141</v>
      </c>
      <c r="F2000" t="str">
        <f>VLOOKUP($C2000,Product_Dim!$A$2:$D$101,3,FALSE)</f>
        <v>Campbell Ltd</v>
      </c>
      <c r="G2000" t="str">
        <f>VLOOKUP($C2000,Product_Dim!$A$2:$D$101,2,FALSE)</f>
        <v>Home</v>
      </c>
      <c r="H2000">
        <v>4</v>
      </c>
      <c r="I2000">
        <v>261.73</v>
      </c>
      <c r="J2000">
        <v>0.1</v>
      </c>
      <c r="K2000" s="3">
        <v>942.22800000000007</v>
      </c>
      <c r="L2000" t="s">
        <v>854</v>
      </c>
      <c r="M2000" t="str">
        <f>VLOOKUP($E2000,Customer_Dim!$A$2:$F$501,3,FALSE)</f>
        <v>Female</v>
      </c>
      <c r="N2000" t="str">
        <f>VLOOKUP($E2000,Customer_Dim!$A$2:$F$501,5,FALSE)</f>
        <v>USA</v>
      </c>
      <c r="O2000" t="str">
        <f>VLOOKUP($E2000,Customer_Dim!$A$2:$F$501,6,FALSE)</f>
        <v>Platinum</v>
      </c>
      <c r="P2000" t="str">
        <f>VLOOKUP($A2000,Store_Dim!$A$2:$F$21,3,FALSE)</f>
        <v>SouthEast Johnstad</v>
      </c>
    </row>
    <row r="2001" spans="1:16" hidden="1" x14ac:dyDescent="0.25">
      <c r="A2001" t="s">
        <v>814</v>
      </c>
      <c r="B2001" t="s">
        <v>2060</v>
      </c>
      <c r="C2001" t="s">
        <v>774</v>
      </c>
      <c r="D2001" s="2">
        <v>45252</v>
      </c>
      <c r="E2001" t="s">
        <v>300</v>
      </c>
      <c r="F2001" t="str">
        <f>VLOOKUP($C2001,Product_Dim!$A$2:$D$101,3,FALSE)</f>
        <v>Campbell Ltd</v>
      </c>
      <c r="G2001" t="str">
        <f>VLOOKUP($C2001,Product_Dim!$A$2:$D$101,2,FALSE)</f>
        <v>Home</v>
      </c>
      <c r="H2001">
        <v>1</v>
      </c>
      <c r="I2001">
        <v>955.06</v>
      </c>
      <c r="J2001">
        <v>0.14000000000000001</v>
      </c>
      <c r="K2001" s="3">
        <v>821.35159999999996</v>
      </c>
      <c r="L2001" t="s">
        <v>852</v>
      </c>
      <c r="M2001" t="str">
        <f>VLOOKUP($E2001,Customer_Dim!$A$2:$F$501,3,FALSE)</f>
        <v>Female</v>
      </c>
      <c r="N2001" t="str">
        <f>VLOOKUP($E2001,Customer_Dim!$A$2:$F$501,5,FALSE)</f>
        <v>USA</v>
      </c>
      <c r="O2001" t="str">
        <f>VLOOKUP($E2001,Customer_Dim!$A$2:$F$501,6,FALSE)</f>
        <v>Gold</v>
      </c>
      <c r="P2001" t="str">
        <f>VLOOKUP($A2001,Store_Dim!$A$2:$F$21,3,FALSE)</f>
        <v>SouthEast Johnstad</v>
      </c>
    </row>
  </sheetData>
  <autoFilter ref="A1:P2001" xr:uid="{00000000-0001-0000-0300-000000000000}">
    <filterColumn colId="12">
      <filters>
        <filter val="Male"/>
      </filters>
    </filterColumn>
    <sortState xmlns:xlrd2="http://schemas.microsoft.com/office/spreadsheetml/2017/richdata2" ref="A2:P2001">
      <sortCondition ref="A1"/>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E0190-C150-422A-8507-A98CB76187DA}">
  <dimension ref="D4:M34"/>
  <sheetViews>
    <sheetView showGridLines="0" topLeftCell="A13" workbookViewId="0">
      <selection activeCell="D28" sqref="D28"/>
    </sheetView>
  </sheetViews>
  <sheetFormatPr defaultRowHeight="15" x14ac:dyDescent="0.25"/>
  <cols>
    <col min="8" max="8" width="12.5703125" bestFit="1" customWidth="1"/>
  </cols>
  <sheetData>
    <row r="4" spans="7:13" ht="21" x14ac:dyDescent="0.35">
      <c r="G4" s="12" t="s">
        <v>2877</v>
      </c>
      <c r="H4" s="12"/>
      <c r="I4" s="12"/>
      <c r="J4" s="12"/>
      <c r="K4" s="12"/>
      <c r="L4" s="12"/>
    </row>
    <row r="5" spans="7:13" ht="21" x14ac:dyDescent="0.35">
      <c r="G5" s="12"/>
      <c r="H5" s="12"/>
      <c r="I5" s="12"/>
      <c r="J5" s="12"/>
      <c r="K5" s="12"/>
      <c r="L5" s="12"/>
    </row>
    <row r="8" spans="7:13" ht="15.75" thickBot="1" x14ac:dyDescent="0.3"/>
    <row r="9" spans="7:13" x14ac:dyDescent="0.25">
      <c r="H9" s="9" t="s">
        <v>847</v>
      </c>
      <c r="I9" s="9"/>
      <c r="J9" s="9" t="s">
        <v>848</v>
      </c>
      <c r="K9" s="9"/>
      <c r="L9" s="9" t="s">
        <v>850</v>
      </c>
      <c r="M9" s="9"/>
    </row>
    <row r="11" spans="7:13" x14ac:dyDescent="0.25">
      <c r="H11" t="s">
        <v>2864</v>
      </c>
      <c r="I11">
        <v>513.57010324999953</v>
      </c>
      <c r="J11" t="s">
        <v>2864</v>
      </c>
      <c r="K11">
        <v>0.14864000000000016</v>
      </c>
      <c r="L11" t="s">
        <v>2864</v>
      </c>
      <c r="M11">
        <v>1087.2681486999995</v>
      </c>
    </row>
    <row r="12" spans="7:13" x14ac:dyDescent="0.25">
      <c r="H12" t="s">
        <v>2865</v>
      </c>
      <c r="I12">
        <v>6.3136507050274506</v>
      </c>
      <c r="J12" t="s">
        <v>2865</v>
      </c>
      <c r="K12">
        <v>2.0223551023694996E-3</v>
      </c>
      <c r="L12" t="s">
        <v>2865</v>
      </c>
      <c r="M12">
        <v>18.3262416750953</v>
      </c>
    </row>
    <row r="13" spans="7:13" x14ac:dyDescent="0.25">
      <c r="H13" t="s">
        <v>2866</v>
      </c>
      <c r="I13">
        <v>522.43000000000006</v>
      </c>
      <c r="J13" t="s">
        <v>2866</v>
      </c>
      <c r="K13">
        <v>0.14000000000000001</v>
      </c>
      <c r="L13" t="s">
        <v>2866</v>
      </c>
      <c r="M13">
        <v>868.71820000000002</v>
      </c>
    </row>
    <row r="14" spans="7:13" x14ac:dyDescent="0.25">
      <c r="H14" t="s">
        <v>2867</v>
      </c>
      <c r="I14">
        <v>503.95</v>
      </c>
      <c r="J14" t="s">
        <v>2867</v>
      </c>
      <c r="K14">
        <v>0.1</v>
      </c>
      <c r="L14" t="s">
        <v>2867</v>
      </c>
      <c r="M14" t="e">
        <v>#N/A</v>
      </c>
    </row>
    <row r="15" spans="7:13" x14ac:dyDescent="0.25">
      <c r="H15" t="s">
        <v>2868</v>
      </c>
      <c r="I15">
        <v>282.35504325261707</v>
      </c>
      <c r="J15" t="s">
        <v>2868</v>
      </c>
      <c r="K15">
        <v>9.0442469670834955E-2</v>
      </c>
      <c r="L15" t="s">
        <v>2868</v>
      </c>
      <c r="M15">
        <v>819.57444315205419</v>
      </c>
    </row>
    <row r="16" spans="7:13" x14ac:dyDescent="0.25">
      <c r="H16" t="s">
        <v>2869</v>
      </c>
      <c r="I16">
        <v>79724.370450187256</v>
      </c>
      <c r="J16" t="s">
        <v>2869</v>
      </c>
      <c r="K16">
        <v>8.179840320159901E-3</v>
      </c>
      <c r="L16" t="s">
        <v>2869</v>
      </c>
      <c r="M16">
        <v>671702.26786799973</v>
      </c>
    </row>
    <row r="17" spans="4:13" x14ac:dyDescent="0.25">
      <c r="H17" t="s">
        <v>2870</v>
      </c>
      <c r="I17">
        <v>-1.1932254731786842</v>
      </c>
      <c r="J17" t="s">
        <v>2870</v>
      </c>
      <c r="K17">
        <v>2.2279711798550714</v>
      </c>
      <c r="L17" t="s">
        <v>2870</v>
      </c>
      <c r="M17">
        <v>4.5970017689212828E-2</v>
      </c>
    </row>
    <row r="18" spans="4:13" x14ac:dyDescent="0.25">
      <c r="H18" t="s">
        <v>2871</v>
      </c>
      <c r="I18">
        <v>-3.475491787046231E-2</v>
      </c>
      <c r="J18" t="s">
        <v>2871</v>
      </c>
      <c r="K18">
        <v>0.50291427992391935</v>
      </c>
      <c r="L18" t="s">
        <v>2871</v>
      </c>
      <c r="M18">
        <v>0.87909943349460751</v>
      </c>
    </row>
    <row r="19" spans="4:13" x14ac:dyDescent="0.25">
      <c r="H19" t="s">
        <v>2872</v>
      </c>
      <c r="I19">
        <v>979.8</v>
      </c>
      <c r="J19" t="s">
        <v>2872</v>
      </c>
      <c r="K19">
        <v>0.87</v>
      </c>
      <c r="L19" t="s">
        <v>2872</v>
      </c>
      <c r="M19">
        <v>3889.7838000000002</v>
      </c>
    </row>
    <row r="20" spans="4:13" x14ac:dyDescent="0.25">
      <c r="H20" t="s">
        <v>2873</v>
      </c>
      <c r="I20">
        <v>20.09</v>
      </c>
      <c r="J20" t="s">
        <v>2873</v>
      </c>
      <c r="K20">
        <v>0</v>
      </c>
      <c r="L20" t="s">
        <v>2873</v>
      </c>
      <c r="M20">
        <v>18.459</v>
      </c>
    </row>
    <row r="21" spans="4:13" x14ac:dyDescent="0.25">
      <c r="H21" t="s">
        <v>2874</v>
      </c>
      <c r="I21">
        <v>999.89</v>
      </c>
      <c r="J21" t="s">
        <v>2874</v>
      </c>
      <c r="K21">
        <v>0.87</v>
      </c>
      <c r="L21" t="s">
        <v>2874</v>
      </c>
      <c r="M21">
        <v>3908.2428</v>
      </c>
    </row>
    <row r="22" spans="4:13" x14ac:dyDescent="0.25">
      <c r="H22" t="s">
        <v>2875</v>
      </c>
      <c r="I22">
        <v>1027140.206499999</v>
      </c>
      <c r="J22" t="s">
        <v>2875</v>
      </c>
      <c r="K22">
        <v>297.28000000000031</v>
      </c>
      <c r="L22" t="s">
        <v>2875</v>
      </c>
      <c r="M22">
        <v>2174536.2973999991</v>
      </c>
    </row>
    <row r="23" spans="4:13" ht="15.75" thickBot="1" x14ac:dyDescent="0.3">
      <c r="H23" s="8" t="s">
        <v>2876</v>
      </c>
      <c r="I23" s="8">
        <v>2000</v>
      </c>
      <c r="J23" s="8" t="s">
        <v>2876</v>
      </c>
      <c r="K23" s="8">
        <v>2000</v>
      </c>
      <c r="L23" s="8" t="s">
        <v>2876</v>
      </c>
      <c r="M23" s="8">
        <v>2000</v>
      </c>
    </row>
    <row r="25" spans="4:13" x14ac:dyDescent="0.25">
      <c r="H25" s="11"/>
    </row>
    <row r="26" spans="4:13" x14ac:dyDescent="0.25">
      <c r="D26" t="s">
        <v>2878</v>
      </c>
      <c r="H26" s="10">
        <f>SUMIF(Sales_Fact!M2:M1996,"Male",Sales_Fact!K2:K1996)</f>
        <v>943092.06759999902</v>
      </c>
    </row>
    <row r="27" spans="4:13" x14ac:dyDescent="0.25">
      <c r="D27" t="s">
        <v>2879</v>
      </c>
      <c r="H27" s="13">
        <f>SUM(Sales_Fact!K2:K1996)</f>
        <v>2168228.4265999985</v>
      </c>
    </row>
    <row r="28" spans="4:13" x14ac:dyDescent="0.25">
      <c r="H28" s="11"/>
    </row>
    <row r="29" spans="4:13" x14ac:dyDescent="0.25">
      <c r="H29" s="11"/>
    </row>
    <row r="30" spans="4:13" x14ac:dyDescent="0.25">
      <c r="H30" s="11"/>
    </row>
    <row r="31" spans="4:13" x14ac:dyDescent="0.25">
      <c r="H31" s="11"/>
    </row>
    <row r="32" spans="4:13" x14ac:dyDescent="0.25">
      <c r="H32" s="11"/>
    </row>
    <row r="33" spans="8:8" x14ac:dyDescent="0.25">
      <c r="H33" s="11"/>
    </row>
    <row r="34" spans="8:8" x14ac:dyDescent="0.25">
      <c r="H34"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A4C79-60F3-4384-BE7D-901C633BC66B}">
  <dimension ref="A1:B47"/>
  <sheetViews>
    <sheetView tabSelected="1" workbookViewId="0">
      <selection activeCell="N43" sqref="N43"/>
    </sheetView>
  </sheetViews>
  <sheetFormatPr defaultRowHeight="15" x14ac:dyDescent="0.25"/>
  <cols>
    <col min="1" max="1" width="13.140625" bestFit="1" customWidth="1"/>
    <col min="2" max="2" width="9" bestFit="1" customWidth="1"/>
    <col min="3" max="3" width="12.5703125" bestFit="1" customWidth="1"/>
    <col min="4" max="5" width="11.5703125" bestFit="1" customWidth="1"/>
    <col min="6" max="6" width="11.28515625" bestFit="1" customWidth="1"/>
    <col min="7" max="7" width="12.5703125" bestFit="1" customWidth="1"/>
  </cols>
  <sheetData>
    <row r="1" spans="1:2" x14ac:dyDescent="0.25">
      <c r="A1" s="14" t="s">
        <v>2880</v>
      </c>
      <c r="B1" t="s">
        <v>2882</v>
      </c>
    </row>
    <row r="2" spans="1:2" x14ac:dyDescent="0.25">
      <c r="A2" s="15" t="s">
        <v>780</v>
      </c>
      <c r="B2" s="17">
        <v>84873.616299999965</v>
      </c>
    </row>
    <row r="3" spans="1:2" x14ac:dyDescent="0.25">
      <c r="A3" s="15" t="s">
        <v>785</v>
      </c>
      <c r="B3" s="17">
        <v>101060.60919999996</v>
      </c>
    </row>
    <row r="4" spans="1:2" x14ac:dyDescent="0.25">
      <c r="A4" s="15" t="s">
        <v>817</v>
      </c>
      <c r="B4" s="17">
        <v>109806.10699999997</v>
      </c>
    </row>
    <row r="5" spans="1:2" x14ac:dyDescent="0.25">
      <c r="A5" s="15" t="s">
        <v>820</v>
      </c>
      <c r="B5" s="17">
        <v>93048.14049999998</v>
      </c>
    </row>
    <row r="6" spans="1:2" x14ac:dyDescent="0.25">
      <c r="A6" s="15" t="s">
        <v>822</v>
      </c>
      <c r="B6" s="17">
        <v>116829.2206</v>
      </c>
    </row>
    <row r="7" spans="1:2" x14ac:dyDescent="0.25">
      <c r="A7" s="15" t="s">
        <v>825</v>
      </c>
      <c r="B7" s="17">
        <v>114401.47150000001</v>
      </c>
    </row>
    <row r="8" spans="1:2" x14ac:dyDescent="0.25">
      <c r="A8" s="15" t="s">
        <v>827</v>
      </c>
      <c r="B8" s="17">
        <v>106248.28330000001</v>
      </c>
    </row>
    <row r="9" spans="1:2" x14ac:dyDescent="0.25">
      <c r="A9" s="15" t="s">
        <v>829</v>
      </c>
      <c r="B9" s="17">
        <v>99679.085999999937</v>
      </c>
    </row>
    <row r="10" spans="1:2" x14ac:dyDescent="0.25">
      <c r="A10" s="15" t="s">
        <v>832</v>
      </c>
      <c r="B10" s="17">
        <v>111704.94359999998</v>
      </c>
    </row>
    <row r="11" spans="1:2" x14ac:dyDescent="0.25">
      <c r="A11" s="15" t="s">
        <v>835</v>
      </c>
      <c r="B11" s="17">
        <v>122215.1756</v>
      </c>
    </row>
    <row r="12" spans="1:2" x14ac:dyDescent="0.25">
      <c r="A12" s="15" t="s">
        <v>838</v>
      </c>
      <c r="B12" s="17">
        <v>104313.05450000001</v>
      </c>
    </row>
    <row r="13" spans="1:2" x14ac:dyDescent="0.25">
      <c r="A13" s="15" t="s">
        <v>841</v>
      </c>
      <c r="B13" s="17">
        <v>94237.100500000015</v>
      </c>
    </row>
    <row r="14" spans="1:2" x14ac:dyDescent="0.25">
      <c r="A14" s="15" t="s">
        <v>789</v>
      </c>
      <c r="B14" s="17">
        <v>98960.807799999937</v>
      </c>
    </row>
    <row r="15" spans="1:2" x14ac:dyDescent="0.25">
      <c r="A15" s="15" t="s">
        <v>794</v>
      </c>
      <c r="B15" s="17">
        <v>125011.8285</v>
      </c>
    </row>
    <row r="16" spans="1:2" x14ac:dyDescent="0.25">
      <c r="A16" s="15" t="s">
        <v>797</v>
      </c>
      <c r="B16" s="17">
        <v>118814.11569999997</v>
      </c>
    </row>
    <row r="17" spans="1:2" x14ac:dyDescent="0.25">
      <c r="A17" s="15" t="s">
        <v>801</v>
      </c>
      <c r="B17" s="17">
        <v>81420.790500000032</v>
      </c>
    </row>
    <row r="18" spans="1:2" x14ac:dyDescent="0.25">
      <c r="A18" s="15" t="s">
        <v>804</v>
      </c>
      <c r="B18" s="17">
        <v>114533.7966</v>
      </c>
    </row>
    <row r="19" spans="1:2" x14ac:dyDescent="0.25">
      <c r="A19" s="15" t="s">
        <v>807</v>
      </c>
      <c r="B19" s="17">
        <v>108039.34940000002</v>
      </c>
    </row>
    <row r="20" spans="1:2" x14ac:dyDescent="0.25">
      <c r="A20" s="15" t="s">
        <v>810</v>
      </c>
      <c r="B20" s="17">
        <v>158971.46240000005</v>
      </c>
    </row>
    <row r="21" spans="1:2" x14ac:dyDescent="0.25">
      <c r="A21" s="15" t="s">
        <v>814</v>
      </c>
      <c r="B21" s="17">
        <v>103794.5282</v>
      </c>
    </row>
    <row r="22" spans="1:2" x14ac:dyDescent="0.25">
      <c r="A22" s="15" t="s">
        <v>2881</v>
      </c>
      <c r="B22" s="17">
        <v>2167963.4876999999</v>
      </c>
    </row>
    <row r="24" spans="1:2" x14ac:dyDescent="0.25">
      <c r="A24" s="14" t="s">
        <v>2880</v>
      </c>
      <c r="B24" t="s">
        <v>2883</v>
      </c>
    </row>
    <row r="25" spans="1:2" x14ac:dyDescent="0.25">
      <c r="A25" s="15" t="s">
        <v>586</v>
      </c>
      <c r="B25" s="17">
        <v>736</v>
      </c>
    </row>
    <row r="26" spans="1:2" x14ac:dyDescent="0.25">
      <c r="A26" s="15" t="s">
        <v>575</v>
      </c>
      <c r="B26" s="16">
        <v>841.88013221622862</v>
      </c>
    </row>
    <row r="27" spans="1:2" x14ac:dyDescent="0.25">
      <c r="A27" s="15" t="s">
        <v>591</v>
      </c>
      <c r="B27" s="17">
        <v>1164</v>
      </c>
    </row>
    <row r="28" spans="1:2" x14ac:dyDescent="0.25">
      <c r="A28" s="15" t="s">
        <v>572</v>
      </c>
      <c r="B28" s="16">
        <v>966.81277342294698</v>
      </c>
    </row>
    <row r="29" spans="1:2" x14ac:dyDescent="0.25">
      <c r="A29" s="15" t="s">
        <v>594</v>
      </c>
      <c r="B29" s="17">
        <v>1241</v>
      </c>
    </row>
    <row r="30" spans="1:2" x14ac:dyDescent="0.25">
      <c r="A30" s="15" t="s">
        <v>2881</v>
      </c>
      <c r="B30" s="16">
        <v>4949.6929056391755</v>
      </c>
    </row>
    <row r="33" spans="1:2" x14ac:dyDescent="0.25">
      <c r="A33" s="14" t="s">
        <v>2880</v>
      </c>
      <c r="B33" t="s">
        <v>2884</v>
      </c>
    </row>
    <row r="34" spans="1:2" x14ac:dyDescent="0.25">
      <c r="A34" s="15" t="s">
        <v>857</v>
      </c>
      <c r="B34" s="16">
        <v>701094.19459999935</v>
      </c>
    </row>
    <row r="35" spans="1:2" x14ac:dyDescent="0.25">
      <c r="A35" s="15" t="s">
        <v>852</v>
      </c>
      <c r="B35" s="16">
        <v>713068.80520000181</v>
      </c>
    </row>
    <row r="36" spans="1:2" x14ac:dyDescent="0.25">
      <c r="A36" s="15" t="s">
        <v>854</v>
      </c>
      <c r="B36" s="16">
        <v>754065.4267999999</v>
      </c>
    </row>
    <row r="37" spans="1:2" x14ac:dyDescent="0.25">
      <c r="A37" s="15" t="s">
        <v>2881</v>
      </c>
      <c r="B37" s="16">
        <v>2168228.4266000013</v>
      </c>
    </row>
    <row r="41" spans="1:2" x14ac:dyDescent="0.25">
      <c r="A41" s="14" t="s">
        <v>2880</v>
      </c>
      <c r="B41" t="s">
        <v>2885</v>
      </c>
    </row>
    <row r="42" spans="1:2" x14ac:dyDescent="0.25">
      <c r="A42" s="15" t="s">
        <v>20</v>
      </c>
      <c r="B42" s="17">
        <v>73.02000000000001</v>
      </c>
    </row>
    <row r="43" spans="1:2" x14ac:dyDescent="0.25">
      <c r="A43" s="15" t="s">
        <v>11</v>
      </c>
      <c r="B43" s="17">
        <v>68.610000000000056</v>
      </c>
    </row>
    <row r="44" spans="1:2" x14ac:dyDescent="0.25">
      <c r="A44" s="15" t="s">
        <v>15</v>
      </c>
      <c r="B44" s="17">
        <v>90.589999999999989</v>
      </c>
    </row>
    <row r="45" spans="1:2" x14ac:dyDescent="0.25">
      <c r="A45" s="15" t="s">
        <v>23</v>
      </c>
      <c r="B45" s="17">
        <v>62.22</v>
      </c>
    </row>
    <row r="46" spans="1:2" x14ac:dyDescent="0.25">
      <c r="A46" s="15" t="s">
        <v>2855</v>
      </c>
      <c r="B46" s="17">
        <v>2.2200000000000002</v>
      </c>
    </row>
    <row r="47" spans="1:2" x14ac:dyDescent="0.25">
      <c r="A47" s="15" t="s">
        <v>2881</v>
      </c>
      <c r="B47" s="17">
        <v>296.66000000000008</v>
      </c>
    </row>
  </sheetData>
  <dataConsolidate/>
  <pageMargins left="0.7" right="0.7" top="0.75" bottom="0.75" header="0.3" footer="0.3"/>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65EB-5561-4B6E-ADCC-9AC63D6275B4}">
  <dimension ref="G1:P1"/>
  <sheetViews>
    <sheetView showGridLines="0" workbookViewId="0">
      <selection activeCell="T50" sqref="B1:T50"/>
    </sheetView>
  </sheetViews>
  <sheetFormatPr defaultRowHeight="15" x14ac:dyDescent="0.25"/>
  <sheetData>
    <row r="1" spans="7:16" ht="31.5" x14ac:dyDescent="0.5">
      <c r="G1" s="18" t="s">
        <v>2886</v>
      </c>
      <c r="H1" s="19"/>
      <c r="I1" s="19"/>
      <c r="J1" s="19"/>
      <c r="K1" s="19"/>
      <c r="L1" s="19"/>
      <c r="M1" s="19"/>
      <c r="N1" s="19"/>
      <c r="O1" s="19"/>
      <c r="P1"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952E8-2B17-4ED9-80B3-B1756C9E1DE6}">
  <dimension ref="A1:E60"/>
  <sheetViews>
    <sheetView workbookViewId="0">
      <selection activeCell="E3" sqref="E3"/>
    </sheetView>
  </sheetViews>
  <sheetFormatPr defaultRowHeight="15" x14ac:dyDescent="0.25"/>
  <cols>
    <col min="2" max="2" width="15.140625" customWidth="1"/>
    <col min="3" max="3" width="24" customWidth="1"/>
    <col min="4" max="4" width="38.7109375" customWidth="1"/>
    <col min="5" max="5" width="38.85546875" customWidth="1"/>
  </cols>
  <sheetData>
    <row r="1" spans="1:5" x14ac:dyDescent="0.25">
      <c r="A1" t="s">
        <v>1</v>
      </c>
      <c r="B1" t="s">
        <v>6</v>
      </c>
      <c r="C1" t="s">
        <v>2887</v>
      </c>
      <c r="D1" t="s">
        <v>2888</v>
      </c>
      <c r="E1" t="s">
        <v>2889</v>
      </c>
    </row>
    <row r="2" spans="1:5" x14ac:dyDescent="0.25">
      <c r="A2">
        <v>18</v>
      </c>
      <c r="B2">
        <v>13</v>
      </c>
    </row>
    <row r="3" spans="1:5" x14ac:dyDescent="0.25">
      <c r="A3">
        <v>19</v>
      </c>
      <c r="B3">
        <v>7</v>
      </c>
    </row>
    <row r="4" spans="1:5" x14ac:dyDescent="0.25">
      <c r="A4">
        <v>20</v>
      </c>
      <c r="B4">
        <v>6</v>
      </c>
    </row>
    <row r="5" spans="1:5" x14ac:dyDescent="0.25">
      <c r="A5">
        <v>21</v>
      </c>
      <c r="B5">
        <v>14</v>
      </c>
    </row>
    <row r="6" spans="1:5" x14ac:dyDescent="0.25">
      <c r="A6">
        <v>22</v>
      </c>
      <c r="B6">
        <v>9</v>
      </c>
    </row>
    <row r="7" spans="1:5" x14ac:dyDescent="0.25">
      <c r="A7">
        <v>23</v>
      </c>
      <c r="B7">
        <v>12</v>
      </c>
    </row>
    <row r="8" spans="1:5" x14ac:dyDescent="0.25">
      <c r="A8">
        <v>24</v>
      </c>
      <c r="B8">
        <v>8</v>
      </c>
    </row>
    <row r="9" spans="1:5" x14ac:dyDescent="0.25">
      <c r="A9">
        <v>25</v>
      </c>
      <c r="B9">
        <v>8</v>
      </c>
    </row>
    <row r="10" spans="1:5" x14ac:dyDescent="0.25">
      <c r="A10">
        <v>26</v>
      </c>
      <c r="B10">
        <v>11</v>
      </c>
    </row>
    <row r="11" spans="1:5" x14ac:dyDescent="0.25">
      <c r="A11">
        <v>27</v>
      </c>
      <c r="B11">
        <v>14</v>
      </c>
    </row>
    <row r="12" spans="1:5" x14ac:dyDescent="0.25">
      <c r="A12">
        <v>28</v>
      </c>
      <c r="B12">
        <v>10</v>
      </c>
    </row>
    <row r="13" spans="1:5" x14ac:dyDescent="0.25">
      <c r="A13">
        <v>29</v>
      </c>
      <c r="B13">
        <v>17</v>
      </c>
    </row>
    <row r="14" spans="1:5" x14ac:dyDescent="0.25">
      <c r="A14">
        <v>30</v>
      </c>
      <c r="B14">
        <v>7</v>
      </c>
    </row>
    <row r="15" spans="1:5" x14ac:dyDescent="0.25">
      <c r="A15">
        <v>31</v>
      </c>
      <c r="B15">
        <v>7</v>
      </c>
    </row>
    <row r="16" spans="1:5" x14ac:dyDescent="0.25">
      <c r="A16">
        <v>32</v>
      </c>
      <c r="B16">
        <v>11</v>
      </c>
    </row>
    <row r="17" spans="1:2" x14ac:dyDescent="0.25">
      <c r="A17">
        <v>33</v>
      </c>
      <c r="B17">
        <v>10</v>
      </c>
    </row>
    <row r="18" spans="1:2" x14ac:dyDescent="0.25">
      <c r="A18">
        <v>34</v>
      </c>
      <c r="B18">
        <v>13</v>
      </c>
    </row>
    <row r="19" spans="1:2" x14ac:dyDescent="0.25">
      <c r="A19">
        <v>35</v>
      </c>
      <c r="B19">
        <v>10</v>
      </c>
    </row>
    <row r="20" spans="1:2" x14ac:dyDescent="0.25">
      <c r="A20">
        <v>36</v>
      </c>
      <c r="B20">
        <v>11</v>
      </c>
    </row>
    <row r="21" spans="1:2" x14ac:dyDescent="0.25">
      <c r="A21">
        <v>37</v>
      </c>
      <c r="B21">
        <v>9</v>
      </c>
    </row>
    <row r="22" spans="1:2" x14ac:dyDescent="0.25">
      <c r="A22">
        <v>38</v>
      </c>
      <c r="B22">
        <v>10</v>
      </c>
    </row>
    <row r="23" spans="1:2" x14ac:dyDescent="0.25">
      <c r="A23">
        <v>39</v>
      </c>
      <c r="B23">
        <v>6</v>
      </c>
    </row>
    <row r="24" spans="1:2" x14ac:dyDescent="0.25">
      <c r="A24">
        <v>40</v>
      </c>
      <c r="B24">
        <v>11</v>
      </c>
    </row>
    <row r="25" spans="1:2" x14ac:dyDescent="0.25">
      <c r="A25">
        <v>41</v>
      </c>
      <c r="B25">
        <v>12</v>
      </c>
    </row>
    <row r="26" spans="1:2" x14ac:dyDescent="0.25">
      <c r="A26">
        <v>42</v>
      </c>
      <c r="B26">
        <v>12</v>
      </c>
    </row>
    <row r="27" spans="1:2" x14ac:dyDescent="0.25">
      <c r="A27">
        <v>43</v>
      </c>
      <c r="B27">
        <v>11</v>
      </c>
    </row>
    <row r="28" spans="1:2" x14ac:dyDescent="0.25">
      <c r="A28">
        <v>44</v>
      </c>
      <c r="B28">
        <v>7</v>
      </c>
    </row>
    <row r="29" spans="1:2" x14ac:dyDescent="0.25">
      <c r="A29">
        <v>45</v>
      </c>
      <c r="B29">
        <v>11</v>
      </c>
    </row>
    <row r="30" spans="1:2" x14ac:dyDescent="0.25">
      <c r="A30">
        <v>46</v>
      </c>
      <c r="B30">
        <v>19</v>
      </c>
    </row>
    <row r="31" spans="1:2" x14ac:dyDescent="0.25">
      <c r="A31">
        <v>47</v>
      </c>
      <c r="B31">
        <v>7</v>
      </c>
    </row>
    <row r="32" spans="1:2" x14ac:dyDescent="0.25">
      <c r="A32">
        <v>48</v>
      </c>
      <c r="B32">
        <v>11</v>
      </c>
    </row>
    <row r="33" spans="1:5" x14ac:dyDescent="0.25">
      <c r="A33">
        <v>49</v>
      </c>
      <c r="B33">
        <v>4</v>
      </c>
    </row>
    <row r="34" spans="1:5" x14ac:dyDescent="0.25">
      <c r="A34">
        <v>50</v>
      </c>
      <c r="B34">
        <v>14</v>
      </c>
    </row>
    <row r="35" spans="1:5" x14ac:dyDescent="0.25">
      <c r="A35">
        <v>51</v>
      </c>
      <c r="B35">
        <v>7</v>
      </c>
    </row>
    <row r="36" spans="1:5" x14ac:dyDescent="0.25">
      <c r="A36">
        <v>52</v>
      </c>
      <c r="B36">
        <v>9</v>
      </c>
    </row>
    <row r="37" spans="1:5" x14ac:dyDescent="0.25">
      <c r="A37">
        <v>53</v>
      </c>
      <c r="B37">
        <v>15</v>
      </c>
    </row>
    <row r="38" spans="1:5" x14ac:dyDescent="0.25">
      <c r="A38">
        <v>54</v>
      </c>
      <c r="B38">
        <v>17</v>
      </c>
    </row>
    <row r="39" spans="1:5" x14ac:dyDescent="0.25">
      <c r="A39">
        <v>55</v>
      </c>
      <c r="B39">
        <v>9</v>
      </c>
    </row>
    <row r="40" spans="1:5" x14ac:dyDescent="0.25">
      <c r="A40">
        <v>56</v>
      </c>
      <c r="B40">
        <v>10</v>
      </c>
    </row>
    <row r="41" spans="1:5" x14ac:dyDescent="0.25">
      <c r="A41">
        <v>57</v>
      </c>
      <c r="B41">
        <v>4</v>
      </c>
    </row>
    <row r="42" spans="1:5" x14ac:dyDescent="0.25">
      <c r="A42">
        <v>58</v>
      </c>
      <c r="B42">
        <v>14</v>
      </c>
    </row>
    <row r="43" spans="1:5" x14ac:dyDescent="0.25">
      <c r="A43">
        <v>59</v>
      </c>
      <c r="B43">
        <v>14</v>
      </c>
    </row>
    <row r="44" spans="1:5" x14ac:dyDescent="0.25">
      <c r="A44">
        <v>60</v>
      </c>
      <c r="B44">
        <v>18</v>
      </c>
    </row>
    <row r="45" spans="1:5" x14ac:dyDescent="0.25">
      <c r="A45">
        <v>61</v>
      </c>
      <c r="B45">
        <v>6</v>
      </c>
    </row>
    <row r="46" spans="1:5" x14ac:dyDescent="0.25">
      <c r="A46">
        <v>62</v>
      </c>
      <c r="B46">
        <v>12</v>
      </c>
    </row>
    <row r="47" spans="1:5" x14ac:dyDescent="0.25">
      <c r="A47">
        <v>63</v>
      </c>
      <c r="B47">
        <v>7</v>
      </c>
    </row>
    <row r="48" spans="1:5" x14ac:dyDescent="0.25">
      <c r="A48">
        <v>64</v>
      </c>
      <c r="B48">
        <v>16</v>
      </c>
      <c r="C48">
        <v>16</v>
      </c>
      <c r="D48" s="20">
        <v>16</v>
      </c>
      <c r="E48" s="20">
        <v>16</v>
      </c>
    </row>
    <row r="49" spans="1:5" x14ac:dyDescent="0.25">
      <c r="A49">
        <v>65</v>
      </c>
      <c r="C49">
        <f>_xlfn.FORECAST.ETS(A49,$B$2:$B$48,$A$2:$A$48,1,1)</f>
        <v>8.3340768999552637</v>
      </c>
      <c r="D49" s="20">
        <f>C49-_xlfn.FORECAST.ETS.CONFINT(A49,$B$2:$B$48,$A$2:$A$48,0.95,1,1)</f>
        <v>1.0155919053804929</v>
      </c>
      <c r="E49" s="20">
        <f>C49+_xlfn.FORECAST.ETS.CONFINT(A49,$B$2:$B$48,$A$2:$A$48,0.95,1,1)</f>
        <v>15.652561894530034</v>
      </c>
    </row>
    <row r="50" spans="1:5" x14ac:dyDescent="0.25">
      <c r="A50">
        <v>66</v>
      </c>
      <c r="C50">
        <f>_xlfn.FORECAST.ETS(A50,$B$2:$B$48,$A$2:$A$48,1,1)</f>
        <v>14.184807838483188</v>
      </c>
      <c r="D50" s="20">
        <f>C50-_xlfn.FORECAST.ETS.CONFINT(A50,$B$2:$B$48,$A$2:$A$48,0.95,1,1)</f>
        <v>6.8662899108000417</v>
      </c>
      <c r="E50" s="20">
        <f>C50+_xlfn.FORECAST.ETS.CONFINT(A50,$B$2:$B$48,$A$2:$A$48,0.95,1,1)</f>
        <v>21.503325766166334</v>
      </c>
    </row>
    <row r="51" spans="1:5" x14ac:dyDescent="0.25">
      <c r="A51">
        <v>67</v>
      </c>
      <c r="C51">
        <f>_xlfn.FORECAST.ETS(A51,$B$2:$B$48,$A$2:$A$48,1,1)</f>
        <v>8.3522106034517059</v>
      </c>
      <c r="D51" s="20">
        <f>C51-_xlfn.FORECAST.ETS.CONFINT(A51,$B$2:$B$48,$A$2:$A$48,0.95,1,1)</f>
        <v>0.80130363937768134</v>
      </c>
      <c r="E51" s="20">
        <f>C51+_xlfn.FORECAST.ETS.CONFINT(A51,$B$2:$B$48,$A$2:$A$48,0.95,1,1)</f>
        <v>15.903117567525729</v>
      </c>
    </row>
    <row r="52" spans="1:5" x14ac:dyDescent="0.25">
      <c r="A52">
        <v>68</v>
      </c>
      <c r="C52">
        <f>_xlfn.FORECAST.ETS(A52,$B$2:$B$48,$A$2:$A$48,1,1)</f>
        <v>14.202941541979627</v>
      </c>
      <c r="D52" s="20">
        <f>C52-_xlfn.FORECAST.ETS.CONFINT(A52,$B$2:$B$48,$A$2:$A$48,0.95,1,1)</f>
        <v>6.6519459132120522</v>
      </c>
      <c r="E52" s="20">
        <f>C52+_xlfn.FORECAST.ETS.CONFINT(A52,$B$2:$B$48,$A$2:$A$48,0.95,1,1)</f>
        <v>21.7539371707472</v>
      </c>
    </row>
    <row r="53" spans="1:5" x14ac:dyDescent="0.25">
      <c r="A53">
        <v>69</v>
      </c>
      <c r="C53">
        <f>_xlfn.FORECAST.ETS(A53,$B$2:$B$48,$A$2:$A$48,1,1)</f>
        <v>8.3703443069481445</v>
      </c>
      <c r="D53" s="20">
        <f>C53-_xlfn.FORECAST.ETS.CONFINT(A53,$B$2:$B$48,$A$2:$A$48,0.95,1,1)</f>
        <v>0.59039201049946222</v>
      </c>
      <c r="E53" s="20">
        <f>C53+_xlfn.FORECAST.ETS.CONFINT(A53,$B$2:$B$48,$A$2:$A$48,0.95,1,1)</f>
        <v>16.150296603396825</v>
      </c>
    </row>
    <row r="54" spans="1:5" x14ac:dyDescent="0.25">
      <c r="A54">
        <v>70</v>
      </c>
      <c r="C54">
        <f>_xlfn.FORECAST.ETS(A54,$B$2:$B$48,$A$2:$A$48,1,1)</f>
        <v>14.221075245476069</v>
      </c>
      <c r="D54" s="20">
        <f>C54-_xlfn.FORECAST.ETS.CONFINT(A54,$B$2:$B$48,$A$2:$A$48,0.95,1,1)</f>
        <v>6.4409542833106794</v>
      </c>
      <c r="E54" s="20">
        <f>C54+_xlfn.FORECAST.ETS.CONFINT(A54,$B$2:$B$48,$A$2:$A$48,0.95,1,1)</f>
        <v>22.001196207641456</v>
      </c>
    </row>
    <row r="55" spans="1:5" x14ac:dyDescent="0.25">
      <c r="A55">
        <v>71</v>
      </c>
      <c r="C55">
        <f>_xlfn.FORECAST.ETS(A55,$B$2:$B$48,$A$2:$A$48,1,1)</f>
        <v>8.3884780104445866</v>
      </c>
      <c r="D55" s="20">
        <f>C55-_xlfn.FORECAST.ETS.CONFINT(A55,$B$2:$B$48,$A$2:$A$48,0.95,1,1)</f>
        <v>0.38251368101340333</v>
      </c>
      <c r="E55" s="20">
        <f>C55+_xlfn.FORECAST.ETS.CONFINT(A55,$B$2:$B$48,$A$2:$A$48,0.95,1,1)</f>
        <v>16.39444233987577</v>
      </c>
    </row>
    <row r="56" spans="1:5" x14ac:dyDescent="0.25">
      <c r="A56">
        <v>72</v>
      </c>
      <c r="C56">
        <f>_xlfn.FORECAST.ETS(A56,$B$2:$B$48,$A$2:$A$48,1,1)</f>
        <v>14.239208948972511</v>
      </c>
      <c r="D56" s="20">
        <f>C56-_xlfn.FORECAST.ETS.CONFINT(A56,$B$2:$B$48,$A$2:$A$48,0.95,1,1)</f>
        <v>6.2329736775008833</v>
      </c>
      <c r="E56" s="20">
        <f>C56+_xlfn.FORECAST.ETS.CONFINT(A56,$B$2:$B$48,$A$2:$A$48,0.95,1,1)</f>
        <v>22.245444220444138</v>
      </c>
    </row>
    <row r="57" spans="1:5" x14ac:dyDescent="0.25">
      <c r="A57">
        <v>73</v>
      </c>
      <c r="C57">
        <f>_xlfn.FORECAST.ETS(A57,$B$2:$B$48,$A$2:$A$48,1,1)</f>
        <v>8.4066117139410252</v>
      </c>
      <c r="D57" s="20">
        <f>C57-_xlfn.FORECAST.ETS.CONFINT(A57,$B$2:$B$48,$A$2:$A$48,0.95,1,1)</f>
        <v>0.17736665312374811</v>
      </c>
      <c r="E57" s="20">
        <f>C57+_xlfn.FORECAST.ETS.CONFINT(A57,$B$2:$B$48,$A$2:$A$48,0.95,1,1)</f>
        <v>16.635856774758302</v>
      </c>
    </row>
    <row r="58" spans="1:5" x14ac:dyDescent="0.25">
      <c r="A58">
        <v>74</v>
      </c>
      <c r="C58">
        <f>_xlfn.FORECAST.ETS(A58,$B$2:$B$48,$A$2:$A$48,1,1)</f>
        <v>14.257342652468949</v>
      </c>
      <c r="D58" s="20">
        <f>C58-_xlfn.FORECAST.ETS.CONFINT(A58,$B$2:$B$48,$A$2:$A$48,0.95,1,1)</f>
        <v>6.0277038354902821</v>
      </c>
      <c r="E58" s="20">
        <f>C58+_xlfn.FORECAST.ETS.CONFINT(A58,$B$2:$B$48,$A$2:$A$48,0.95,1,1)</f>
        <v>22.486981469447617</v>
      </c>
    </row>
    <row r="59" spans="1:5" x14ac:dyDescent="0.25">
      <c r="A59">
        <v>75</v>
      </c>
      <c r="C59">
        <f>_xlfn.FORECAST.ETS(A59,$B$2:$B$48,$A$2:$A$48,1,1)</f>
        <v>8.4247454174374674</v>
      </c>
      <c r="D59" s="20">
        <f>C59-_xlfn.FORECAST.ETS.CONFINT(A59,$B$2:$B$48,$A$2:$A$48,0.95,1,1)</f>
        <v>-2.5316297080486549E-2</v>
      </c>
      <c r="E59" s="20">
        <f>C59+_xlfn.FORECAST.ETS.CONFINT(A59,$B$2:$B$48,$A$2:$A$48,0.95,1,1)</f>
        <v>16.874807131955421</v>
      </c>
    </row>
    <row r="60" spans="1:5" x14ac:dyDescent="0.25">
      <c r="A60">
        <v>76</v>
      </c>
      <c r="C60">
        <f>_xlfn.FORECAST.ETS(A60,$B$2:$B$48,$A$2:$A$48,1,1)</f>
        <v>14.275476355965392</v>
      </c>
      <c r="D60" s="20">
        <f>C60-_xlfn.FORECAST.ETS.CONFINT(A60,$B$2:$B$48,$A$2:$A$48,0.95,1,1)</f>
        <v>5.8248790601061096</v>
      </c>
      <c r="E60" s="20">
        <f>C60+_xlfn.FORECAST.ETS.CONFINT(A60,$B$2:$B$48,$A$2:$A$48,0.95,1,1)</f>
        <v>22.726073651824674</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customXml/itemProps2.xml><?xml version="1.0" encoding="utf-8"?>
<ds:datastoreItem xmlns:ds="http://schemas.openxmlformats.org/officeDocument/2006/customXml" ds:itemID="{26FA7D8E-50F7-4BAF-9B2A-BC50927C639D}">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31586B1C-F9F7-4414-B45F-0AB992DFF89A}">
  <ds:schemaRefs/>
</ds:datastoreItem>
</file>

<file path=customXml/itemProps4.xml><?xml version="1.0" encoding="utf-8"?>
<ds:datastoreItem xmlns:ds="http://schemas.openxmlformats.org/officeDocument/2006/customXml" ds:itemID="{D7485F7C-60D4-48B3-9BFA-F9312C66561E}">
  <ds:schemaRefs/>
</ds:datastoreItem>
</file>

<file path=customXml/itemProps5.xml><?xml version="1.0" encoding="utf-8"?>
<ds:datastoreItem xmlns:ds="http://schemas.openxmlformats.org/officeDocument/2006/customXml" ds:itemID="{79168ADB-7673-4D65-A23A-5960426CF1F9}">
  <ds:schemaRefs/>
</ds:datastoreItem>
</file>

<file path=customXml/itemProps6.xml><?xml version="1.0" encoding="utf-8"?>
<ds:datastoreItem xmlns:ds="http://schemas.openxmlformats.org/officeDocument/2006/customXml" ds:itemID="{23A55DC0-EB0D-4D46-9D45-16627EF2DDC0}">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Customer_Dim</vt:lpstr>
      <vt:lpstr>Product_Dim</vt:lpstr>
      <vt:lpstr>Store_Dim</vt:lpstr>
      <vt:lpstr>Sales_Fact</vt:lpstr>
      <vt:lpstr>SHEET 1</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2025-10-14T06:00:18Z</dcterms:created>
  <dcterms:modified xsi:type="dcterms:W3CDTF">2026-10-10T12:50:00Z</dcterms:modified>
</cp:coreProperties>
</file>